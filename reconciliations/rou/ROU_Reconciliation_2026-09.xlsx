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" sheetId="1" state="visible" r:id="rId1"/>
    <sheet xmlns:r="http://schemas.openxmlformats.org/officeDocument/2006/relationships" name="Proposed JE" sheetId="2" state="visible" r:id="rId2"/>
    <sheet xmlns:r="http://schemas.openxmlformats.org/officeDocument/2006/relationships" name="Q3 Rollforward" sheetId="3" state="visible" r:id="rId3"/>
    <sheet xmlns:r="http://schemas.openxmlformats.org/officeDocument/2006/relationships" name="Rent check" sheetId="4" state="visible" r:id="rId4"/>
    <sheet xmlns:r="http://schemas.openxmlformats.org/officeDocument/2006/relationships" name="Open items" sheetId="5" state="visible" r:id="rId5"/>
    <sheet xmlns:r="http://schemas.openxmlformats.org/officeDocument/2006/relationships" name="Sour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top style="thin"/>
    </border>
    <border>
      <top style="thin"/>
      <bottom style="double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5" fillId="0" borderId="1" pivotButton="0" quotePrefix="0" xfId="0"/>
    <xf numFmtId="164" fontId="5" fillId="0" borderId="2" pivotButton="0" quotePrefix="0" xfId="0"/>
    <xf numFmtId="0" fontId="2" fillId="0" borderId="0" applyAlignment="1" pivotButton="0" quotePrefix="0" xfId="0">
      <alignment wrapText="1"/>
    </xf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Panda Windows &amp; Doors - ROU asset &amp; lease liability reconciliation</t>
        </is>
      </c>
    </row>
    <row r="2">
      <c r="A2" s="2" t="inlineStr">
        <is>
          <t>Period end: September 30, 2026   |   QuickBooks vs ASC 842 lease schedule (ROU Lease Register / ROU Lease Workbook 2026)</t>
        </is>
      </c>
    </row>
    <row r="3">
      <c r="A3" s="2" t="inlineStr">
        <is>
          <t>GL source: QuickBooks balance sheet pulled 10/20/2026 1:12 PM PT via n8n (read-only). Balances unchanged from 6/30/2026 through 10/20/2026.</t>
        </is>
      </c>
    </row>
    <row r="4">
      <c r="A4" s="2" t="inlineStr">
        <is>
          <t>Sign convention: debit +, credit -. Blue = hard-coded input; black = formula.</t>
        </is>
      </c>
    </row>
    <row r="5"/>
    <row r="6" ht="30" customHeight="1">
      <c r="A6" s="3" t="inlineStr"/>
      <c r="B6" s="3" t="inlineStr">
        <is>
          <t>2000 Rights of Use Assets</t>
        </is>
      </c>
      <c r="C6" s="3" t="inlineStr">
        <is>
          <t>2001 ROU Asset Amortization</t>
        </is>
      </c>
      <c r="D6" s="3" t="inlineStr">
        <is>
          <t>2320 Lease Liability - Current</t>
        </is>
      </c>
      <c r="E6" s="3" t="inlineStr">
        <is>
          <t>2600 Lease Liability - Noncurrent</t>
        </is>
      </c>
      <c r="F6" s="3" t="inlineStr">
        <is>
          <t>Total</t>
        </is>
      </c>
    </row>
    <row r="7">
      <c r="A7" s="2" t="inlineStr">
        <is>
          <t>Balance per QuickBooks 9/30/2026</t>
        </is>
      </c>
      <c r="B7" s="4" t="n">
        <v>5910357.68</v>
      </c>
      <c r="C7" s="4" t="n">
        <v>-2853659</v>
      </c>
      <c r="D7" s="4" t="n">
        <v>-1275439</v>
      </c>
      <c r="E7" s="4" t="n">
        <v>-1782486</v>
      </c>
      <c r="F7" s="5">
        <f>SUM(B7:E7)</f>
        <v/>
      </c>
    </row>
    <row r="8">
      <c r="A8" s="6" t="inlineStr">
        <is>
          <t>Reconciling items (add to GL to reach the schedule):</t>
        </is>
      </c>
    </row>
    <row r="9">
      <c r="A9" s="2" t="inlineStr">
        <is>
          <t xml:space="preserve">  1. Q3 2026 lease activity not recorded (Jul-Sep amortization, accretion, payments, current/noncurrent reclass)</t>
        </is>
      </c>
      <c r="B9" s="4" t="n">
        <v>0</v>
      </c>
      <c r="C9" s="4" t="n">
        <v>-325020.01</v>
      </c>
      <c r="D9" s="4" t="n">
        <v>4628.28</v>
      </c>
      <c r="E9" s="4" t="n">
        <v>321390.44</v>
      </c>
      <c r="F9" s="5">
        <f>SUM(B9:E9)</f>
        <v/>
      </c>
    </row>
    <row r="10">
      <c r="A10" s="2" t="inlineStr">
        <is>
          <t xml:space="preserve">  2. Burlingame legacy lease ended 2/28/2026 - fully amortized gross / accumulated amortization not removed</t>
        </is>
      </c>
      <c r="B10" s="4" t="n">
        <v>-50974.32</v>
      </c>
      <c r="C10" s="4" t="n">
        <v>50974.32</v>
      </c>
      <c r="D10" s="4" t="n">
        <v>0</v>
      </c>
      <c r="E10" s="4" t="n">
        <v>0</v>
      </c>
      <c r="F10" s="5">
        <f>SUM(B10:E10)</f>
        <v/>
      </c>
    </row>
    <row r="11">
      <c r="A11" s="2" t="inlineStr">
        <is>
          <t xml:space="preserve">  3. Rounding - 6/30 and 12/31 tie-out JEs posted in whole dollars</t>
        </is>
      </c>
      <c r="B11" s="4" t="n">
        <v>-0.21</v>
      </c>
      <c r="C11" s="4" t="n">
        <v>-0.31</v>
      </c>
      <c r="D11" s="4" t="n">
        <v>-0.3</v>
      </c>
      <c r="E11" s="4" t="n">
        <v>0.1</v>
      </c>
      <c r="F11" s="5">
        <f>SUM(B11:E11)</f>
        <v/>
      </c>
    </row>
    <row r="12">
      <c r="A12" s="6" t="inlineStr">
        <is>
          <t>Adjusted QuickBooks balance</t>
        </is>
      </c>
      <c r="B12" s="7">
        <f>B7+SUM(B9:B11)</f>
        <v/>
      </c>
      <c r="C12" s="7">
        <f>C7+SUM(C9:C11)</f>
        <v/>
      </c>
      <c r="D12" s="7">
        <f>D7+SUM(D9:D11)</f>
        <v/>
      </c>
      <c r="E12" s="7">
        <f>E7+SUM(E9:E11)</f>
        <v/>
      </c>
      <c r="F12" s="7">
        <f>SUM(B12:E12)</f>
        <v/>
      </c>
    </row>
    <row r="13">
      <c r="A13" s="2" t="inlineStr">
        <is>
          <t>Balance per lease schedule 9/30/2026</t>
        </is>
      </c>
      <c r="B13" s="4" t="n">
        <v>5859383.15</v>
      </c>
      <c r="C13" s="4" t="n">
        <v>-3127705</v>
      </c>
      <c r="D13" s="4" t="n">
        <v>-1270811.02</v>
      </c>
      <c r="E13" s="4" t="n">
        <v>-1461095.46</v>
      </c>
      <c r="F13" s="5">
        <f>SUM(B13:E13)</f>
        <v/>
      </c>
    </row>
    <row r="14">
      <c r="A14" s="6" t="inlineStr">
        <is>
          <t>Unreconciled difference</t>
        </is>
      </c>
      <c r="B14" s="8">
        <f>ROUND(B12-B13,2)</f>
        <v/>
      </c>
      <c r="C14" s="8">
        <f>ROUND(C12-C13,2)</f>
        <v/>
      </c>
      <c r="D14" s="8">
        <f>ROUND(D12-D13,2)</f>
        <v/>
      </c>
      <c r="E14" s="8">
        <f>ROUND(E12-E13,2)</f>
        <v/>
      </c>
      <c r="F14" s="8">
        <f>SUM(B14:E14)</f>
        <v/>
      </c>
    </row>
    <row r="15"/>
    <row r="16">
      <c r="A16" s="6" t="inlineStr">
        <is>
          <t>Summary</t>
        </is>
      </c>
    </row>
    <row r="17">
      <c r="A17" s="2" t="inlineStr">
        <is>
          <t>Net ROU asset per QuickBooks</t>
        </is>
      </c>
      <c r="B17" s="5">
        <f>B7+C7</f>
        <v/>
      </c>
    </row>
    <row r="18">
      <c r="A18" s="2" t="inlineStr">
        <is>
          <t>Net ROU asset per schedule</t>
        </is>
      </c>
      <c r="B18" s="5">
        <f>B13+C13</f>
        <v/>
      </c>
    </row>
    <row r="19">
      <c r="A19" s="2" t="inlineStr">
        <is>
          <t>Lease liability per QuickBooks</t>
        </is>
      </c>
      <c r="B19" s="5">
        <f>-(D7+E7)</f>
        <v/>
      </c>
    </row>
    <row r="20">
      <c r="A20" s="2" t="inlineStr">
        <is>
          <t>Lease liability per schedule</t>
        </is>
      </c>
      <c r="B20" s="5">
        <f>-(D13+E13)</f>
        <v/>
      </c>
    </row>
    <row r="21">
      <c r="A21" s="2" t="inlineStr">
        <is>
          <t>P&amp;L effect of catching up (credit = reduces rent expense)</t>
        </is>
      </c>
      <c r="B21" s="5">
        <f>-F9</f>
        <v/>
      </c>
    </row>
    <row r="22"/>
    <row r="23">
      <c r="A23" s="6" t="inlineStr">
        <is>
          <t>Conclusion</t>
        </is>
      </c>
    </row>
    <row r="24" ht="28" customHeight="1">
      <c r="A24" s="9" t="inlineStr">
        <is>
          <t>Reconciled: QuickBooks agrees with the schedule after the three items above, with no unexplained difference.</t>
        </is>
      </c>
    </row>
    <row r="25" ht="28" customHeight="1">
      <c r="A25" s="9" t="inlineStr">
        <is>
          <t>QuickBooks is overstated by about $325K on both sides (net ROU and lease liability) because ROU entries are booked semiannually; Q3 has not been booked.</t>
        </is>
      </c>
    </row>
    <row r="26" ht="28" customHeight="1">
      <c r="A26" s="9" t="inlineStr">
        <is>
          <t>Item 1 is cleared by posting the July, August and September entries (proposed JE tab), e.g. through the n8n ROU month-end workflow. Item 2 is in the July entry. Item 3 is in the tie-out line.</t>
        </is>
      </c>
    </row>
    <row r="27" ht="28" customHeight="1">
      <c r="A27" s="9" t="inlineStr">
        <is>
          <t>Not in the schedule (open, see Open items): Laguna Hills renewal from 9/1/2026 (rate pending) and the Tev Tav Q4 prepaid rent shortfall.</t>
        </is>
      </c>
    </row>
    <row r="28"/>
    <row r="29">
      <c r="A29" s="2" t="inlineStr">
        <is>
          <t>Prepared by: Claude (automated, from QuickBooks + ROU Lease Register)   Date: 10/20/2026</t>
        </is>
      </c>
    </row>
    <row r="30">
      <c r="A30" s="2" t="inlineStr">
        <is>
          <t>Reviewed by: ______________________   Date: __________</t>
        </is>
      </c>
    </row>
  </sheetData>
  <mergeCells count="4">
    <mergeCell ref="A24:F24"/>
    <mergeCell ref="A26:F26"/>
    <mergeCell ref="A25:F25"/>
    <mergeCell ref="A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6" customWidth="1" min="4" max="4"/>
    <col width="70" customWidth="1" min="5" max="5"/>
  </cols>
  <sheetData>
    <row r="1">
      <c r="A1" s="1" t="inlineStr">
        <is>
          <t>Proposed catch-up entries (one per month; same lines the n8n ROU month-end workflow proposes)</t>
        </is>
      </c>
    </row>
    <row r="2">
      <c r="A2" s="2" t="inlineStr">
        <is>
          <t>Run months in order. Each month brings 2000/2001/2320/2600 to the schedule; rent lines = straight-line expense less rent paid.</t>
        </is>
      </c>
    </row>
    <row r="3"/>
    <row r="4">
      <c r="A4" s="3" t="inlineStr">
        <is>
          <t>JE / date</t>
        </is>
      </c>
      <c r="B4" s="3" t="inlineStr">
        <is>
          <t>Account</t>
        </is>
      </c>
      <c r="C4" s="3" t="inlineStr">
        <is>
          <t>Debit</t>
        </is>
      </c>
      <c r="D4" s="3" t="inlineStr">
        <is>
          <t>Credit</t>
        </is>
      </c>
      <c r="E4" s="3" t="inlineStr">
        <is>
          <t>Memo</t>
        </is>
      </c>
    </row>
    <row r="5">
      <c r="A5" s="2" t="inlineStr">
        <is>
          <t>ROU-202607 2026-07-31</t>
        </is>
      </c>
      <c r="B5" s="2" t="inlineStr">
        <is>
          <t>Laguna Ridge Showroom:Rent</t>
        </is>
      </c>
      <c r="C5" s="4" t="n"/>
      <c r="D5" s="4" t="n">
        <v>156.87</v>
      </c>
      <c r="E5" s="2" t="inlineStr">
        <is>
          <t>Laguna Hills SR straight-line expense 2909.61 less rent 3066.48</t>
        </is>
      </c>
    </row>
    <row r="6">
      <c r="A6" s="2" t="inlineStr">
        <is>
          <t>ROU-202607 2026-07-31</t>
        </is>
      </c>
      <c r="B6" s="2" t="inlineStr">
        <is>
          <t>Scottsdale Showroom:Rent</t>
        </is>
      </c>
      <c r="C6" s="4" t="n"/>
      <c r="D6" s="4" t="n">
        <v>228.32</v>
      </c>
      <c r="E6" s="2" t="inlineStr">
        <is>
          <t>Scottsdale SR straight-line expense 3340.96 less rent 3569.28</t>
        </is>
      </c>
    </row>
    <row r="7">
      <c r="A7" s="2" t="inlineStr">
        <is>
          <t>ROU-202607 2026-07-31</t>
        </is>
      </c>
      <c r="B7" s="2" t="inlineStr">
        <is>
          <t>2000 Rights of Use Assets</t>
        </is>
      </c>
      <c r="C7" s="4" t="n"/>
      <c r="D7" s="4" t="n">
        <v>50974.53</v>
      </c>
      <c r="E7" s="2" t="inlineStr">
        <is>
          <t>ROU leases 2026-07 to schedule</t>
        </is>
      </c>
    </row>
    <row r="8">
      <c r="A8" s="2" t="inlineStr">
        <is>
          <t>ROU-202607 2026-07-31</t>
        </is>
      </c>
      <c r="B8" s="2" t="inlineStr">
        <is>
          <t>2001 ROU Asset Amortization</t>
        </is>
      </c>
      <c r="C8" s="4" t="n"/>
      <c r="D8" s="4" t="n">
        <v>57984.98</v>
      </c>
      <c r="E8" s="2" t="inlineStr">
        <is>
          <t>ROU leases 2026-07 to schedule</t>
        </is>
      </c>
    </row>
    <row r="9">
      <c r="A9" s="2" t="inlineStr">
        <is>
          <t>ROU-202607 2026-07-31</t>
        </is>
      </c>
      <c r="B9" s="2" t="inlineStr">
        <is>
          <t>2320 Lease Liability - Current</t>
        </is>
      </c>
      <c r="C9" s="4" t="n">
        <v>2556.63</v>
      </c>
      <c r="D9" s="4" t="n"/>
      <c r="E9" s="2" t="inlineStr">
        <is>
          <t>ROU leases 2026-07 to schedule</t>
        </is>
      </c>
    </row>
    <row r="10">
      <c r="A10" s="2" t="inlineStr">
        <is>
          <t>ROU-202607 2026-07-31</t>
        </is>
      </c>
      <c r="B10" s="2" t="inlineStr">
        <is>
          <t>2600 Lease Liability - Noncurrent</t>
        </is>
      </c>
      <c r="C10" s="4" t="n">
        <v>106787.36</v>
      </c>
      <c r="D10" s="4" t="n"/>
      <c r="E10" s="2" t="inlineStr">
        <is>
          <t>ROU leases 2026-07 to schedule</t>
        </is>
      </c>
    </row>
    <row r="11">
      <c r="A11" s="2" t="inlineStr">
        <is>
          <t>ROU-202607 2026-07-31</t>
        </is>
      </c>
      <c r="B11" s="2" t="inlineStr">
        <is>
          <t>6280 Rent</t>
        </is>
      </c>
      <c r="C11" s="4" t="n">
        <v>0.71</v>
      </c>
      <c r="D11" s="4" t="n"/>
      <c r="E11" s="2" t="inlineStr">
        <is>
          <t>Tie-out / rounding to schedule</t>
        </is>
      </c>
    </row>
    <row r="12">
      <c r="B12" s="6" t="inlineStr">
        <is>
          <t>Total ROU-202607</t>
        </is>
      </c>
      <c r="C12" s="7">
        <f>SUM(C5:C11)</f>
        <v/>
      </c>
      <c r="D12" s="7">
        <f>SUM(D5:D11)</f>
        <v/>
      </c>
      <c r="E12" s="6">
        <f>IF(ROUND(C12-D12,2)=0,"Balanced","OUT OF BALANCE")</f>
        <v/>
      </c>
    </row>
    <row r="13"/>
    <row r="14">
      <c r="A14" s="2" t="inlineStr">
        <is>
          <t>ROU-202608 2026-08-31</t>
        </is>
      </c>
      <c r="B14" s="2" t="inlineStr">
        <is>
          <t>Laguna Ridge Showroom:Rent</t>
        </is>
      </c>
      <c r="C14" s="4" t="n"/>
      <c r="D14" s="4" t="n">
        <v>156.87</v>
      </c>
      <c r="E14" s="2" t="inlineStr">
        <is>
          <t>Laguna Hills SR straight-line expense 2909.61 less rent 3066.48</t>
        </is>
      </c>
    </row>
    <row r="15">
      <c r="A15" s="2" t="inlineStr">
        <is>
          <t>ROU-202608 2026-08-31</t>
        </is>
      </c>
      <c r="B15" s="2" t="inlineStr">
        <is>
          <t>Scottsdale Showroom:Rent</t>
        </is>
      </c>
      <c r="C15" s="4" t="n"/>
      <c r="D15" s="4" t="n">
        <v>228.32</v>
      </c>
      <c r="E15" s="2" t="inlineStr">
        <is>
          <t>Scottsdale SR straight-line expense 3340.96 less rent 3569.28</t>
        </is>
      </c>
    </row>
    <row r="16">
      <c r="A16" s="2" t="inlineStr">
        <is>
          <t>ROU-202608 2026-08-31</t>
        </is>
      </c>
      <c r="B16" s="2" t="inlineStr">
        <is>
          <t>2001 ROU Asset Amortization</t>
        </is>
      </c>
      <c r="C16" s="4" t="n"/>
      <c r="D16" s="4" t="n">
        <v>109312.8</v>
      </c>
      <c r="E16" s="2" t="inlineStr">
        <is>
          <t>ROU leases 2026-08 to schedule</t>
        </is>
      </c>
    </row>
    <row r="17">
      <c r="A17" s="2" t="inlineStr">
        <is>
          <t>ROU-202608 2026-08-31</t>
        </is>
      </c>
      <c r="B17" s="2" t="inlineStr">
        <is>
          <t>2320 Lease Liability - Current</t>
        </is>
      </c>
      <c r="C17" s="4" t="n">
        <v>2568.21</v>
      </c>
      <c r="D17" s="4" t="n"/>
      <c r="E17" s="2" t="inlineStr">
        <is>
          <t>ROU leases 2026-08 to schedule</t>
        </is>
      </c>
    </row>
    <row r="18">
      <c r="A18" s="2" t="inlineStr">
        <is>
          <t>ROU-202608 2026-08-31</t>
        </is>
      </c>
      <c r="B18" s="2" t="inlineStr">
        <is>
          <t>2600 Lease Liability - Noncurrent</t>
        </is>
      </c>
      <c r="C18" s="4" t="n">
        <v>107129.78</v>
      </c>
      <c r="D18" s="4" t="n"/>
      <c r="E18" s="2" t="inlineStr">
        <is>
          <t>ROU leases 2026-08 to schedule</t>
        </is>
      </c>
    </row>
    <row r="19">
      <c r="B19" s="6" t="inlineStr">
        <is>
          <t>Total ROU-202608</t>
        </is>
      </c>
      <c r="C19" s="7">
        <f>SUM(C14:C18)</f>
        <v/>
      </c>
      <c r="D19" s="7">
        <f>SUM(D14:D18)</f>
        <v/>
      </c>
      <c r="E19" s="6">
        <f>IF(ROUND(C19-D19,2)=0,"Balanced","OUT OF BALANCE")</f>
        <v/>
      </c>
    </row>
    <row r="20"/>
    <row r="21">
      <c r="A21" s="2" t="inlineStr">
        <is>
          <t>ROU-202609 2026-09-30</t>
        </is>
      </c>
      <c r="B21" s="2" t="inlineStr">
        <is>
          <t>Scottsdale Showroom:Rent</t>
        </is>
      </c>
      <c r="C21" s="4" t="n"/>
      <c r="D21" s="4" t="n">
        <v>228.32</v>
      </c>
      <c r="E21" s="2" t="inlineStr">
        <is>
          <t>Scottsdale SR straight-line expense 3340.96 less rent 3569.28</t>
        </is>
      </c>
    </row>
    <row r="22">
      <c r="A22" s="2" t="inlineStr">
        <is>
          <t>ROU-202609 2026-09-30</t>
        </is>
      </c>
      <c r="B22" s="2" t="inlineStr">
        <is>
          <t>2001 ROU Asset Amortization</t>
        </is>
      </c>
      <c r="C22" s="4" t="n"/>
      <c r="D22" s="4" t="n">
        <v>106748.22</v>
      </c>
      <c r="E22" s="2" t="inlineStr">
        <is>
          <t>ROU leases 2026-09 to schedule</t>
        </is>
      </c>
    </row>
    <row r="23">
      <c r="A23" s="2" t="inlineStr">
        <is>
          <t>ROU-202609 2026-09-30</t>
        </is>
      </c>
      <c r="B23" s="2" t="inlineStr">
        <is>
          <t>2320 Lease Liability - Current</t>
        </is>
      </c>
      <c r="C23" s="4" t="n"/>
      <c r="D23" s="4" t="n">
        <v>496.86</v>
      </c>
      <c r="E23" s="2" t="inlineStr">
        <is>
          <t>ROU leases 2026-09 to schedule</t>
        </is>
      </c>
    </row>
    <row r="24">
      <c r="A24" s="2" t="inlineStr">
        <is>
          <t>ROU-202609 2026-09-30</t>
        </is>
      </c>
      <c r="B24" s="2" t="inlineStr">
        <is>
          <t>2600 Lease Liability - Noncurrent</t>
        </is>
      </c>
      <c r="C24" s="4" t="n">
        <v>107473.4</v>
      </c>
      <c r="D24" s="4" t="n"/>
      <c r="E24" s="2" t="inlineStr">
        <is>
          <t>ROU leases 2026-09 to schedule</t>
        </is>
      </c>
    </row>
    <row r="25">
      <c r="B25" s="6" t="inlineStr">
        <is>
          <t>Total ROU-202609</t>
        </is>
      </c>
      <c r="C25" s="7">
        <f>SUM(C21:C24)</f>
        <v/>
      </c>
      <c r="D25" s="7">
        <f>SUM(D21:D24)</f>
        <v/>
      </c>
      <c r="E25" s="6">
        <f>IF(ROUND(C25-D25,2)=0,"Balanced","OUT OF BALANCE")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16" customWidth="1" min="8" max="8"/>
    <col width="16" customWidth="1" min="9" max="9"/>
    <col width="16" customWidth="1" min="10" max="10"/>
    <col width="14" customWidth="1" min="11" max="11"/>
  </cols>
  <sheetData>
    <row r="1">
      <c r="A1" s="1" t="inlineStr">
        <is>
          <t>Q3 2026 roll-forward by lease (schedule), 6/30/2026 to 9/30/2026</t>
        </is>
      </c>
    </row>
    <row r="2"/>
    <row r="3" ht="30" customHeight="1">
      <c r="A3" s="3" t="inlineStr">
        <is>
          <t>Lease</t>
        </is>
      </c>
      <c r="B3" s="3" t="inlineStr">
        <is>
          <t>Liability 6/30</t>
        </is>
      </c>
      <c r="C3" s="3" t="inlineStr">
        <is>
          <t>Payments Q3</t>
        </is>
      </c>
      <c r="D3" s="3" t="inlineStr">
        <is>
          <t>Interest Q3</t>
        </is>
      </c>
      <c r="E3" s="3" t="inlineStr">
        <is>
          <t>Liability 9/30</t>
        </is>
      </c>
      <c r="F3" s="3" t="inlineStr">
        <is>
          <t>Net ROU 6/30</t>
        </is>
      </c>
      <c r="G3" s="3" t="inlineStr">
        <is>
          <t>Amortization Q3</t>
        </is>
      </c>
      <c r="H3" s="3" t="inlineStr">
        <is>
          <t>Net ROU 9/30</t>
        </is>
      </c>
      <c r="I3" s="3" t="inlineStr">
        <is>
          <t>Lease expense Q3</t>
        </is>
      </c>
      <c r="J3" s="3" t="inlineStr">
        <is>
          <t>Rent in QBO Q3</t>
        </is>
      </c>
      <c r="K3" s="3" t="inlineStr">
        <is>
          <t>Exp. less rent</t>
        </is>
      </c>
    </row>
    <row r="4">
      <c r="A4" s="2" t="inlineStr">
        <is>
          <t>ENTD LLC (Panda 2)</t>
        </is>
      </c>
      <c r="B4" s="4" t="n">
        <v>501069.1</v>
      </c>
      <c r="C4" s="4" t="n">
        <v>-52500</v>
      </c>
      <c r="D4" s="4" t="n">
        <v>4559.33</v>
      </c>
      <c r="E4" s="5">
        <f>B4+C4+D4</f>
        <v/>
      </c>
      <c r="F4" s="4" t="n">
        <v>501069.1</v>
      </c>
      <c r="G4" s="4" t="n">
        <v>-47940.67</v>
      </c>
      <c r="H4" s="5">
        <f>F4+G4</f>
        <v/>
      </c>
      <c r="I4" s="4" t="n">
        <v>52500</v>
      </c>
      <c r="J4" s="4" t="n">
        <v>52500</v>
      </c>
      <c r="K4" s="5">
        <f>I4+C4</f>
        <v/>
      </c>
    </row>
    <row r="5">
      <c r="A5" s="2" t="inlineStr">
        <is>
          <t>Laguna Hills SR</t>
        </is>
      </c>
      <c r="B5" s="4" t="n">
        <v>6123.08</v>
      </c>
      <c r="C5" s="4" t="n">
        <v>-6132.96</v>
      </c>
      <c r="D5" s="4" t="n">
        <v>9.880000000000001</v>
      </c>
      <c r="E5" s="5">
        <f>B5+C5+D5</f>
        <v/>
      </c>
      <c r="F5" s="4" t="n">
        <v>5809.33</v>
      </c>
      <c r="G5" s="4" t="n">
        <v>-5809.33</v>
      </c>
      <c r="H5" s="5">
        <f>F5+G5</f>
        <v/>
      </c>
      <c r="I5" s="4" t="n">
        <v>5819.22</v>
      </c>
      <c r="J5" s="4" t="n">
        <v>9199.440000000001</v>
      </c>
      <c r="K5" s="5">
        <f>I5+C5</f>
        <v/>
      </c>
    </row>
    <row r="6">
      <c r="A6" s="2" t="inlineStr">
        <is>
          <t>Noy Dori (Panda 1)</t>
        </is>
      </c>
      <c r="B6" s="4" t="n">
        <v>1474574.78</v>
      </c>
      <c r="C6" s="4" t="n">
        <v>-154500</v>
      </c>
      <c r="D6" s="4" t="n">
        <v>13417.45</v>
      </c>
      <c r="E6" s="5">
        <f>B6+C6+D6</f>
        <v/>
      </c>
      <c r="F6" s="4" t="n">
        <v>1474574.78</v>
      </c>
      <c r="G6" s="4" t="n">
        <v>-141082.55</v>
      </c>
      <c r="H6" s="5">
        <f>F6+G6</f>
        <v/>
      </c>
      <c r="I6" s="4" t="n">
        <v>154500</v>
      </c>
      <c r="J6" s="4" t="n">
        <v>154500</v>
      </c>
      <c r="K6" s="5">
        <f>I6+C6</f>
        <v/>
      </c>
    </row>
    <row r="7">
      <c r="A7" s="2" t="inlineStr">
        <is>
          <t>Burlingame / SF Showroom</t>
        </is>
      </c>
      <c r="B7" s="4" t="n">
        <v>0</v>
      </c>
      <c r="C7" s="4" t="n">
        <v>0</v>
      </c>
      <c r="D7" s="4" t="n">
        <v>0</v>
      </c>
      <c r="E7" s="5">
        <f>B7+C7+D7</f>
        <v/>
      </c>
      <c r="F7" s="4" t="n">
        <v>0</v>
      </c>
      <c r="G7" s="4" t="n">
        <v>0</v>
      </c>
      <c r="H7" s="5">
        <f>F7+G7</f>
        <v/>
      </c>
      <c r="I7" s="4" t="n">
        <v>0</v>
      </c>
      <c r="J7" s="4" t="n">
        <v>0</v>
      </c>
      <c r="K7" s="5">
        <f>I7+C7</f>
        <v/>
      </c>
    </row>
    <row r="8">
      <c r="A8" s="2" t="inlineStr">
        <is>
          <t>Tev Tav (Panda 3)</t>
        </is>
      </c>
      <c r="B8" s="4" t="n">
        <v>1033259.18</v>
      </c>
      <c r="C8" s="4" t="n">
        <v>-123930</v>
      </c>
      <c r="D8" s="4" t="n">
        <v>8940.92</v>
      </c>
      <c r="E8" s="5">
        <f>B8+C8+D8</f>
        <v/>
      </c>
      <c r="F8" s="4" t="n">
        <v>1033259.18</v>
      </c>
      <c r="G8" s="4" t="n">
        <v>-114989.08</v>
      </c>
      <c r="H8" s="5">
        <f>F8+G8</f>
        <v/>
      </c>
      <c r="I8" s="4" t="n">
        <v>123930</v>
      </c>
      <c r="J8" s="4" t="n">
        <v>123930</v>
      </c>
      <c r="K8" s="5">
        <f>I8+C8</f>
        <v/>
      </c>
    </row>
    <row r="9">
      <c r="A9" s="2" t="inlineStr">
        <is>
          <t>Scottsdale SR</t>
        </is>
      </c>
      <c r="B9" s="4" t="n">
        <v>14190.79</v>
      </c>
      <c r="C9" s="4" t="n">
        <v>-10707.84</v>
      </c>
      <c r="D9" s="4" t="n">
        <v>86.34</v>
      </c>
      <c r="E9" s="5">
        <f>B9+C9+D9</f>
        <v/>
      </c>
      <c r="F9" s="4" t="n">
        <v>13277.5</v>
      </c>
      <c r="G9" s="4" t="n">
        <v>-9936.540000000001</v>
      </c>
      <c r="H9" s="5">
        <f>F9+G9</f>
        <v/>
      </c>
      <c r="I9" s="4" t="n">
        <v>10022.88</v>
      </c>
      <c r="J9" s="4" t="n">
        <v>10943.4</v>
      </c>
      <c r="K9" s="5">
        <f>I9+C9</f>
        <v/>
      </c>
    </row>
    <row r="10">
      <c r="A10" s="2" t="inlineStr">
        <is>
          <t>Land Rover</t>
        </is>
      </c>
      <c r="B10" s="4" t="n">
        <v>28708.28</v>
      </c>
      <c r="C10" s="4" t="n">
        <v>-5524.32</v>
      </c>
      <c r="D10" s="4" t="n">
        <v>262.48</v>
      </c>
      <c r="E10" s="5">
        <f>B10+C10+D10</f>
        <v/>
      </c>
      <c r="F10" s="4" t="n">
        <v>28708.28</v>
      </c>
      <c r="G10" s="4" t="n">
        <v>-5261.84</v>
      </c>
      <c r="H10" s="5">
        <f>F10+G10</f>
        <v/>
      </c>
      <c r="I10" s="4" t="n">
        <v>5524.32</v>
      </c>
      <c r="J10" s="4" t="n">
        <v>0</v>
      </c>
      <c r="K10" s="5">
        <f>I10+C10</f>
        <v/>
      </c>
    </row>
    <row r="11">
      <c r="A11" s="6" t="inlineStr">
        <is>
          <t>Total</t>
        </is>
      </c>
      <c r="B11" s="7">
        <f>SUM(B4:B10)</f>
        <v/>
      </c>
      <c r="C11" s="7">
        <f>SUM(C4:C10)</f>
        <v/>
      </c>
      <c r="D11" s="7">
        <f>SUM(D4:D10)</f>
        <v/>
      </c>
      <c r="E11" s="7">
        <f>SUM(E4:E10)</f>
        <v/>
      </c>
      <c r="F11" s="7">
        <f>SUM(F4:F10)</f>
        <v/>
      </c>
      <c r="G11" s="7">
        <f>SUM(G4:G10)</f>
        <v/>
      </c>
      <c r="H11" s="7">
        <f>SUM(H4:H10)</f>
        <v/>
      </c>
      <c r="I11" s="7">
        <f>SUM(I4:I10)</f>
        <v/>
      </c>
      <c r="J11" s="7">
        <f>SUM(J4:J10)</f>
        <v/>
      </c>
      <c r="K11" s="7">
        <f>SUM(K4:K10)</f>
        <v/>
      </c>
    </row>
    <row r="12"/>
    <row r="13">
      <c r="A13" s="6" t="inlineStr">
        <is>
          <t>Ties to Recon item 1:</t>
        </is>
      </c>
    </row>
    <row r="14">
      <c r="A14" s="2" t="inlineStr">
        <is>
          <t>Liability change (E-B) vs 2320+2600 item 1</t>
        </is>
      </c>
      <c r="B14" s="5">
        <f>-(E11-B11)</f>
        <v/>
      </c>
      <c r="C14" s="5">
        <f>Recon!D9+Recon!E9</f>
        <v/>
      </c>
      <c r="D14" s="10">
        <f>ROUND(B14-C14,2)</f>
        <v/>
      </c>
    </row>
    <row r="15">
      <c r="A15" s="2" t="inlineStr">
        <is>
          <t>ROU change (H-F) vs 2001 item 1</t>
        </is>
      </c>
      <c r="B15" s="5">
        <f>H11-F11</f>
        <v/>
      </c>
      <c r="C15" s="5">
        <f>Recon!C9</f>
        <v/>
      </c>
      <c r="D15" s="10">
        <f>ROUND(B15-C15,2)</f>
        <v/>
      </c>
    </row>
    <row r="16">
      <c r="A16" s="2" t="inlineStr">
        <is>
          <t>Rent in QBO vs lease payments (column J vs -C), see Rent check tab.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Rent expensed in QuickBooks vs lease payment, Jul-Oct 2026</t>
        </is>
      </c>
    </row>
    <row r="2"/>
    <row r="3">
      <c r="A3" s="3" t="inlineStr">
        <is>
          <t>Lease</t>
        </is>
      </c>
      <c r="B3" s="3" t="inlineStr">
        <is>
          <t>Per lease / mo</t>
        </is>
      </c>
      <c r="C3" s="3" t="inlineStr">
        <is>
          <t>Jul</t>
        </is>
      </c>
      <c r="D3" s="3" t="inlineStr">
        <is>
          <t>Aug</t>
        </is>
      </c>
      <c r="E3" s="3" t="inlineStr">
        <is>
          <t>Sep</t>
        </is>
      </c>
      <c r="F3" s="3" t="inlineStr">
        <is>
          <t>Oct</t>
        </is>
      </c>
      <c r="G3" s="3" t="inlineStr">
        <is>
          <t>Q3 diff vs lease</t>
        </is>
      </c>
      <c r="H3" s="3" t="inlineStr">
        <is>
          <t>Comment</t>
        </is>
      </c>
    </row>
    <row r="4" ht="30" customHeight="1">
      <c r="A4" s="2" t="inlineStr">
        <is>
          <t>ENTD LLC (Panda 2)</t>
        </is>
      </c>
      <c r="B4" s="4" t="n">
        <v>17500</v>
      </c>
      <c r="C4" s="4" t="n">
        <v>17500</v>
      </c>
      <c r="D4" s="4" t="n">
        <v>17500</v>
      </c>
      <c r="E4" s="4" t="n">
        <v>17500</v>
      </c>
      <c r="F4" s="4" t="n">
        <v>17500</v>
      </c>
      <c r="G4" s="5">
        <f>SUM(C4:E4)-3*B4</f>
        <v/>
      </c>
      <c r="H4" s="9" t="inlineStr">
        <is>
          <t>Via monthly prepaid amortization (6280). Prepaid through Dec.</t>
        </is>
      </c>
    </row>
    <row r="5" ht="30" customHeight="1">
      <c r="A5" s="2" t="inlineStr">
        <is>
          <t>Noy Dori (Panda 1)</t>
        </is>
      </c>
      <c r="B5" s="4" t="n">
        <v>51500</v>
      </c>
      <c r="C5" s="4" t="n">
        <v>51500</v>
      </c>
      <c r="D5" s="4" t="n">
        <v>51500</v>
      </c>
      <c r="E5" s="4" t="n">
        <v>51500</v>
      </c>
      <c r="F5" s="4" t="n">
        <v>51500</v>
      </c>
      <c r="G5" s="5">
        <f>SUM(C5:E5)-3*B5</f>
        <v/>
      </c>
      <c r="H5" s="9" t="inlineStr">
        <is>
          <t>Via monthly prepaid amortization (6280). Prepaid through Dec.</t>
        </is>
      </c>
    </row>
    <row r="6" ht="30" customHeight="1">
      <c r="A6" s="2" t="inlineStr">
        <is>
          <t>Tev Tav (Panda 3)</t>
        </is>
      </c>
      <c r="B6" s="4" t="n">
        <v>41310</v>
      </c>
      <c r="C6" s="4" t="n">
        <v>41310</v>
      </c>
      <c r="D6" s="4" t="n">
        <v>41310</v>
      </c>
      <c r="E6" s="4" t="n">
        <v>41310</v>
      </c>
      <c r="F6" s="4" t="n">
        <v>41310</v>
      </c>
      <c r="G6" s="5">
        <f>SUM(C6:E6)-3*B6</f>
        <v/>
      </c>
      <c r="H6" s="9" t="inlineStr">
        <is>
          <t>Via prepaid amortization, but July prepaid only Jul-Sep (123,930). Oct-Dec not paid yet: see Open items.</t>
        </is>
      </c>
    </row>
    <row r="7" ht="30" customHeight="1">
      <c r="A7" s="2" t="inlineStr">
        <is>
          <t>Laguna Hills SR</t>
        </is>
      </c>
      <c r="B7" s="4" t="n">
        <v>3066.48</v>
      </c>
      <c r="C7" s="4" t="n">
        <v>3066.48</v>
      </c>
      <c r="D7" s="4" t="n">
        <v>0</v>
      </c>
      <c r="E7" s="4" t="n">
        <v>6132.96</v>
      </c>
      <c r="F7" s="4" t="n">
        <v>3066.48</v>
      </c>
      <c r="G7" s="5">
        <f>SUM(C7:E7)-3*B7</f>
        <v/>
      </c>
      <c r="H7" s="9" t="inlineStr">
        <is>
          <t>August paid late (Brex 9/3/2026, "Aug rent online"): timing. From Sep the lease rent is 2,502.70 base + 619.20 CAM, but 3,066.48 is still being paid.</t>
        </is>
      </c>
    </row>
    <row r="8" ht="30" customHeight="1">
      <c r="A8" s="2" t="inlineStr">
        <is>
          <t>Scottsdale SR</t>
        </is>
      </c>
      <c r="B8" s="4" t="n">
        <v>3569.28</v>
      </c>
      <c r="C8" s="4" t="n">
        <v>3647.8</v>
      </c>
      <c r="D8" s="4" t="n">
        <v>3647.8</v>
      </c>
      <c r="E8" s="4" t="n">
        <v>3647.8</v>
      </c>
      <c r="F8" s="4" t="n">
        <v>3647.8</v>
      </c>
      <c r="G8" s="5">
        <f>SUM(C8:E8)-3*B8</f>
        <v/>
      </c>
      <c r="H8" s="9" t="inlineStr">
        <is>
          <t>78.52/month over the schedule payment (likely tax/CAM, a variable cost). Lease ends 10/31/2026: renewal?</t>
        </is>
      </c>
    </row>
    <row r="9" ht="30" customHeight="1">
      <c r="A9" s="2" t="inlineStr">
        <is>
          <t>Land Rover</t>
        </is>
      </c>
      <c r="B9" s="4" t="n">
        <v>1841.44</v>
      </c>
      <c r="C9" s="4" t="n">
        <v>0</v>
      </c>
      <c r="D9" s="4" t="n">
        <v>0</v>
      </c>
      <c r="E9" s="4" t="n">
        <v>0</v>
      </c>
      <c r="F9" s="4" t="n">
        <v>0</v>
      </c>
      <c r="G9" s="5">
        <f>SUM(C9:E9)-3*B9</f>
        <v/>
      </c>
      <c r="H9" s="9" t="inlineStr">
        <is>
          <t>No payments found in 6291 or any lease rent account. Find where the lease payment is booked.</t>
        </is>
      </c>
    </row>
    <row r="10" ht="30" customHeight="1">
      <c r="A10" s="2" t="inlineStr">
        <is>
          <t>Burlingame / SF (short-term)</t>
        </is>
      </c>
      <c r="B10" s="4" t="n">
        <v>2500</v>
      </c>
      <c r="C10" s="4" t="n">
        <v>2500</v>
      </c>
      <c r="D10" s="4" t="n">
        <v>2500</v>
      </c>
      <c r="E10" s="4" t="n">
        <v>2500</v>
      </c>
      <c r="F10" s="4" t="n">
        <v>2500</v>
      </c>
      <c r="G10" s="5">
        <f>SUM(C10:E10)-3*B10</f>
        <v/>
      </c>
      <c r="H10" s="9" t="inlineStr">
        <is>
          <t>Short-term extension 5/2026-4/2027, expensed as paid. OK.</t>
        </is>
      </c>
    </row>
    <row r="11" ht="30" customHeight="1">
      <c r="A11" s="2" t="inlineStr">
        <is>
          <t>Chicago cost share (short-term)</t>
        </is>
      </c>
      <c r="B11" s="4" t="n">
        <v>750</v>
      </c>
      <c r="C11" s="4" t="n">
        <v>0</v>
      </c>
      <c r="D11" s="4" t="n">
        <v>0</v>
      </c>
      <c r="E11" s="4" t="n">
        <v>0</v>
      </c>
      <c r="F11" s="4" t="n">
        <v>0</v>
      </c>
      <c r="G11" s="5">
        <f>SUM(C11:E11)-3*B11</f>
        <v/>
      </c>
      <c r="H11" s="9" t="inlineStr">
        <is>
          <t>No bills since May 2026. Ended, or bills missing?</t>
        </is>
      </c>
    </row>
    <row r="12"/>
    <row r="13">
      <c r="A13" s="2" t="inlineStr">
        <is>
          <t>Laguna and Scottsdale: rent lines in the proposed JEs use the lease payment, so any excess paid stays in rent expense (variable cost).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6" customWidth="1" min="3" max="3"/>
    <col width="14" customWidth="1" min="4" max="4"/>
    <col width="10" customWidth="1" min="5" max="5"/>
    <col width="22" customWidth="1" min="6" max="6"/>
    <col width="16" customWidth="1" min="7" max="7"/>
    <col width="60" customWidth="1" min="8" max="8"/>
  </cols>
  <sheetData>
    <row r="1">
      <c r="A1" s="1" t="inlineStr">
        <is>
          <t>Reconciling and open items - aging at 10/20/2026</t>
        </is>
      </c>
    </row>
    <row r="2"/>
    <row r="3">
      <c r="A3" s="3" t="inlineStr">
        <is>
          <t>#</t>
        </is>
      </c>
      <c r="B3" s="3" t="inlineStr">
        <is>
          <t>Description</t>
        </is>
      </c>
      <c r="C3" s="3" t="inlineStr">
        <is>
          <t>Amount</t>
        </is>
      </c>
      <c r="D3" s="3" t="inlineStr">
        <is>
          <t>Originated</t>
        </is>
      </c>
      <c r="E3" s="3" t="inlineStr">
        <is>
          <t>Age (days)</t>
        </is>
      </c>
      <c r="F3" s="3" t="inlineStr">
        <is>
          <t>Category</t>
        </is>
      </c>
      <c r="G3" s="3" t="inlineStr">
        <is>
          <t>Owner</t>
        </is>
      </c>
      <c r="H3" s="3" t="inlineStr">
        <is>
          <t>Action</t>
        </is>
      </c>
    </row>
    <row r="4" ht="42" customHeight="1">
      <c r="A4" s="2" t="n">
        <v>1</v>
      </c>
      <c r="B4" s="9" t="inlineStr">
        <is>
          <t>Q3 2026 ROU activity not recorded (net ROU and lease liability each ~325K overstated)</t>
        </is>
      </c>
      <c r="C4" s="5">
        <f>Recon!F9</f>
        <v/>
      </c>
      <c r="D4" s="2" t="inlineStr">
        <is>
          <t>2026-07-31</t>
        </is>
      </c>
      <c r="E4" s="2" t="n">
        <v>81</v>
      </c>
      <c r="F4" s="2" t="inlineStr">
        <is>
          <t>Adjustment required</t>
        </is>
      </c>
      <c r="G4" s="2" t="inlineStr">
        <is>
          <t>Accounting</t>
        </is>
      </c>
      <c r="H4" s="9" t="inlineStr">
        <is>
          <t>Post ROU-202607/08/09 (Proposed JE tab), or one Q3 catch-up entry if Q3 is locked. P&amp;L effect is a 998.71 credit to rent.</t>
        </is>
      </c>
    </row>
    <row r="5" ht="42" customHeight="1">
      <c r="A5" s="2" t="n">
        <v>2</v>
      </c>
      <c r="B5" s="9" t="inlineStr">
        <is>
          <t>Burlingame legacy lease fully amortized 2/28/2026, still in 2000/2001</t>
        </is>
      </c>
      <c r="C5" s="4" t="n">
        <v>50974.32</v>
      </c>
      <c r="D5" s="2" t="inlineStr">
        <is>
          <t>2026-02-28</t>
        </is>
      </c>
      <c r="E5" s="2" t="n">
        <v>234</v>
      </c>
      <c r="F5" s="2" t="inlineStr">
        <is>
          <t>Adjustment required</t>
        </is>
      </c>
      <c r="G5" s="2" t="inlineStr">
        <is>
          <t>Accounting</t>
        </is>
      </c>
      <c r="H5" s="9" t="inlineStr">
        <is>
          <t>Dr 2001 / Cr 2000 50,974.32 (included in ROU-202607). No P&amp;L effect.</t>
        </is>
      </c>
    </row>
    <row r="6" ht="42" customHeight="1">
      <c r="A6" s="2" t="n">
        <v>3</v>
      </c>
      <c r="B6" s="9" t="inlineStr">
        <is>
          <t>Rounding from whole-dollar tie-out entries</t>
        </is>
      </c>
      <c r="C6" s="5">
        <f>SUM(Recon!B11:E11)</f>
        <v/>
      </c>
      <c r="D6" s="2" t="inlineStr">
        <is>
          <t>2026-06-30</t>
        </is>
      </c>
      <c r="E6" s="2" t="n">
        <v>112</v>
      </c>
      <c r="F6" s="2" t="inlineStr">
        <is>
          <t>Adjustment required</t>
        </is>
      </c>
      <c r="G6" s="2" t="inlineStr">
        <is>
          <t>Accounting</t>
        </is>
      </c>
      <c r="H6" s="9" t="inlineStr">
        <is>
          <t>Cleared by the tie-out line in ROU-202607.</t>
        </is>
      </c>
    </row>
    <row r="7" ht="42" customHeight="1">
      <c r="A7" s="2" t="n">
        <v>4</v>
      </c>
      <c r="B7" s="9" t="inlineStr">
        <is>
          <t>Laguna Hills 3rd Amendment (term to 8/31/2029) not recognized from 9/1/2026; discount rate pending</t>
        </is>
      </c>
      <c r="C7" s="4" t="n">
        <v>87786</v>
      </c>
      <c r="D7" s="2" t="inlineStr">
        <is>
          <t>2026-09-01</t>
        </is>
      </c>
      <c r="E7" s="2" t="n">
        <v>49</v>
      </c>
      <c r="F7" s="2" t="inlineStr">
        <is>
          <t>Requires investigation</t>
        </is>
      </c>
      <c r="G7" s="2" t="inlineStr">
        <is>
          <t>Controller</t>
        </is>
      </c>
      <c r="H7" s="9" t="inlineStr">
        <is>
          <t>Enter the risk-free rate (Treasury ~3-yr at the binding date) and confirm the landlord signature. At an illustrative 4.15%: +~87.8K ROU and liability at 9/30.</t>
        </is>
      </c>
    </row>
    <row r="8" ht="42" customHeight="1">
      <c r="A8" s="2" t="n">
        <v>5</v>
      </c>
      <c r="B8" s="9" t="inlineStr">
        <is>
          <t>Tev Tav Q4 2026 rent (Oct-Dec) not prepaid: July prepaid only Jul-Sep, amortization continues</t>
        </is>
      </c>
      <c r="C8" s="4" t="n">
        <v>123930</v>
      </c>
      <c r="D8" s="2" t="inlineStr">
        <is>
          <t>2026-10-01</t>
        </is>
      </c>
      <c r="E8" s="2" t="n">
        <v>19</v>
      </c>
      <c r="F8" s="2" t="inlineStr">
        <is>
          <t>Requires investigation</t>
        </is>
      </c>
      <c r="G8" s="2" t="inlineStr">
        <is>
          <t>AP / Controller</t>
        </is>
      </c>
      <c r="H8" s="9" t="inlineStr">
        <is>
          <t>Confirm the Q4 payment. Otherwise Prepaid Rent (1088) goes negative by 123,930 at 12/31.</t>
        </is>
      </c>
    </row>
    <row r="9" ht="42" customHeight="1">
      <c r="A9" s="2" t="n">
        <v>6</v>
      </c>
      <c r="B9" s="9" t="inlineStr">
        <is>
          <t>Land Rover lease payments not found in QuickBooks rent accounts</t>
        </is>
      </c>
      <c r="C9" s="4" t="n">
        <v>5524.32</v>
      </c>
      <c r="D9" s="2" t="inlineStr">
        <is>
          <t>2026-07-01</t>
        </is>
      </c>
      <c r="E9" s="2" t="n">
        <v>111</v>
      </c>
      <c r="F9" s="2" t="inlineStr">
        <is>
          <t>Requires investigation</t>
        </is>
      </c>
      <c r="G9" s="2" t="inlineStr">
        <is>
          <t>AP</t>
        </is>
      </c>
      <c r="H9" s="9" t="inlineStr">
        <is>
          <t>Locate the account; update rent_account_id in the register.</t>
        </is>
      </c>
    </row>
    <row r="10" ht="42" customHeight="1">
      <c r="A10" s="2" t="n">
        <v>7</v>
      </c>
      <c r="B10" s="9" t="inlineStr">
        <is>
          <t>Scottsdale lease expires 10/31/2026</t>
        </is>
      </c>
      <c r="C10" s="4" t="n"/>
      <c r="D10" s="2" t="inlineStr">
        <is>
          <t>2026-10-31</t>
        </is>
      </c>
      <c r="E10" s="2" t="n">
        <v>0</v>
      </c>
      <c r="F10" s="2" t="inlineStr">
        <is>
          <t>Requires investigation</t>
        </is>
      </c>
      <c r="G10" s="2" t="inlineStr">
        <is>
          <t>Controller</t>
        </is>
      </c>
      <c r="H10" s="9" t="inlineStr">
        <is>
          <t>Renewal terms or move-out. A renewal is a new register segment.</t>
        </is>
      </c>
    </row>
    <row r="11" ht="42" customHeight="1">
      <c r="A11" s="2" t="n">
        <v>8</v>
      </c>
      <c r="B11" s="9" t="inlineStr">
        <is>
          <t>Chicago cost share: no bills Jun-Oct 2026</t>
        </is>
      </c>
      <c r="C11" s="4" t="n">
        <v>3750</v>
      </c>
      <c r="D11" s="2" t="inlineStr">
        <is>
          <t>2026-06-01</t>
        </is>
      </c>
      <c r="E11" s="2" t="n">
        <v>141</v>
      </c>
      <c r="F11" s="2" t="inlineStr">
        <is>
          <t>Requires investigation</t>
        </is>
      </c>
      <c r="G11" s="2" t="inlineStr">
        <is>
          <t>AP</t>
        </is>
      </c>
      <c r="H11" s="9" t="inlineStr">
        <is>
          <t>Confirm whether the arrangement ended.</t>
        </is>
      </c>
    </row>
    <row r="12"/>
    <row r="13">
      <c r="A13" s="2" t="inlineStr">
        <is>
          <t>Escalation: items 1, 2, 4 and 5 exceed $50K or are aged over 60 days - controller review before close.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QuickBooks balances by month end (balance sheet, accrual), pulled 10/20/2026</t>
        </is>
      </c>
    </row>
    <row r="2"/>
    <row r="3">
      <c r="A3" s="3" t="inlineStr">
        <is>
          <t>Account</t>
        </is>
      </c>
      <c r="B3" s="3" t="inlineStr">
        <is>
          <t>Dec 2025</t>
        </is>
      </c>
      <c r="C3" s="3" t="inlineStr">
        <is>
          <t>Jun 2026</t>
        </is>
      </c>
      <c r="D3" s="3" t="inlineStr">
        <is>
          <t>Jul 2026</t>
        </is>
      </c>
      <c r="E3" s="3" t="inlineStr">
        <is>
          <t>Aug 2026</t>
        </is>
      </c>
      <c r="F3" s="3" t="inlineStr">
        <is>
          <t>Sep 2026</t>
        </is>
      </c>
      <c r="G3" s="3" t="inlineStr">
        <is>
          <t>Oct 1-20, 2026</t>
        </is>
      </c>
    </row>
    <row r="4">
      <c r="A4" s="2" t="inlineStr">
        <is>
          <t>2000 Rights of Use Assets (own)</t>
        </is>
      </c>
      <c r="B4" s="4" t="n">
        <v>5906738.68</v>
      </c>
      <c r="C4" s="4" t="n">
        <v>5910357.68</v>
      </c>
      <c r="D4" s="4" t="n">
        <v>5910357.68</v>
      </c>
      <c r="E4" s="4" t="n">
        <v>5910357.68</v>
      </c>
      <c r="F4" s="4" t="n">
        <v>5910357.68</v>
      </c>
      <c r="G4" s="4" t="n">
        <v>5910357.68</v>
      </c>
    </row>
    <row r="5">
      <c r="A5" s="2" t="inlineStr">
        <is>
          <t>2001 ROU Asset Amortization</t>
        </is>
      </c>
      <c r="B5" s="4" t="n">
        <v>-2199540</v>
      </c>
      <c r="C5" s="4" t="n">
        <v>-2853659</v>
      </c>
      <c r="D5" s="4" t="n">
        <v>-2853659</v>
      </c>
      <c r="E5" s="4" t="n">
        <v>-2853659</v>
      </c>
      <c r="F5" s="4" t="n">
        <v>-2853659</v>
      </c>
      <c r="G5" s="4" t="n">
        <v>-2853659</v>
      </c>
    </row>
    <row r="6">
      <c r="A6" s="2" t="inlineStr">
        <is>
          <t>2320 Lease Liability - Current</t>
        </is>
      </c>
      <c r="B6" s="4" t="n">
        <v>-1294659</v>
      </c>
      <c r="C6" s="4" t="n">
        <v>-1275439</v>
      </c>
      <c r="D6" s="4" t="n">
        <v>-1275439</v>
      </c>
      <c r="E6" s="4" t="n">
        <v>-1275439</v>
      </c>
      <c r="F6" s="4" t="n">
        <v>-1275439</v>
      </c>
      <c r="G6" s="4" t="n">
        <v>-1275439</v>
      </c>
    </row>
    <row r="7">
      <c r="A7" s="2" t="inlineStr">
        <is>
          <t>2600 Lease Liability - Noncurrent</t>
        </is>
      </c>
      <c r="B7" s="4" t="n">
        <v>-2416078</v>
      </c>
      <c r="C7" s="4" t="n">
        <v>-1782486</v>
      </c>
      <c r="D7" s="4" t="n">
        <v>-1782486</v>
      </c>
      <c r="E7" s="4" t="n">
        <v>-1782486</v>
      </c>
      <c r="F7" s="4" t="n">
        <v>-1782486</v>
      </c>
      <c r="G7" s="4" t="n">
        <v>-1782486</v>
      </c>
    </row>
    <row r="8">
      <c r="A8" s="2" t="inlineStr">
        <is>
          <t>1088 Prepaid Expense:Rent</t>
        </is>
      </c>
      <c r="B8" s="4" t="n">
        <v>0</v>
      </c>
      <c r="C8" s="4" t="n">
        <v>0</v>
      </c>
      <c r="D8" s="4" t="n">
        <v>427620</v>
      </c>
      <c r="E8" s="4" t="n">
        <v>317310</v>
      </c>
      <c r="F8" s="4" t="n">
        <v>207000</v>
      </c>
      <c r="G8" s="4" t="n">
        <v>96690</v>
      </c>
    </row>
    <row r="9"/>
    <row r="10">
      <c r="A10" s="6" t="inlineStr">
        <is>
          <t>Schedule (ROU Lease Register, Laguna renewal excluded)</t>
        </is>
      </c>
    </row>
    <row r="11">
      <c r="A11" s="3" t="inlineStr">
        <is>
          <t>Account</t>
        </is>
      </c>
      <c r="B11" s="3" t="inlineStr">
        <is>
          <t>Jun 2026</t>
        </is>
      </c>
      <c r="C11" s="3" t="inlineStr">
        <is>
          <t>Jul 2026</t>
        </is>
      </c>
      <c r="D11" s="3" t="inlineStr">
        <is>
          <t>Aug 2026</t>
        </is>
      </c>
      <c r="E11" s="3" t="inlineStr">
        <is>
          <t>Sep 2026</t>
        </is>
      </c>
    </row>
    <row r="12">
      <c r="A12" s="2" t="inlineStr">
        <is>
          <t>2000 Rights of Use Assets</t>
        </is>
      </c>
      <c r="B12" s="4" t="n">
        <v>5859383.15</v>
      </c>
      <c r="C12" s="4" t="n">
        <v>5859383.15</v>
      </c>
      <c r="D12" s="4" t="n">
        <v>5859383.15</v>
      </c>
      <c r="E12" s="4" t="n">
        <v>5859383.15</v>
      </c>
    </row>
    <row r="13">
      <c r="A13" s="2" t="inlineStr">
        <is>
          <t>2001 ROU Asset Amortization</t>
        </is>
      </c>
      <c r="B13" s="4" t="n">
        <v>-2802684.99</v>
      </c>
      <c r="C13" s="4" t="n">
        <v>-2911643.98</v>
      </c>
      <c r="D13" s="4" t="n">
        <v>-3020956.78</v>
      </c>
      <c r="E13" s="4" t="n">
        <v>-3127705</v>
      </c>
    </row>
    <row r="14">
      <c r="A14" s="2" t="inlineStr">
        <is>
          <t>2320 Lease Liability - Current</t>
        </is>
      </c>
      <c r="B14" s="4" t="n">
        <v>-1275439.3</v>
      </c>
      <c r="C14" s="4" t="n">
        <v>-1272882.37</v>
      </c>
      <c r="D14" s="4" t="n">
        <v>-1270314.16</v>
      </c>
      <c r="E14" s="4" t="n">
        <v>-1270811.02</v>
      </c>
    </row>
    <row r="15">
      <c r="A15" s="2" t="inlineStr">
        <is>
          <t>2600 Lease Liability - Noncurrent</t>
        </is>
      </c>
      <c r="B15" s="4" t="n">
        <v>-1782485.9</v>
      </c>
      <c r="C15" s="4" t="n">
        <v>-1675698.64</v>
      </c>
      <c r="D15" s="4" t="n">
        <v>-1568568.86</v>
      </c>
      <c r="E15" s="4" t="n">
        <v>-1461095.46</v>
      </c>
    </row>
    <row r="16"/>
    <row r="17">
      <c r="A17" s="2" t="inlineStr">
        <is>
          <t>Only 2026 postings to 2000-2600: JE 06302026-ROU Asset Ad dated 6/30/2026 (2000 +3,619; 2001 -654,119; 2320 -19,220; 2600 -633,592). Prior: JE 12312025 ROU Tie.</t>
        </is>
      </c>
    </row>
    <row r="18">
      <c r="A18" s="2" t="inlineStr">
        <is>
          <t>Schedule math: beginning-of-month payments; interest = (opening liability - payment) x rate / 12; straight-line expense; current = next 12 months of principal.</t>
        </is>
      </c>
    </row>
    <row r="19">
      <c r="A19" s="2" t="inlineStr">
        <is>
          <t>Schedule agrees with QuickBooks at 6/30/2026 within rounding (net ROU 3,056,698.16 vs 3,056,698.68; liability 3,057,925.20 vs 3,057,925.00).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2026-10-20T20:15:50Z</dcterms:created>
  <dcterms:modified xmlns:dcterms="http://purl.org/dc/terms/" xmlns:xsi="http://www.w3.org/2001/XMLSchema-instance" xsi:type="dcterms:W3CDTF">2026-10-20T20:15:50Z</dcterms:modified>
</cp:coreProperties>
</file>