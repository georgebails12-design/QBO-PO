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als" sheetId="2" state="visible" r:id="rId2"/>
  </sheets>
  <definedNames>
    <definedName name="_xlnm._FilterDatabase" localSheetId="1" hidden="1">'Deals'!$A$1:$P$141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yyyy-mm-dd"/>
    <numFmt numFmtId="166" formatCode="mm/dd/yy"/>
    <numFmt numFmtId="167" formatCode="$#,##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166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Signed Sales Order / Pending Shop Drawings - deal-by-deal check</t>
        </is>
      </c>
    </row>
    <row r="2">
      <c r="A2" s="2" t="inlineStr">
        <is>
          <t>Source: monday.com Opportunities board, group "Signed Sales Order/Pending Shop Drawings", pulled 10/2/26. Cross-checked to the Project Managers board and the 2026 customer deposit tabs.</t>
        </is>
      </c>
    </row>
    <row r="4">
      <c r="A4" s="3" t="inlineStr">
        <is>
          <t>Classification</t>
        </is>
      </c>
      <c r="B4" s="3" t="inlineStr">
        <is>
          <t># Deals</t>
        </is>
      </c>
      <c r="C4" s="3" t="inlineStr">
        <is>
          <t>Project Total</t>
        </is>
      </c>
      <c r="D4" s="3" t="inlineStr">
        <is>
          <t>Panda #</t>
        </is>
      </c>
    </row>
    <row r="5">
      <c r="A5" s="2" t="inlineStr">
        <is>
          <t>Valid backlog</t>
        </is>
      </c>
      <c r="B5" s="2">
        <f>COUNTIF(Deals!$N:$N,A5)</f>
        <v/>
      </c>
      <c r="C5" s="4">
        <f>SUMIF(Deals!$N:$N,A5,Deals!$H:$H)</f>
        <v/>
      </c>
      <c r="D5" s="4">
        <f>SUMIF(Deals!$N:$N,A5,Deals!$I:$I)</f>
        <v/>
      </c>
    </row>
    <row r="6">
      <c r="A6" s="2" t="inlineStr">
        <is>
          <t>Check - 2025 win, no deposit, not on PM board</t>
        </is>
      </c>
      <c r="B6" s="2">
        <f>COUNTIF(Deals!$N:$N,A6)</f>
        <v/>
      </c>
      <c r="C6" s="4">
        <f>SUMIF(Deals!$N:$N,A6,Deals!$H:$H)</f>
        <v/>
      </c>
      <c r="D6" s="4">
        <f>SUMIF(Deals!$N:$N,A6,Deals!$I:$I)</f>
        <v/>
      </c>
    </row>
    <row r="7">
      <c r="A7" s="2" t="inlineStr">
        <is>
          <t>Remove - already produced / shipped</t>
        </is>
      </c>
      <c r="B7" s="2">
        <f>COUNTIF(Deals!$N:$N,A7)</f>
        <v/>
      </c>
      <c r="C7" s="4">
        <f>SUMIF(Deals!$N:$N,A7,Deals!$H:$H)</f>
        <v/>
      </c>
      <c r="D7" s="4">
        <f>SUMIF(Deals!$N:$N,A7,Deals!$I:$I)</f>
        <v/>
      </c>
    </row>
    <row r="8">
      <c r="A8" s="2" t="inlineStr">
        <is>
          <t>Remove - canceled on PM board</t>
        </is>
      </c>
      <c r="B8" s="2">
        <f>COUNTIF(Deals!$N:$N,A8)</f>
        <v/>
      </c>
      <c r="C8" s="4">
        <f>SUMIF(Deals!$N:$N,A8,Deals!$H:$H)</f>
        <v/>
      </c>
      <c r="D8" s="4">
        <f>SUMIF(Deals!$N:$N,A8,Deals!$I:$I)</f>
        <v/>
      </c>
    </row>
    <row r="9">
      <c r="A9" s="2" t="inlineStr">
        <is>
          <t>Won in October (after 10/1 snapshot)</t>
        </is>
      </c>
      <c r="B9" s="2">
        <f>COUNTIF(Deals!$N:$N,A9)</f>
        <v/>
      </c>
      <c r="C9" s="4">
        <f>SUMIF(Deals!$N:$N,A9,Deals!$H:$H)</f>
        <v/>
      </c>
      <c r="D9" s="4">
        <f>SUMIF(Deals!$N:$N,A9,Deals!$I:$I)</f>
        <v/>
      </c>
    </row>
    <row r="10">
      <c r="A10" s="5" t="inlineStr">
        <is>
          <t>Total in group today</t>
        </is>
      </c>
      <c r="B10" s="5">
        <f>SUM(B5:B9)</f>
        <v/>
      </c>
      <c r="C10" s="6">
        <f>SUM(C5:C9)</f>
        <v/>
      </c>
      <c r="D10" s="6">
        <f>SUM(D5:D9)</f>
        <v/>
      </c>
    </row>
    <row r="11">
      <c r="A11" s="2" t="n"/>
      <c r="B11" s="2" t="n"/>
      <c r="C11" s="4" t="n"/>
      <c r="D11" s="4" t="n"/>
    </row>
    <row r="12">
      <c r="A12" s="5" t="inlineStr">
        <is>
          <t>As shown on dashboard (10/1 snapshot): all deals won before 10/1</t>
        </is>
      </c>
      <c r="B12" s="2">
        <f>B10-B9</f>
        <v/>
      </c>
      <c r="C12" s="4">
        <f>C10-C9</f>
        <v/>
      </c>
      <c r="D12" s="4">
        <f>D10-D9</f>
        <v/>
      </c>
    </row>
    <row r="13">
      <c r="A13" s="2" t="inlineStr">
        <is>
          <t>Dashboard figure (hardcoded)</t>
        </is>
      </c>
      <c r="B13" s="2" t="n">
        <v>140</v>
      </c>
      <c r="C13" s="4" t="n">
        <v>9700000</v>
      </c>
      <c r="D13" s="4" t="n"/>
      <c r="E13" s="7" t="inlineStr">
        <is>
          <t>Typed into the dashboard page; not recalculated</t>
        </is>
      </c>
    </row>
    <row r="14">
      <c r="A14" s="5" t="inlineStr">
        <is>
          <t>Corrected backlog: valid + to check</t>
        </is>
      </c>
      <c r="B14" s="2">
        <f>B5+B6</f>
        <v/>
      </c>
      <c r="C14" s="4">
        <f>C5+C6</f>
        <v/>
      </c>
      <c r="D14" s="4">
        <f>D5+D6</f>
        <v/>
      </c>
    </row>
    <row r="15">
      <c r="A15" s="5" t="inlineStr">
        <is>
          <t>Corrected backlog: valid only</t>
        </is>
      </c>
      <c r="B15" s="2">
        <f>B5</f>
        <v/>
      </c>
      <c r="C15" s="4">
        <f>C5</f>
        <v/>
      </c>
      <c r="D15" s="4">
        <f>D5</f>
        <v/>
      </c>
    </row>
    <row r="17">
      <c r="A17" s="5" t="inlineStr">
        <is>
          <t>Notes</t>
        </is>
      </c>
    </row>
    <row r="18">
      <c r="A18" s="2" t="inlineStr">
        <is>
          <t>14 deals have no Project Total entered, so their value is missing from every dollar figure.</t>
        </is>
      </c>
    </row>
    <row r="19">
      <c r="A19" s="2" t="inlineStr">
        <is>
          <t>"Deposit on 2026 tab" only checks the Jan-Sep 2026 customer deposit tabs; a deposit collected in 2025 will show No.</t>
        </is>
      </c>
    </row>
    <row r="20">
      <c r="A20" s="2" t="inlineStr">
        <is>
          <t>Remove rows: the PM board already shows these jobs shipped, closed out or canceled, so they are not waiting on shop drawings. Move them out of this group in monday.</t>
        </is>
      </c>
    </row>
    <row r="21">
      <c r="A21" s="2" t="inlineStr">
        <is>
          <t>Check rows: won in 2025, no 2026 deposit and no PM board job. Probably dead or never started; confirm with the RSM.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10" customWidth="1" min="4" max="4"/>
    <col width="24" customWidth="1" min="5" max="5"/>
    <col width="9" customWidth="1" min="6" max="6"/>
    <col width="10" customWidth="1" min="7" max="7"/>
    <col width="14" customWidth="1" min="8" max="8"/>
    <col width="14" customWidth="1" min="9" max="9"/>
    <col width="12" customWidth="1" min="10" max="10"/>
    <col width="12" customWidth="1" min="11" max="11"/>
    <col width="30" customWidth="1" min="12" max="12"/>
    <col width="12" customWidth="1" min="13" max="13"/>
    <col width="40" customWidth="1" min="14" max="14"/>
    <col width="12" customWidth="1" min="15" max="15"/>
    <col width="60" customWidth="1" min="16" max="16"/>
  </cols>
  <sheetData>
    <row r="1">
      <c r="A1" s="8" t="inlineStr">
        <is>
          <t>RSM</t>
        </is>
      </c>
      <c r="B1" s="8" t="inlineStr">
        <is>
          <t>Deal</t>
        </is>
      </c>
      <c r="C1" s="8" t="inlineStr">
        <is>
          <t>Project / Company</t>
        </is>
      </c>
      <c r="D1" s="8" t="inlineStr">
        <is>
          <t>Q#</t>
        </is>
      </c>
      <c r="E1" s="8" t="inlineStr">
        <is>
          <t>Stage</t>
        </is>
      </c>
      <c r="F1" s="8" t="inlineStr">
        <is>
          <t>Deal Won</t>
        </is>
      </c>
      <c r="G1" s="8" t="inlineStr">
        <is>
          <t>Won Date</t>
        </is>
      </c>
      <c r="H1" s="8" t="inlineStr">
        <is>
          <t>Project Total</t>
        </is>
      </c>
      <c r="I1" s="8" t="inlineStr">
        <is>
          <t>Panda #</t>
        </is>
      </c>
      <c r="J1" s="8" t="inlineStr">
        <is>
          <t>Shop Drawings?</t>
        </is>
      </c>
      <c r="K1" s="8" t="inlineStr">
        <is>
          <t>Drawings Signed?</t>
        </is>
      </c>
      <c r="L1" s="8" t="inlineStr">
        <is>
          <t>PM Board Group</t>
        </is>
      </c>
      <c r="M1" s="8" t="inlineStr">
        <is>
          <t>Deposit on 2026 tab</t>
        </is>
      </c>
      <c r="N1" s="8" t="inlineStr">
        <is>
          <t>Classification</t>
        </is>
      </c>
      <c r="O1" s="8" t="inlineStr">
        <is>
          <t>Opp Last Updated</t>
        </is>
      </c>
      <c r="P1" s="8" t="inlineStr">
        <is>
          <t>monday link</t>
        </is>
      </c>
    </row>
    <row r="2">
      <c r="A2" s="2" t="inlineStr">
        <is>
          <t>Bill Davenport</t>
        </is>
      </c>
      <c r="B2" s="2" t="inlineStr">
        <is>
          <t>Daniel Moran</t>
        </is>
      </c>
      <c r="C2" s="2" t="inlineStr">
        <is>
          <t>Moran Residence</t>
        </is>
      </c>
      <c r="D2" s="2" t="inlineStr">
        <is>
          <t>90891 / 2092</t>
        </is>
      </c>
      <c r="E2" s="2" t="inlineStr">
        <is>
          <t>Signed SO/Pending Drawings</t>
        </is>
      </c>
      <c r="F2" s="2" t="inlineStr">
        <is>
          <t>Yes</t>
        </is>
      </c>
      <c r="G2" s="9" t="n">
        <v>46232</v>
      </c>
      <c r="H2" s="4" t="n">
        <v>9757</v>
      </c>
      <c r="I2" s="4" t="n">
        <v>5217</v>
      </c>
      <c r="J2" s="2" t="inlineStr">
        <is>
          <t>No</t>
        </is>
      </c>
      <c r="K2" s="2" t="inlineStr">
        <is>
          <t>No</t>
        </is>
      </c>
      <c r="L2" s="2" t="inlineStr">
        <is>
          <t>Not on PM board</t>
        </is>
      </c>
      <c r="M2" s="2" t="inlineStr">
        <is>
          <t>No</t>
        </is>
      </c>
      <c r="N2" s="2" t="inlineStr">
        <is>
          <t>Valid backlog</t>
        </is>
      </c>
      <c r="O2" s="9" t="n">
        <v>46240</v>
      </c>
      <c r="P2" s="2" t="inlineStr">
        <is>
          <t>https://panda-windows-and-doors.monday.com/boards/7469134152/pulses/11989151816</t>
        </is>
      </c>
    </row>
    <row r="3">
      <c r="A3" s="2" t="inlineStr">
        <is>
          <t>Bill Davenport</t>
        </is>
      </c>
      <c r="B3" s="2" t="inlineStr">
        <is>
          <t>Kenneth VanBuskirk</t>
        </is>
      </c>
      <c r="C3" s="2" t="inlineStr">
        <is>
          <t>Detroit Pistons Locker Room</t>
        </is>
      </c>
      <c r="D3" s="2" t="inlineStr">
        <is>
          <t>92529</t>
        </is>
      </c>
      <c r="E3" s="2" t="inlineStr">
        <is>
          <t>Signed SO/Pending Drawings</t>
        </is>
      </c>
      <c r="F3" s="2" t="inlineStr">
        <is>
          <t>Yes</t>
        </is>
      </c>
      <c r="G3" s="9" t="n">
        <v>46275</v>
      </c>
      <c r="H3" s="4" t="n"/>
      <c r="I3" s="4" t="n"/>
      <c r="J3" s="2" t="inlineStr">
        <is>
          <t>No</t>
        </is>
      </c>
      <c r="K3" s="2" t="inlineStr">
        <is>
          <t>No</t>
        </is>
      </c>
      <c r="L3" s="2" t="inlineStr">
        <is>
          <t>Not on PM board</t>
        </is>
      </c>
      <c r="M3" s="2" t="inlineStr">
        <is>
          <t>No</t>
        </is>
      </c>
      <c r="N3" s="2" t="inlineStr">
        <is>
          <t>Valid backlog</t>
        </is>
      </c>
      <c r="O3" s="9" t="n">
        <v>46290</v>
      </c>
      <c r="P3" s="2" t="inlineStr">
        <is>
          <t>https://panda-windows-and-doors.monday.com/boards/7469134152/pulses/12970532244</t>
        </is>
      </c>
    </row>
    <row r="4">
      <c r="A4" s="2" t="inlineStr">
        <is>
          <t>Derrick McCall</t>
        </is>
      </c>
      <c r="B4" s="2" t="inlineStr">
        <is>
          <t>J Shuman Door Installation</t>
        </is>
      </c>
      <c r="C4" s="2" t="inlineStr">
        <is>
          <t>Hospitality Building</t>
        </is>
      </c>
      <c r="D4" s="2" t="inlineStr">
        <is>
          <t>86579</t>
        </is>
      </c>
      <c r="E4" s="2" t="inlineStr">
        <is>
          <t>Signed SO/Pending Drawings</t>
        </is>
      </c>
      <c r="F4" s="2" t="inlineStr">
        <is>
          <t>Yes</t>
        </is>
      </c>
      <c r="G4" s="9" t="n">
        <v>46188</v>
      </c>
      <c r="H4" s="4" t="n">
        <v>153173</v>
      </c>
      <c r="I4" s="4" t="n">
        <v>135977.87</v>
      </c>
      <c r="J4" s="2" t="inlineStr">
        <is>
          <t>Yes</t>
        </is>
      </c>
      <c r="K4" s="2" t="inlineStr">
        <is>
          <t>No</t>
        </is>
      </c>
      <c r="L4" s="2" t="inlineStr">
        <is>
          <t>Sent to Engineering</t>
        </is>
      </c>
      <c r="M4" s="2" t="inlineStr">
        <is>
          <t>Yes</t>
        </is>
      </c>
      <c r="N4" s="2" t="inlineStr">
        <is>
          <t>Valid backlog</t>
        </is>
      </c>
      <c r="O4" s="9" t="n">
        <v>46212</v>
      </c>
      <c r="P4" s="2" t="inlineStr">
        <is>
          <t>https://panda-windows-and-doors.monday.com/boards/7469134152/pulses/9645512025</t>
        </is>
      </c>
    </row>
    <row r="5">
      <c r="A5" s="2" t="inlineStr">
        <is>
          <t>Derrick McCall</t>
        </is>
      </c>
      <c r="B5" s="2" t="inlineStr">
        <is>
          <t>Best Contracting</t>
        </is>
      </c>
      <c r="C5" s="2" t="inlineStr">
        <is>
          <t>UCSB San Benito Housing</t>
        </is>
      </c>
      <c r="D5" s="2" t="inlineStr">
        <is>
          <t>87022</t>
        </is>
      </c>
      <c r="E5" s="2" t="inlineStr">
        <is>
          <t>Signed SO/Pending Drawings</t>
        </is>
      </c>
      <c r="F5" s="2" t="inlineStr">
        <is>
          <t>Yes</t>
        </is>
      </c>
      <c r="G5" s="9" t="n">
        <v>45965</v>
      </c>
      <c r="H5" s="4" t="n">
        <v>121645</v>
      </c>
      <c r="I5" s="4" t="n">
        <v>107495.35</v>
      </c>
      <c r="J5" s="2" t="inlineStr">
        <is>
          <t>Yes</t>
        </is>
      </c>
      <c r="K5" s="2" t="inlineStr">
        <is>
          <t>No</t>
        </is>
      </c>
      <c r="L5" s="2" t="inlineStr">
        <is>
          <t>Sent to Engineering</t>
        </is>
      </c>
      <c r="M5" s="2" t="inlineStr">
        <is>
          <t>Yes</t>
        </is>
      </c>
      <c r="N5" s="2" t="inlineStr">
        <is>
          <t>Valid backlog</t>
        </is>
      </c>
      <c r="O5" s="9" t="n">
        <v>46120</v>
      </c>
      <c r="P5" s="2" t="inlineStr">
        <is>
          <t>https://panda-windows-and-doors.monday.com/boards/7469134152/pulses/18346441407</t>
        </is>
      </c>
    </row>
    <row r="6">
      <c r="A6" s="2" t="inlineStr">
        <is>
          <t>Derrick McCall</t>
        </is>
      </c>
      <c r="B6" s="2" t="inlineStr">
        <is>
          <t>Pacific Glazing Contractors</t>
        </is>
      </c>
      <c r="C6" s="2" t="inlineStr">
        <is>
          <t>Mission Bay South 4E Phase 2</t>
        </is>
      </c>
      <c r="D6" s="2" t="inlineStr">
        <is>
          <t>89502</t>
        </is>
      </c>
      <c r="E6" s="2" t="inlineStr">
        <is>
          <t>Proposal Sent to Client</t>
        </is>
      </c>
      <c r="F6" s="2" t="inlineStr">
        <is>
          <t>Yes</t>
        </is>
      </c>
      <c r="G6" s="9" t="n">
        <v>46141</v>
      </c>
      <c r="H6" s="4" t="n">
        <v>107644</v>
      </c>
      <c r="I6" s="4" t="n">
        <v>92836.96000000001</v>
      </c>
      <c r="J6" s="2" t="inlineStr">
        <is>
          <t>No</t>
        </is>
      </c>
      <c r="K6" s="2" t="inlineStr">
        <is>
          <t>No</t>
        </is>
      </c>
      <c r="L6" s="2" t="inlineStr">
        <is>
          <t>Pending Deposit in Invoicing</t>
        </is>
      </c>
      <c r="M6" s="2" t="inlineStr">
        <is>
          <t>No</t>
        </is>
      </c>
      <c r="N6" s="2" t="inlineStr">
        <is>
          <t>Valid backlog</t>
        </is>
      </c>
      <c r="O6" s="9" t="n">
        <v>46141</v>
      </c>
      <c r="P6" s="2" t="inlineStr">
        <is>
          <t>https://panda-windows-and-doors.monday.com/boards/7469134152/pulses/11342933243</t>
        </is>
      </c>
    </row>
    <row r="7">
      <c r="A7" s="2" t="inlineStr">
        <is>
          <t>Derrick McCall</t>
        </is>
      </c>
      <c r="B7" s="2" t="inlineStr">
        <is>
          <t>Classic Glass</t>
        </is>
      </c>
      <c r="C7" s="2" t="inlineStr">
        <is>
          <t>Hotel Mohi</t>
        </is>
      </c>
      <c r="D7" s="2" t="inlineStr">
        <is>
          <t>88845</t>
        </is>
      </c>
      <c r="E7" s="2" t="inlineStr">
        <is>
          <t>Signed SO/Pending Drawings</t>
        </is>
      </c>
      <c r="F7" s="2" t="inlineStr">
        <is>
          <t>Yes</t>
        </is>
      </c>
      <c r="G7" s="9" t="n">
        <v>46101</v>
      </c>
      <c r="H7" s="4" t="n">
        <v>103637</v>
      </c>
      <c r="I7" s="4" t="n">
        <v>90249.35000000001</v>
      </c>
      <c r="J7" s="2" t="inlineStr">
        <is>
          <t>Yes</t>
        </is>
      </c>
      <c r="K7" s="2" t="inlineStr">
        <is>
          <t>No</t>
        </is>
      </c>
      <c r="L7" s="2" t="inlineStr">
        <is>
          <t>Sent to Engineering</t>
        </is>
      </c>
      <c r="M7" s="2" t="inlineStr">
        <is>
          <t>Yes</t>
        </is>
      </c>
      <c r="N7" s="2" t="inlineStr">
        <is>
          <t>Valid backlog</t>
        </is>
      </c>
      <c r="O7" s="9" t="n">
        <v>46128</v>
      </c>
      <c r="P7" s="2" t="inlineStr">
        <is>
          <t>https://panda-windows-and-doors.monday.com/boards/7469134152/pulses/11556409277</t>
        </is>
      </c>
    </row>
    <row r="8">
      <c r="A8" s="2" t="inlineStr">
        <is>
          <t>Derrick McCall</t>
        </is>
      </c>
      <c r="B8" s="2" t="inlineStr">
        <is>
          <t>Progress Glass</t>
        </is>
      </c>
      <c r="C8" s="2" t="inlineStr">
        <is>
          <t>Marin Art &amp; Garden Center</t>
        </is>
      </c>
      <c r="D8" s="2" t="inlineStr">
        <is>
          <t>91229 / 2493</t>
        </is>
      </c>
      <c r="E8" s="2" t="inlineStr">
        <is>
          <t>Signed SO/Pending Drawings</t>
        </is>
      </c>
      <c r="F8" s="2" t="inlineStr">
        <is>
          <t>Yes</t>
        </is>
      </c>
      <c r="G8" s="9" t="n">
        <v>46281</v>
      </c>
      <c r="H8" s="4" t="n">
        <v>98131.60000000001</v>
      </c>
      <c r="I8" s="4" t="n">
        <v>82015.63</v>
      </c>
      <c r="J8" s="2" t="inlineStr">
        <is>
          <t>Yes</t>
        </is>
      </c>
      <c r="K8" s="2" t="inlineStr">
        <is>
          <t>No</t>
        </is>
      </c>
      <c r="L8" s="2" t="inlineStr">
        <is>
          <t>Not on PM board</t>
        </is>
      </c>
      <c r="M8" s="2" t="inlineStr">
        <is>
          <t>Yes</t>
        </is>
      </c>
      <c r="N8" s="2" t="inlineStr">
        <is>
          <t>Valid backlog</t>
        </is>
      </c>
      <c r="O8" s="9" t="n">
        <v>46289</v>
      </c>
      <c r="P8" s="2" t="inlineStr">
        <is>
          <t>https://panda-windows-and-doors.monday.com/boards/7469134152/pulses/12197775710</t>
        </is>
      </c>
    </row>
    <row r="9">
      <c r="A9" s="2" t="inlineStr">
        <is>
          <t>Derrick McCall</t>
        </is>
      </c>
      <c r="B9" s="2" t="inlineStr">
        <is>
          <t>Capitol Glass Company</t>
        </is>
      </c>
      <c r="C9" s="2" t="inlineStr">
        <is>
          <t>The Eliza</t>
        </is>
      </c>
      <c r="D9" s="2" t="inlineStr">
        <is>
          <t>84966</t>
        </is>
      </c>
      <c r="E9" s="2" t="inlineStr">
        <is>
          <t>Signed SO/Pending Drawings</t>
        </is>
      </c>
      <c r="F9" s="2" t="inlineStr">
        <is>
          <t>Yes</t>
        </is>
      </c>
      <c r="G9" s="9" t="n">
        <v>45924</v>
      </c>
      <c r="H9" s="4" t="n">
        <v>79208</v>
      </c>
      <c r="I9" s="4" t="n">
        <v>67627.5</v>
      </c>
      <c r="J9" s="2" t="inlineStr">
        <is>
          <t>Yes</t>
        </is>
      </c>
      <c r="K9" s="2" t="inlineStr">
        <is>
          <t>No</t>
        </is>
      </c>
      <c r="L9" s="2" t="inlineStr">
        <is>
          <t>Sent to Engineering</t>
        </is>
      </c>
      <c r="M9" s="2" t="inlineStr">
        <is>
          <t>Yes</t>
        </is>
      </c>
      <c r="N9" s="2" t="inlineStr">
        <is>
          <t>Valid backlog</t>
        </is>
      </c>
      <c r="O9" s="9" t="n">
        <v>46120</v>
      </c>
      <c r="P9" s="2" t="inlineStr">
        <is>
          <t>https://panda-windows-and-doors.monday.com/boards/7469134152/pulses/8917925091</t>
        </is>
      </c>
    </row>
    <row r="10">
      <c r="A10" s="2" t="inlineStr">
        <is>
          <t>Derrick McCall</t>
        </is>
      </c>
      <c r="B10" s="2" t="inlineStr">
        <is>
          <t>Sunset Glazing</t>
        </is>
      </c>
      <c r="C10" s="2" t="inlineStr">
        <is>
          <t>6th &amp; Palm</t>
        </is>
      </c>
      <c r="D10" s="2" t="inlineStr">
        <is>
          <t>84176/4141</t>
        </is>
      </c>
      <c r="E10" s="2" t="inlineStr">
        <is>
          <t>Signed SO/Pending Drawings</t>
        </is>
      </c>
      <c r="F10" s="2" t="inlineStr">
        <is>
          <t>Yes</t>
        </is>
      </c>
      <c r="G10" s="9" t="n">
        <v>46245</v>
      </c>
      <c r="H10" s="4" t="n">
        <v>78196.39</v>
      </c>
      <c r="I10" s="4" t="n">
        <v>67355.35000000001</v>
      </c>
      <c r="J10" s="2" t="inlineStr">
        <is>
          <t>No</t>
        </is>
      </c>
      <c r="K10" s="2" t="inlineStr">
        <is>
          <t>No</t>
        </is>
      </c>
      <c r="L10" s="2" t="inlineStr">
        <is>
          <t>Not on PM board</t>
        </is>
      </c>
      <c r="M10" s="2" t="inlineStr">
        <is>
          <t>Yes</t>
        </is>
      </c>
      <c r="N10" s="2" t="inlineStr">
        <is>
          <t>Valid backlog</t>
        </is>
      </c>
      <c r="O10" s="9" t="n">
        <v>46261</v>
      </c>
      <c r="P10" s="2" t="inlineStr">
        <is>
          <t>https://panda-windows-and-doors.monday.com/boards/7469134152/pulses/8627892187</t>
        </is>
      </c>
    </row>
    <row r="11">
      <c r="A11" s="2" t="inlineStr">
        <is>
          <t>Derrick McCall</t>
        </is>
      </c>
      <c r="B11" s="2" t="inlineStr">
        <is>
          <t>Lucky's Glass</t>
        </is>
      </c>
      <c r="C11" s="2" t="inlineStr">
        <is>
          <t>Meditation</t>
        </is>
      </c>
      <c r="D11" s="2" t="inlineStr">
        <is>
          <t>86347 / 4593</t>
        </is>
      </c>
      <c r="E11" s="2" t="inlineStr">
        <is>
          <t>Signed SO/Pending Drawings</t>
        </is>
      </c>
      <c r="F11" s="2" t="inlineStr">
        <is>
          <t>Yes</t>
        </is>
      </c>
      <c r="G11" s="9" t="n">
        <v>46265</v>
      </c>
      <c r="H11" s="4" t="n">
        <v>65888.32000000001</v>
      </c>
      <c r="I11" s="4" t="n">
        <v>57344.82</v>
      </c>
      <c r="J11" s="2" t="inlineStr">
        <is>
          <t>No</t>
        </is>
      </c>
      <c r="K11" s="2" t="inlineStr">
        <is>
          <t>No</t>
        </is>
      </c>
      <c r="L11" s="2" t="inlineStr">
        <is>
          <t>Not on PM board</t>
        </is>
      </c>
      <c r="M11" s="2" t="inlineStr">
        <is>
          <t>No</t>
        </is>
      </c>
      <c r="N11" s="2" t="inlineStr">
        <is>
          <t>Valid backlog</t>
        </is>
      </c>
      <c r="O11" s="9" t="n">
        <v>46265</v>
      </c>
      <c r="P11" s="2" t="inlineStr">
        <is>
          <t>https://panda-windows-and-doors.monday.com/boards/7469134152/pulses/9534718348</t>
        </is>
      </c>
    </row>
    <row r="12">
      <c r="A12" s="2" t="inlineStr">
        <is>
          <t>Derrick McCall</t>
        </is>
      </c>
      <c r="B12" s="2" t="inlineStr">
        <is>
          <t>Giroux Glass</t>
        </is>
      </c>
      <c r="C12" s="2" t="inlineStr">
        <is>
          <t>Sparks Training Facility</t>
        </is>
      </c>
      <c r="D12" s="2" t="inlineStr">
        <is>
          <t>89539</t>
        </is>
      </c>
      <c r="E12" s="2" t="inlineStr">
        <is>
          <t>Signed SO/Pending Drawings</t>
        </is>
      </c>
      <c r="F12" s="2" t="inlineStr">
        <is>
          <t>Yes</t>
        </is>
      </c>
      <c r="G12" s="9" t="n">
        <v>46162</v>
      </c>
      <c r="H12" s="4" t="n">
        <v>65212</v>
      </c>
      <c r="I12" s="4" t="n">
        <v>5535.75</v>
      </c>
      <c r="J12" s="2" t="inlineStr">
        <is>
          <t>Yes</t>
        </is>
      </c>
      <c r="K12" s="2" t="inlineStr">
        <is>
          <t>No</t>
        </is>
      </c>
      <c r="L12" s="2" t="inlineStr">
        <is>
          <t>Pending Deposit in Invoicing</t>
        </is>
      </c>
      <c r="M12" s="2" t="inlineStr">
        <is>
          <t>Yes</t>
        </is>
      </c>
      <c r="N12" s="2" t="inlineStr">
        <is>
          <t>Valid backlog</t>
        </is>
      </c>
      <c r="O12" s="9" t="n">
        <v>46244</v>
      </c>
      <c r="P12" s="2" t="inlineStr">
        <is>
          <t>https://panda-windows-and-doors.monday.com/boards/7469134152/pulses/11358077145</t>
        </is>
      </c>
    </row>
    <row r="13">
      <c r="A13" s="2" t="inlineStr">
        <is>
          <t>Derrick McCall</t>
        </is>
      </c>
      <c r="B13" s="2" t="inlineStr">
        <is>
          <t>Walters &amp; Wolf</t>
        </is>
      </c>
      <c r="C13" s="2" t="inlineStr">
        <is>
          <t>UCB Bancroft</t>
        </is>
      </c>
      <c r="D13" s="2" t="inlineStr">
        <is>
          <t>87035</t>
        </is>
      </c>
      <c r="E13" s="2" t="inlineStr">
        <is>
          <t>Signed SO/Pending Drawings</t>
        </is>
      </c>
      <c r="F13" s="2" t="inlineStr">
        <is>
          <t>Yes</t>
        </is>
      </c>
      <c r="G13" s="9" t="n">
        <v>46175</v>
      </c>
      <c r="H13" s="4" t="n">
        <v>56357</v>
      </c>
      <c r="I13" s="4" t="n">
        <v>48347.41</v>
      </c>
      <c r="J13" s="2" t="inlineStr">
        <is>
          <t>Yes</t>
        </is>
      </c>
      <c r="K13" s="2" t="inlineStr">
        <is>
          <t>No</t>
        </is>
      </c>
      <c r="L13" s="2" t="inlineStr">
        <is>
          <t>Sent to Engineering</t>
        </is>
      </c>
      <c r="M13" s="2" t="inlineStr">
        <is>
          <t>Yes</t>
        </is>
      </c>
      <c r="N13" s="2" t="inlineStr">
        <is>
          <t>Valid backlog</t>
        </is>
      </c>
      <c r="O13" s="9" t="n">
        <v>46188</v>
      </c>
      <c r="P13" s="2" t="inlineStr">
        <is>
          <t>https://panda-windows-and-doors.monday.com/boards/7469134152/pulses/9882140955</t>
        </is>
      </c>
    </row>
    <row r="14">
      <c r="A14" s="2" t="inlineStr">
        <is>
          <t>Derrick McCall</t>
        </is>
      </c>
      <c r="B14" s="2" t="inlineStr">
        <is>
          <t>Elite Glaziers</t>
        </is>
      </c>
      <c r="C14" s="2" t="inlineStr">
        <is>
          <t>LA Basketball</t>
        </is>
      </c>
      <c r="D14" s="2" t="inlineStr">
        <is>
          <t>90706</t>
        </is>
      </c>
      <c r="E14" s="2" t="inlineStr">
        <is>
          <t>Signed SO/Pending Drawings</t>
        </is>
      </c>
      <c r="F14" s="2" t="inlineStr">
        <is>
          <t>Yes</t>
        </is>
      </c>
      <c r="G14" s="9" t="n">
        <v>46148</v>
      </c>
      <c r="H14" s="4" t="n">
        <v>52480</v>
      </c>
      <c r="I14" s="4" t="n">
        <v>45833.22</v>
      </c>
      <c r="J14" s="2" t="inlineStr">
        <is>
          <t>Yes</t>
        </is>
      </c>
      <c r="K14" s="2" t="inlineStr">
        <is>
          <t>No</t>
        </is>
      </c>
      <c r="L14" s="2" t="inlineStr">
        <is>
          <t>Sent to Engineering</t>
        </is>
      </c>
      <c r="M14" s="2" t="inlineStr">
        <is>
          <t>Yes</t>
        </is>
      </c>
      <c r="N14" s="2" t="inlineStr">
        <is>
          <t>Valid backlog</t>
        </is>
      </c>
      <c r="O14" s="9" t="n">
        <v>46190</v>
      </c>
      <c r="P14" s="2" t="inlineStr">
        <is>
          <t>https://panda-windows-and-doors.monday.com/boards/7469134152/pulses/11801141862</t>
        </is>
      </c>
    </row>
    <row r="15">
      <c r="A15" s="2" t="inlineStr">
        <is>
          <t>Derrick McCall</t>
        </is>
      </c>
      <c r="B15" s="2" t="inlineStr">
        <is>
          <t>Platinum Glass</t>
        </is>
      </c>
      <c r="C15" s="2" t="inlineStr">
        <is>
          <t>JP Morgan Chase 7th</t>
        </is>
      </c>
      <c r="D15" s="2" t="inlineStr">
        <is>
          <t>89431</t>
        </is>
      </c>
      <c r="E15" s="2" t="inlineStr">
        <is>
          <t>Signed SO/Pending Drawings</t>
        </is>
      </c>
      <c r="F15" s="2" t="inlineStr">
        <is>
          <t>Yes</t>
        </is>
      </c>
      <c r="G15" s="9" t="n">
        <v>46108</v>
      </c>
      <c r="H15" s="4" t="n">
        <v>48064</v>
      </c>
      <c r="I15" s="4" t="n">
        <v>42001.39</v>
      </c>
      <c r="J15" s="2" t="inlineStr">
        <is>
          <t>No</t>
        </is>
      </c>
      <c r="K15" s="2" t="inlineStr">
        <is>
          <t>No</t>
        </is>
      </c>
      <c r="L15" s="2" t="inlineStr">
        <is>
          <t>Pending Deposit in Invoicing</t>
        </is>
      </c>
      <c r="M15" s="2" t="inlineStr">
        <is>
          <t>No</t>
        </is>
      </c>
      <c r="N15" s="2" t="inlineStr">
        <is>
          <t>Valid backlog</t>
        </is>
      </c>
      <c r="O15" s="9" t="n">
        <v>46120</v>
      </c>
      <c r="P15" s="2" t="inlineStr">
        <is>
          <t>https://panda-windows-and-doors.monday.com/boards/7469134152/pulses/11295209764</t>
        </is>
      </c>
    </row>
    <row r="16">
      <c r="A16" s="2" t="inlineStr">
        <is>
          <t>Derrick McCall</t>
        </is>
      </c>
      <c r="B16" s="2" t="inlineStr">
        <is>
          <t>Platinum Glass</t>
        </is>
      </c>
      <c r="C16" s="2" t="inlineStr">
        <is>
          <t>JP Morgan Chase 8th</t>
        </is>
      </c>
      <c r="D16" s="2" t="inlineStr">
        <is>
          <t>89430</t>
        </is>
      </c>
      <c r="E16" s="2" t="inlineStr">
        <is>
          <t>Signed SO/Pending Drawings</t>
        </is>
      </c>
      <c r="F16" s="2" t="inlineStr">
        <is>
          <t>Yes</t>
        </is>
      </c>
      <c r="G16" s="9" t="n">
        <v>46108</v>
      </c>
      <c r="H16" s="4" t="n">
        <v>48064</v>
      </c>
      <c r="I16" s="4" t="n">
        <v>42001.39</v>
      </c>
      <c r="J16" s="2" t="inlineStr">
        <is>
          <t>No</t>
        </is>
      </c>
      <c r="K16" s="2" t="inlineStr">
        <is>
          <t>No</t>
        </is>
      </c>
      <c r="L16" s="2" t="inlineStr">
        <is>
          <t>Pending Deposit in Invoicing</t>
        </is>
      </c>
      <c r="M16" s="2" t="inlineStr">
        <is>
          <t>No</t>
        </is>
      </c>
      <c r="N16" s="2" t="inlineStr">
        <is>
          <t>Valid backlog</t>
        </is>
      </c>
      <c r="O16" s="9" t="n">
        <v>46120</v>
      </c>
      <c r="P16" s="2" t="inlineStr">
        <is>
          <t>https://panda-windows-and-doors.monday.com/boards/7469134152/pulses/11295213702</t>
        </is>
      </c>
    </row>
    <row r="17">
      <c r="A17" s="2" t="inlineStr">
        <is>
          <t>Derrick McCall</t>
        </is>
      </c>
      <c r="B17" s="2" t="inlineStr">
        <is>
          <t>AAC Glass Inc</t>
        </is>
      </c>
      <c r="C17" s="2" t="inlineStr">
        <is>
          <t>PUSD Folding Door</t>
        </is>
      </c>
      <c r="D17" s="2" t="inlineStr">
        <is>
          <t>88164</t>
        </is>
      </c>
      <c r="E17" s="2" t="inlineStr">
        <is>
          <t>Signed SO/Pending Drawings</t>
        </is>
      </c>
      <c r="F17" s="2" t="inlineStr">
        <is>
          <t>Yes</t>
        </is>
      </c>
      <c r="G17" s="9" t="n">
        <v>46178</v>
      </c>
      <c r="H17" s="4" t="n">
        <v>44565</v>
      </c>
      <c r="I17" s="4" t="n">
        <v>37957.25</v>
      </c>
      <c r="J17" s="2" t="inlineStr">
        <is>
          <t>No</t>
        </is>
      </c>
      <c r="K17" s="2" t="inlineStr">
        <is>
          <t>No</t>
        </is>
      </c>
      <c r="L17" s="2" t="inlineStr">
        <is>
          <t>Pending Deposit in Invoicing</t>
        </is>
      </c>
      <c r="M17" s="2" t="inlineStr">
        <is>
          <t>Yes</t>
        </is>
      </c>
      <c r="N17" s="2" t="inlineStr">
        <is>
          <t>Valid backlog</t>
        </is>
      </c>
      <c r="O17" s="9" t="n">
        <v>46178</v>
      </c>
      <c r="P17" s="2" t="inlineStr">
        <is>
          <t>https://panda-windows-and-doors.monday.com/boards/7469134152/pulses/12202842142</t>
        </is>
      </c>
    </row>
    <row r="18">
      <c r="A18" s="2" t="inlineStr">
        <is>
          <t>Derrick McCall</t>
        </is>
      </c>
      <c r="B18" s="2" t="inlineStr">
        <is>
          <t>Capital Glass Company</t>
        </is>
      </c>
      <c r="C18" s="2" t="inlineStr">
        <is>
          <t>34th and San Pablo</t>
        </is>
      </c>
      <c r="D18" s="2" t="inlineStr">
        <is>
          <t>86644</t>
        </is>
      </c>
      <c r="E18" s="2" t="inlineStr">
        <is>
          <t>Signed SO/Pending Drawings</t>
        </is>
      </c>
      <c r="F18" s="2" t="inlineStr">
        <is>
          <t>Yes</t>
        </is>
      </c>
      <c r="G18" s="9" t="n">
        <v>45975</v>
      </c>
      <c r="H18" s="4" t="n">
        <v>34422.21</v>
      </c>
      <c r="I18" s="4" t="n">
        <v>26331.1</v>
      </c>
      <c r="J18" s="2" t="inlineStr">
        <is>
          <t>Yes</t>
        </is>
      </c>
      <c r="K18" s="2" t="inlineStr">
        <is>
          <t>No</t>
        </is>
      </c>
      <c r="L18" s="2" t="inlineStr">
        <is>
          <t>Sent to Engineering</t>
        </is>
      </c>
      <c r="M18" s="2" t="inlineStr">
        <is>
          <t>Yes</t>
        </is>
      </c>
      <c r="N18" s="2" t="inlineStr">
        <is>
          <t>Valid backlog</t>
        </is>
      </c>
      <c r="O18" s="9" t="n">
        <v>46259</v>
      </c>
      <c r="P18" s="2" t="inlineStr">
        <is>
          <t>https://panda-windows-and-doors.monday.com/boards/7469134152/pulses/10567219045</t>
        </is>
      </c>
    </row>
    <row r="19">
      <c r="A19" s="2" t="inlineStr">
        <is>
          <t>Derrick McCall</t>
        </is>
      </c>
      <c r="B19" s="2" t="inlineStr">
        <is>
          <t>Aragon Construction</t>
        </is>
      </c>
      <c r="C19" s="2" t="inlineStr">
        <is>
          <t>216B - Replacement</t>
        </is>
      </c>
      <c r="D19" s="2" t="inlineStr">
        <is>
          <t>92404 / 4620</t>
        </is>
      </c>
      <c r="E19" s="2" t="inlineStr">
        <is>
          <t>Signed SO/Pending Drawings</t>
        </is>
      </c>
      <c r="F19" s="2" t="inlineStr">
        <is>
          <t>Yes</t>
        </is>
      </c>
      <c r="G19" s="9" t="n">
        <v>46265</v>
      </c>
      <c r="H19" s="4" t="n">
        <v>33776.18</v>
      </c>
      <c r="I19" s="4" t="n">
        <v>27629.31</v>
      </c>
      <c r="J19" s="2" t="inlineStr">
        <is>
          <t>No</t>
        </is>
      </c>
      <c r="K19" s="2" t="inlineStr">
        <is>
          <t>No</t>
        </is>
      </c>
      <c r="L19" s="2" t="inlineStr">
        <is>
          <t>Not on PM board</t>
        </is>
      </c>
      <c r="M19" s="2" t="inlineStr">
        <is>
          <t>Yes</t>
        </is>
      </c>
      <c r="N19" s="2" t="inlineStr">
        <is>
          <t>Valid backlog</t>
        </is>
      </c>
      <c r="O19" s="9" t="n">
        <v>46281</v>
      </c>
      <c r="P19" s="2" t="inlineStr">
        <is>
          <t>https://panda-windows-and-doors.monday.com/boards/7469134152/pulses/12906740141</t>
        </is>
      </c>
    </row>
    <row r="20">
      <c r="A20" s="2" t="inlineStr">
        <is>
          <t>Derrick McCall</t>
        </is>
      </c>
      <c r="B20" s="2" t="inlineStr">
        <is>
          <t>Liberty Glass &amp; Metal, Inc</t>
        </is>
      </c>
      <c r="C20" s="2" t="inlineStr">
        <is>
          <t>Irvine</t>
        </is>
      </c>
      <c r="D20" s="2" t="inlineStr">
        <is>
          <t>89690/2533</t>
        </is>
      </c>
      <c r="E20" s="2" t="inlineStr">
        <is>
          <t>Signed SO/Pending Drawings</t>
        </is>
      </c>
      <c r="F20" s="2" t="inlineStr">
        <is>
          <t>Yes</t>
        </is>
      </c>
      <c r="G20" s="9" t="n">
        <v>46239</v>
      </c>
      <c r="H20" s="4" t="n">
        <v>27103.24</v>
      </c>
      <c r="I20" s="4" t="n">
        <v>22286.7</v>
      </c>
      <c r="J20" s="2" t="inlineStr">
        <is>
          <t>No</t>
        </is>
      </c>
      <c r="K20" s="2" t="inlineStr">
        <is>
          <t>No</t>
        </is>
      </c>
      <c r="L20" s="2" t="inlineStr">
        <is>
          <t>Not on PM board</t>
        </is>
      </c>
      <c r="M20" s="2" t="inlineStr">
        <is>
          <t>Yes</t>
        </is>
      </c>
      <c r="N20" s="2" t="inlineStr">
        <is>
          <t>Valid backlog</t>
        </is>
      </c>
      <c r="O20" s="9" t="n">
        <v>46246</v>
      </c>
      <c r="P20" s="2" t="inlineStr">
        <is>
          <t>https://panda-windows-and-doors.monday.com/boards/7469134152/pulses/11437498416</t>
        </is>
      </c>
    </row>
    <row r="21">
      <c r="A21" s="2" t="inlineStr">
        <is>
          <t>Derrick McCall</t>
        </is>
      </c>
      <c r="B21" s="2" t="inlineStr">
        <is>
          <t>Lincoln Glass &amp; Mirror</t>
        </is>
      </c>
      <c r="C21" s="2" t="inlineStr">
        <is>
          <t>Concord</t>
        </is>
      </c>
      <c r="D21" s="2" t="inlineStr">
        <is>
          <t>89522</t>
        </is>
      </c>
      <c r="E21" s="2" t="inlineStr">
        <is>
          <t>Signed SO/Pending Drawings</t>
        </is>
      </c>
      <c r="F21" s="2" t="inlineStr">
        <is>
          <t>Yes</t>
        </is>
      </c>
      <c r="G21" s="9" t="n">
        <v>46205</v>
      </c>
      <c r="H21" s="4" t="n">
        <v>16399</v>
      </c>
      <c r="I21" s="4" t="n">
        <v>12195.45</v>
      </c>
      <c r="J21" s="2" t="inlineStr">
        <is>
          <t>No</t>
        </is>
      </c>
      <c r="K21" s="2" t="inlineStr">
        <is>
          <t>No</t>
        </is>
      </c>
      <c r="L21" s="2" t="inlineStr">
        <is>
          <t>Not on PM board</t>
        </is>
      </c>
      <c r="M21" s="2" t="inlineStr">
        <is>
          <t>Yes</t>
        </is>
      </c>
      <c r="N21" s="2" t="inlineStr">
        <is>
          <t>Valid backlog</t>
        </is>
      </c>
      <c r="O21" s="9" t="n">
        <v>46216</v>
      </c>
      <c r="P21" s="2" t="inlineStr">
        <is>
          <t>https://panda-windows-and-doors.monday.com/boards/7469134152/pulses/11352915067</t>
        </is>
      </c>
    </row>
    <row r="22">
      <c r="A22" s="2" t="inlineStr">
        <is>
          <t>Derrick McCall</t>
        </is>
      </c>
      <c r="B22" s="2" t="inlineStr">
        <is>
          <t>Elevate Home</t>
        </is>
      </c>
      <c r="C22" s="2" t="inlineStr">
        <is>
          <t>4005 Alonzo Ave</t>
        </is>
      </c>
      <c r="D22" s="2" t="inlineStr">
        <is>
          <t>91449/2830</t>
        </is>
      </c>
      <c r="E22" s="2" t="inlineStr">
        <is>
          <t>Signed SO/Pending Drawings</t>
        </is>
      </c>
      <c r="F22" s="2" t="inlineStr">
        <is>
          <t>Yes</t>
        </is>
      </c>
      <c r="G22" s="9" t="n">
        <v>46223</v>
      </c>
      <c r="H22" s="4" t="n">
        <v>14448.17</v>
      </c>
      <c r="I22" s="4" t="n">
        <v>11248.39</v>
      </c>
      <c r="J22" s="2" t="inlineStr">
        <is>
          <t>Yes</t>
        </is>
      </c>
      <c r="K22" s="2" t="inlineStr">
        <is>
          <t>No</t>
        </is>
      </c>
      <c r="L22" s="2" t="inlineStr">
        <is>
          <t>Not on PM board</t>
        </is>
      </c>
      <c r="M22" s="2" t="inlineStr">
        <is>
          <t>Yes</t>
        </is>
      </c>
      <c r="N22" s="2" t="inlineStr">
        <is>
          <t>Valid backlog</t>
        </is>
      </c>
      <c r="O22" s="9" t="n">
        <v>46276</v>
      </c>
      <c r="P22" s="2" t="inlineStr">
        <is>
          <t>https://panda-windows-and-doors.monday.com/boards/7469134152/pulses/12340289913</t>
        </is>
      </c>
    </row>
    <row r="23">
      <c r="A23" s="2" t="inlineStr">
        <is>
          <t>Derrick McCall</t>
        </is>
      </c>
      <c r="B23" s="2" t="inlineStr">
        <is>
          <t>Maryl Construction</t>
        </is>
      </c>
      <c r="C23" s="2" t="inlineStr">
        <is>
          <t>91108 Hapuna Villa Window</t>
        </is>
      </c>
      <c r="D23" s="2" t="inlineStr">
        <is>
          <t>91108 / 2343</t>
        </is>
      </c>
      <c r="E23" s="2" t="inlineStr">
        <is>
          <t>Signed SO/Pending Drawings</t>
        </is>
      </c>
      <c r="F23" s="2" t="inlineStr">
        <is>
          <t>No</t>
        </is>
      </c>
      <c r="G23" s="9" t="n">
        <v>46192</v>
      </c>
      <c r="H23" s="4" t="n">
        <v>10033.21</v>
      </c>
      <c r="I23" s="4" t="n">
        <v>9449.26</v>
      </c>
      <c r="J23" s="2" t="inlineStr">
        <is>
          <t>No</t>
        </is>
      </c>
      <c r="K23" s="2" t="inlineStr">
        <is>
          <t>No</t>
        </is>
      </c>
      <c r="L23" s="2" t="inlineStr">
        <is>
          <t>Pending Deposit in Invoicing</t>
        </is>
      </c>
      <c r="M23" s="2" t="inlineStr">
        <is>
          <t>Yes</t>
        </is>
      </c>
      <c r="N23" s="2" t="inlineStr">
        <is>
          <t>Valid backlog</t>
        </is>
      </c>
      <c r="O23" s="9" t="n">
        <v>46244</v>
      </c>
      <c r="P23" s="2" t="inlineStr">
        <is>
          <t>https://panda-windows-and-doors.monday.com/boards/7469134152/pulses/12321628016</t>
        </is>
      </c>
    </row>
    <row r="24">
      <c r="A24" s="2" t="inlineStr">
        <is>
          <t>Derrick McCall</t>
        </is>
      </c>
      <c r="B24" s="2" t="inlineStr">
        <is>
          <t>JV Glass</t>
        </is>
      </c>
      <c r="C24" s="2" t="inlineStr">
        <is>
          <t>Lululemon</t>
        </is>
      </c>
      <c r="D24" s="2" t="inlineStr"/>
      <c r="E24" s="2" t="inlineStr">
        <is>
          <t>Proposal Sent to Client</t>
        </is>
      </c>
      <c r="F24" s="2" t="inlineStr">
        <is>
          <t>Yes</t>
        </is>
      </c>
      <c r="G24" s="9" t="n">
        <v>46141</v>
      </c>
      <c r="H24" s="4" t="n"/>
      <c r="I24" s="4" t="n"/>
      <c r="J24" s="2" t="inlineStr">
        <is>
          <t>No</t>
        </is>
      </c>
      <c r="K24" s="2" t="inlineStr">
        <is>
          <t>No</t>
        </is>
      </c>
      <c r="L24" s="2" t="inlineStr">
        <is>
          <t>Not on PM board</t>
        </is>
      </c>
      <c r="M24" s="2" t="inlineStr">
        <is>
          <t>No</t>
        </is>
      </c>
      <c r="N24" s="2" t="inlineStr">
        <is>
          <t>Valid backlog</t>
        </is>
      </c>
      <c r="O24" s="9" t="n">
        <v>46141</v>
      </c>
      <c r="P24" s="2" t="inlineStr">
        <is>
          <t>https://panda-windows-and-doors.monday.com/boards/7469134152/pulses/11756438433</t>
        </is>
      </c>
    </row>
    <row r="25">
      <c r="A25" s="2" t="inlineStr">
        <is>
          <t>Derrick McCall</t>
        </is>
      </c>
      <c r="B25" s="2" t="inlineStr">
        <is>
          <t>Ian Russell</t>
        </is>
      </c>
      <c r="C25" s="2" t="n"/>
      <c r="D25" s="2" t="inlineStr"/>
      <c r="E25" s="2" t="inlineStr">
        <is>
          <t>Signed SO/Pending Drawings</t>
        </is>
      </c>
      <c r="F25" s="2" t="inlineStr">
        <is>
          <t>Yes</t>
        </is>
      </c>
      <c r="G25" s="9" t="n">
        <v>46141</v>
      </c>
      <c r="H25" s="4" t="n"/>
      <c r="I25" s="4" t="n"/>
      <c r="J25" s="2" t="inlineStr">
        <is>
          <t>No</t>
        </is>
      </c>
      <c r="K25" s="2" t="inlineStr">
        <is>
          <t>No</t>
        </is>
      </c>
      <c r="L25" s="2" t="inlineStr">
        <is>
          <t>Not on PM board</t>
        </is>
      </c>
      <c r="M25" s="2" t="inlineStr">
        <is>
          <t>No</t>
        </is>
      </c>
      <c r="N25" s="2" t="inlineStr">
        <is>
          <t>Valid backlog</t>
        </is>
      </c>
      <c r="O25" s="9" t="n">
        <v>46141</v>
      </c>
      <c r="P25" s="2" t="inlineStr">
        <is>
          <t>https://panda-windows-and-doors.monday.com/boards/7469134152/pulses/11775899142</t>
        </is>
      </c>
    </row>
    <row r="26">
      <c r="A26" s="2" t="inlineStr">
        <is>
          <t>Derrick McCall</t>
        </is>
      </c>
      <c r="B26" s="2" t="inlineStr">
        <is>
          <t>Lighthouse Windows, Inc</t>
        </is>
      </c>
      <c r="C26" s="2" t="inlineStr">
        <is>
          <t>Warm Springs III - Lot 10</t>
        </is>
      </c>
      <c r="D26" s="2" t="inlineStr">
        <is>
          <t>91004 / 2209</t>
        </is>
      </c>
      <c r="E26" s="2" t="inlineStr">
        <is>
          <t>Signed SO/Pending Drawings</t>
        </is>
      </c>
      <c r="F26" s="2" t="inlineStr">
        <is>
          <t>Yes</t>
        </is>
      </c>
      <c r="G26" s="9" t="n">
        <v>46168</v>
      </c>
      <c r="H26" s="4" t="n"/>
      <c r="I26" s="4" t="n"/>
      <c r="J26" s="2" t="inlineStr">
        <is>
          <t>No</t>
        </is>
      </c>
      <c r="K26" s="2" t="inlineStr">
        <is>
          <t>No</t>
        </is>
      </c>
      <c r="L26" s="2" t="inlineStr">
        <is>
          <t>Pending Deposit in Invoicing</t>
        </is>
      </c>
      <c r="M26" s="2" t="inlineStr">
        <is>
          <t>Yes</t>
        </is>
      </c>
      <c r="N26" s="2" t="inlineStr">
        <is>
          <t>Valid backlog</t>
        </is>
      </c>
      <c r="O26" s="9" t="n">
        <v>46168</v>
      </c>
      <c r="P26" s="2" t="inlineStr">
        <is>
          <t>https://panda-windows-and-doors.monday.com/boards/7469134152/pulses/12107680812</t>
        </is>
      </c>
    </row>
    <row r="27">
      <c r="A27" s="2" t="inlineStr">
        <is>
          <t>Derrick McCall</t>
        </is>
      </c>
      <c r="B27" s="2" t="inlineStr">
        <is>
          <t>Signature Glass &amp; Windows, Inc.</t>
        </is>
      </c>
      <c r="C27" s="2" t="inlineStr">
        <is>
          <t>3001 ECR</t>
        </is>
      </c>
      <c r="D27" s="2" t="inlineStr">
        <is>
          <t>87059</t>
        </is>
      </c>
      <c r="E27" s="2" t="inlineStr">
        <is>
          <t>Signed SO/Pending Drawings</t>
        </is>
      </c>
      <c r="F27" s="2" t="inlineStr">
        <is>
          <t>Yes</t>
        </is>
      </c>
      <c r="G27" s="9" t="n">
        <v>46178</v>
      </c>
      <c r="H27" s="4" t="n"/>
      <c r="I27" s="4" t="n"/>
      <c r="J27" s="2" t="inlineStr">
        <is>
          <t>Yes</t>
        </is>
      </c>
      <c r="K27" s="2" t="inlineStr">
        <is>
          <t>No</t>
        </is>
      </c>
      <c r="L27" s="2" t="inlineStr">
        <is>
          <t>Sent to Engineering</t>
        </is>
      </c>
      <c r="M27" s="2" t="inlineStr">
        <is>
          <t>Yes</t>
        </is>
      </c>
      <c r="N27" s="2" t="inlineStr">
        <is>
          <t>Valid backlog</t>
        </is>
      </c>
      <c r="O27" s="9" t="n">
        <v>46202</v>
      </c>
      <c r="P27" s="2" t="inlineStr">
        <is>
          <t>https://panda-windows-and-doors.monday.com/boards/7469134152/pulses/12202875911</t>
        </is>
      </c>
    </row>
    <row r="28">
      <c r="A28" s="2" t="inlineStr">
        <is>
          <t>Efrain Zarate</t>
        </is>
      </c>
      <c r="B28" s="2" t="inlineStr">
        <is>
          <t>Dynamic Glass</t>
        </is>
      </c>
      <c r="C28" s="2" t="inlineStr">
        <is>
          <t>Antero Resources</t>
        </is>
      </c>
      <c r="D28" s="2" t="inlineStr">
        <is>
          <t>85504</t>
        </is>
      </c>
      <c r="E28" s="2" t="inlineStr">
        <is>
          <t>Signed SO/Pending Drawings</t>
        </is>
      </c>
      <c r="F28" s="2" t="inlineStr">
        <is>
          <t>Yes</t>
        </is>
      </c>
      <c r="G28" s="9" t="n">
        <v>46062</v>
      </c>
      <c r="H28" s="4" t="n">
        <v>302136</v>
      </c>
      <c r="I28" s="4" t="n">
        <v>260821.74</v>
      </c>
      <c r="J28" s="2" t="inlineStr">
        <is>
          <t>Yes</t>
        </is>
      </c>
      <c r="K28" s="2" t="inlineStr">
        <is>
          <t>No</t>
        </is>
      </c>
      <c r="L28" s="2" t="inlineStr">
        <is>
          <t>Sent to Engineering</t>
        </is>
      </c>
      <c r="M28" s="2" t="inlineStr">
        <is>
          <t>Yes</t>
        </is>
      </c>
      <c r="N28" s="2" t="inlineStr">
        <is>
          <t>Valid backlog</t>
        </is>
      </c>
      <c r="O28" s="9" t="n">
        <v>46251</v>
      </c>
      <c r="P28" s="2" t="inlineStr">
        <is>
          <t>https://panda-windows-and-doors.monday.com/boards/7469134152/pulses/9322025496</t>
        </is>
      </c>
    </row>
    <row r="29">
      <c r="A29" s="2" t="inlineStr">
        <is>
          <t>Efrain Zarate</t>
        </is>
      </c>
      <c r="B29" s="2" t="inlineStr">
        <is>
          <t>Roseman University of Health Sciences, A Non-Profit Corporation</t>
        </is>
      </c>
      <c r="C29" s="2" t="inlineStr">
        <is>
          <t>Roseman University</t>
        </is>
      </c>
      <c r="D29" s="2" t="inlineStr">
        <is>
          <t>88519/2436</t>
        </is>
      </c>
      <c r="E29" s="2" t="inlineStr">
        <is>
          <t>Signed SO/Pending Drawings</t>
        </is>
      </c>
      <c r="F29" s="2" t="inlineStr">
        <is>
          <t>Yes</t>
        </is>
      </c>
      <c r="G29" s="9" t="n">
        <v>46275</v>
      </c>
      <c r="H29" s="4" t="n">
        <v>171300.72</v>
      </c>
      <c r="I29" s="4" t="n">
        <v>157156.62</v>
      </c>
      <c r="J29" s="2" t="inlineStr">
        <is>
          <t>No</t>
        </is>
      </c>
      <c r="K29" s="2" t="inlineStr">
        <is>
          <t>No</t>
        </is>
      </c>
      <c r="L29" s="2" t="inlineStr">
        <is>
          <t>Not on PM board</t>
        </is>
      </c>
      <c r="M29" s="2" t="inlineStr">
        <is>
          <t>No</t>
        </is>
      </c>
      <c r="N29" s="2" t="inlineStr">
        <is>
          <t>Valid backlog</t>
        </is>
      </c>
      <c r="O29" s="9" t="n">
        <v>46275</v>
      </c>
      <c r="P29" s="2" t="inlineStr">
        <is>
          <t>https://panda-windows-and-doors.monday.com/boards/7469134152/pulses/10746878829</t>
        </is>
      </c>
    </row>
    <row r="30">
      <c r="A30" s="2" t="inlineStr">
        <is>
          <t>Efrain Zarate</t>
        </is>
      </c>
      <c r="B30" s="2" t="inlineStr">
        <is>
          <t>The Window Store</t>
        </is>
      </c>
      <c r="C30" s="2" t="inlineStr">
        <is>
          <t>Black Spur Estate</t>
        </is>
      </c>
      <c r="D30" s="2" t="inlineStr">
        <is>
          <t>85860</t>
        </is>
      </c>
      <c r="E30" s="2" t="inlineStr">
        <is>
          <t>Signed SO/Pending Drawings</t>
        </is>
      </c>
      <c r="F30" s="2" t="inlineStr">
        <is>
          <t>Yes</t>
        </is>
      </c>
      <c r="G30" s="9" t="n">
        <v>45817</v>
      </c>
      <c r="H30" s="4" t="n">
        <v>144167</v>
      </c>
      <c r="I30" s="4" t="n">
        <v>125877.52</v>
      </c>
      <c r="J30" s="2" t="inlineStr">
        <is>
          <t>Yes</t>
        </is>
      </c>
      <c r="K30" s="2" t="inlineStr">
        <is>
          <t>No</t>
        </is>
      </c>
      <c r="L30" s="2" t="inlineStr">
        <is>
          <t>Sent to Engineering</t>
        </is>
      </c>
      <c r="M30" s="2" t="inlineStr">
        <is>
          <t>Yes</t>
        </is>
      </c>
      <c r="N30" s="2" t="inlineStr">
        <is>
          <t>Valid backlog</t>
        </is>
      </c>
      <c r="O30" s="9" t="n">
        <v>46120</v>
      </c>
      <c r="P30" s="2" t="inlineStr">
        <is>
          <t>https://panda-windows-and-doors.monday.com/boards/7469134152/pulses/8775248357</t>
        </is>
      </c>
    </row>
    <row r="31">
      <c r="A31" s="2" t="inlineStr">
        <is>
          <t>Efrain Zarate</t>
        </is>
      </c>
      <c r="B31" s="2" t="inlineStr">
        <is>
          <t>Walters &amp; Wolf</t>
        </is>
      </c>
      <c r="C31" s="2" t="inlineStr">
        <is>
          <t>HRHC Podium</t>
        </is>
      </c>
      <c r="D31" s="2" t="inlineStr">
        <is>
          <t>87948/4063</t>
        </is>
      </c>
      <c r="E31" s="2" t="inlineStr">
        <is>
          <t>Signed SO/Pending Drawings</t>
        </is>
      </c>
      <c r="F31" s="2" t="inlineStr">
        <is>
          <t>Yes</t>
        </is>
      </c>
      <c r="G31" s="9" t="n">
        <v>46245</v>
      </c>
      <c r="H31" s="4" t="n">
        <v>132268.93</v>
      </c>
      <c r="I31" s="4" t="n">
        <v>119456</v>
      </c>
      <c r="J31" s="2" t="inlineStr">
        <is>
          <t>No</t>
        </is>
      </c>
      <c r="K31" s="2" t="inlineStr">
        <is>
          <t>No</t>
        </is>
      </c>
      <c r="L31" s="2" t="inlineStr">
        <is>
          <t>Not on PM board</t>
        </is>
      </c>
      <c r="M31" s="2" t="inlineStr">
        <is>
          <t>Yes</t>
        </is>
      </c>
      <c r="N31" s="2" t="inlineStr">
        <is>
          <t>Valid backlog</t>
        </is>
      </c>
      <c r="O31" s="9" t="n">
        <v>46281</v>
      </c>
      <c r="P31" s="2" t="inlineStr">
        <is>
          <t>https://panda-windows-and-doors.monday.com/boards/7469134152/pulses/12741345459</t>
        </is>
      </c>
    </row>
    <row r="32">
      <c r="A32" s="2" t="inlineStr">
        <is>
          <t>Efrain Zarate</t>
        </is>
      </c>
      <c r="B32" s="2" t="inlineStr">
        <is>
          <t>Sighlines</t>
        </is>
      </c>
      <c r="C32" s="2" t="inlineStr">
        <is>
          <t>Blue Martini</t>
        </is>
      </c>
      <c r="D32" s="2" t="inlineStr">
        <is>
          <t>87599</t>
        </is>
      </c>
      <c r="E32" s="2" t="inlineStr">
        <is>
          <t>Signed SO/Pending Drawings</t>
        </is>
      </c>
      <c r="F32" s="2" t="inlineStr">
        <is>
          <t>Yes</t>
        </is>
      </c>
      <c r="G32" s="9" t="n">
        <v>45965</v>
      </c>
      <c r="H32" s="4" t="n">
        <v>108261</v>
      </c>
      <c r="I32" s="4" t="n">
        <v>96526.00999999999</v>
      </c>
      <c r="J32" s="2" t="inlineStr">
        <is>
          <t>Yes</t>
        </is>
      </c>
      <c r="K32" s="2" t="inlineStr">
        <is>
          <t>No</t>
        </is>
      </c>
      <c r="L32" s="2" t="inlineStr">
        <is>
          <t>Pending Deposit in Invoicing</t>
        </is>
      </c>
      <c r="M32" s="2" t="inlineStr">
        <is>
          <t>Yes</t>
        </is>
      </c>
      <c r="N32" s="2" t="inlineStr">
        <is>
          <t>Valid backlog</t>
        </is>
      </c>
      <c r="O32" s="9" t="n">
        <v>46251</v>
      </c>
      <c r="P32" s="2" t="inlineStr">
        <is>
          <t>https://panda-windows-and-doors.monday.com/boards/7469134152/pulses/18346471113</t>
        </is>
      </c>
    </row>
    <row r="33">
      <c r="A33" s="2" t="inlineStr">
        <is>
          <t>Efrain Zarate</t>
        </is>
      </c>
      <c r="B33" s="2" t="inlineStr">
        <is>
          <t>Turkel Design</t>
        </is>
      </c>
      <c r="C33" s="2" t="inlineStr">
        <is>
          <t>Robbins</t>
        </is>
      </c>
      <c r="D33" s="2" t="inlineStr">
        <is>
          <t>89724/2803</t>
        </is>
      </c>
      <c r="E33" s="2" t="inlineStr">
        <is>
          <t>Signed SO/Pending Drawings</t>
        </is>
      </c>
      <c r="F33" s="2" t="inlineStr">
        <is>
          <t>Yes</t>
        </is>
      </c>
      <c r="G33" s="9" t="n">
        <v>46269</v>
      </c>
      <c r="H33" s="4" t="n">
        <v>105977.5</v>
      </c>
      <c r="I33" s="4" t="n">
        <v>83454.5</v>
      </c>
      <c r="J33" s="2" t="inlineStr">
        <is>
          <t>Yes</t>
        </is>
      </c>
      <c r="K33" s="2" t="inlineStr">
        <is>
          <t>No</t>
        </is>
      </c>
      <c r="L33" s="2" t="inlineStr">
        <is>
          <t>Not on PM board</t>
        </is>
      </c>
      <c r="M33" s="2" t="inlineStr">
        <is>
          <t>Yes</t>
        </is>
      </c>
      <c r="N33" s="2" t="inlineStr">
        <is>
          <t>Valid backlog</t>
        </is>
      </c>
      <c r="O33" s="9" t="n">
        <v>46294</v>
      </c>
      <c r="P33" s="2" t="inlineStr">
        <is>
          <t>https://panda-windows-and-doors.monday.com/boards/7469134152/pulses/11884841301</t>
        </is>
      </c>
    </row>
    <row r="34">
      <c r="A34" s="2" t="inlineStr">
        <is>
          <t>Efrain Zarate</t>
        </is>
      </c>
      <c r="B34" s="2" t="inlineStr">
        <is>
          <t>Turkel Design</t>
        </is>
      </c>
      <c r="C34" s="2" t="inlineStr">
        <is>
          <t>GAL Residence</t>
        </is>
      </c>
      <c r="D34" s="2" t="inlineStr">
        <is>
          <t>87450</t>
        </is>
      </c>
      <c r="E34" s="2" t="inlineStr">
        <is>
          <t>Signed SO/Pending Drawings</t>
        </is>
      </c>
      <c r="F34" s="2" t="inlineStr">
        <is>
          <t>Yes</t>
        </is>
      </c>
      <c r="G34" s="9" t="n">
        <v>46066</v>
      </c>
      <c r="H34" s="4" t="n">
        <v>59540</v>
      </c>
      <c r="I34" s="4" t="n">
        <v>46827.47</v>
      </c>
      <c r="J34" s="2" t="inlineStr">
        <is>
          <t>Yes</t>
        </is>
      </c>
      <c r="K34" s="2" t="inlineStr">
        <is>
          <t>No</t>
        </is>
      </c>
      <c r="L34" s="2" t="inlineStr">
        <is>
          <t>Sent to Engineering</t>
        </is>
      </c>
      <c r="M34" s="2" t="inlineStr">
        <is>
          <t>Yes</t>
        </is>
      </c>
      <c r="N34" s="2" t="inlineStr">
        <is>
          <t>Valid backlog</t>
        </is>
      </c>
      <c r="O34" s="9" t="n">
        <v>46183</v>
      </c>
      <c r="P34" s="2" t="inlineStr">
        <is>
          <t>https://panda-windows-and-doors.monday.com/boards/7469134152/pulses/18025593941</t>
        </is>
      </c>
    </row>
    <row r="35">
      <c r="A35" s="2" t="inlineStr">
        <is>
          <t>Efrain Zarate</t>
        </is>
      </c>
      <c r="B35" s="2" t="inlineStr">
        <is>
          <t>Architectural Windows &amp; Doors</t>
        </is>
      </c>
      <c r="C35" s="2" t="inlineStr">
        <is>
          <t>NM Remodel</t>
        </is>
      </c>
      <c r="D35" s="2" t="inlineStr">
        <is>
          <t>91603</t>
        </is>
      </c>
      <c r="E35" s="2" t="inlineStr">
        <is>
          <t>Signed SO/Pending Drawings</t>
        </is>
      </c>
      <c r="F35" s="2" t="inlineStr">
        <is>
          <t>Yes</t>
        </is>
      </c>
      <c r="G35" s="9" t="n">
        <v>46248</v>
      </c>
      <c r="H35" s="4" t="n">
        <v>58451</v>
      </c>
      <c r="I35" s="4" t="n">
        <v>47950.47</v>
      </c>
      <c r="J35" s="2" t="inlineStr">
        <is>
          <t>Yes</t>
        </is>
      </c>
      <c r="K35" s="2" t="inlineStr">
        <is>
          <t>No</t>
        </is>
      </c>
      <c r="L35" s="2" t="inlineStr">
        <is>
          <t>Not on PM board</t>
        </is>
      </c>
      <c r="M35" s="2" t="inlineStr">
        <is>
          <t>Yes</t>
        </is>
      </c>
      <c r="N35" s="2" t="inlineStr">
        <is>
          <t>Valid backlog</t>
        </is>
      </c>
      <c r="O35" s="9" t="n">
        <v>46288</v>
      </c>
      <c r="P35" s="2" t="inlineStr">
        <is>
          <t>https://panda-windows-and-doors.monday.com/boards/7469134152/pulses/12426049763</t>
        </is>
      </c>
    </row>
    <row r="36">
      <c r="A36" s="2" t="inlineStr">
        <is>
          <t>Efrain Zarate</t>
        </is>
      </c>
      <c r="B36" s="2" t="inlineStr">
        <is>
          <t>Glass House</t>
        </is>
      </c>
      <c r="C36" s="2" t="inlineStr">
        <is>
          <t>Red Arrow</t>
        </is>
      </c>
      <c r="D36" s="2" t="inlineStr">
        <is>
          <t>88672</t>
        </is>
      </c>
      <c r="E36" s="2" t="inlineStr">
        <is>
          <t>Signed SO/Pending Drawings</t>
        </is>
      </c>
      <c r="F36" s="2" t="inlineStr">
        <is>
          <t>Yes</t>
        </is>
      </c>
      <c r="G36" s="9" t="n">
        <v>46143</v>
      </c>
      <c r="H36" s="4" t="n">
        <v>47238</v>
      </c>
      <c r="I36" s="4" t="n">
        <v>42892.07</v>
      </c>
      <c r="J36" s="2" t="inlineStr">
        <is>
          <t>No</t>
        </is>
      </c>
      <c r="K36" s="2" t="inlineStr">
        <is>
          <t>No</t>
        </is>
      </c>
      <c r="L36" s="2" t="inlineStr">
        <is>
          <t>Sent to Engineering</t>
        </is>
      </c>
      <c r="M36" s="2" t="inlineStr">
        <is>
          <t>No</t>
        </is>
      </c>
      <c r="N36" s="2" t="inlineStr">
        <is>
          <t>Valid backlog</t>
        </is>
      </c>
      <c r="O36" s="9" t="n">
        <v>46251</v>
      </c>
      <c r="P36" s="2" t="inlineStr">
        <is>
          <t>https://panda-windows-and-doors.monday.com/boards/7469134152/pulses/11076421267</t>
        </is>
      </c>
    </row>
    <row r="37">
      <c r="A37" s="2" t="inlineStr">
        <is>
          <t>Efrain Zarate</t>
        </is>
      </c>
      <c r="B37" s="2" t="inlineStr">
        <is>
          <t>Skyline Glass</t>
        </is>
      </c>
      <c r="C37" s="2" t="inlineStr">
        <is>
          <t>Candela's Apartments</t>
        </is>
      </c>
      <c r="D37" s="2" t="inlineStr">
        <is>
          <t>86208</t>
        </is>
      </c>
      <c r="E37" s="2" t="inlineStr">
        <is>
          <t>Signed SO/Pending Drawings</t>
        </is>
      </c>
      <c r="F37" s="2" t="inlineStr">
        <is>
          <t>Yes</t>
        </is>
      </c>
      <c r="G37" s="9" t="n">
        <v>46136</v>
      </c>
      <c r="H37" s="4" t="n">
        <v>45573</v>
      </c>
      <c r="I37" s="4" t="n">
        <v>36339.28</v>
      </c>
      <c r="J37" s="2" t="inlineStr">
        <is>
          <t>Yes</t>
        </is>
      </c>
      <c r="K37" s="2" t="inlineStr">
        <is>
          <t>No</t>
        </is>
      </c>
      <c r="L37" s="2" t="inlineStr">
        <is>
          <t>Sent to Engineering</t>
        </is>
      </c>
      <c r="M37" s="2" t="inlineStr">
        <is>
          <t>Yes</t>
        </is>
      </c>
      <c r="N37" s="2" t="inlineStr">
        <is>
          <t>Valid backlog</t>
        </is>
      </c>
      <c r="O37" s="9" t="n">
        <v>46157</v>
      </c>
      <c r="P37" s="2" t="inlineStr">
        <is>
          <t>https://panda-windows-and-doors.monday.com/boards/7469134152/pulses/11842196498</t>
        </is>
      </c>
    </row>
    <row r="38">
      <c r="A38" s="2" t="inlineStr">
        <is>
          <t>Efrain Zarate</t>
        </is>
      </c>
      <c r="B38" s="2" t="inlineStr">
        <is>
          <t>C Thru Glass</t>
        </is>
      </c>
      <c r="C38" s="2" t="inlineStr">
        <is>
          <t>Mt. Charleston Lodge</t>
        </is>
      </c>
      <c r="D38" s="2" t="inlineStr">
        <is>
          <t>89607</t>
        </is>
      </c>
      <c r="E38" s="2" t="inlineStr">
        <is>
          <t>Signed SO/Pending Drawings</t>
        </is>
      </c>
      <c r="F38" s="2" t="inlineStr">
        <is>
          <t>Yes</t>
        </is>
      </c>
      <c r="G38" s="9" t="n">
        <v>46120</v>
      </c>
      <c r="H38" s="4" t="n">
        <v>38670</v>
      </c>
      <c r="I38" s="4" t="n">
        <v>34479.18</v>
      </c>
      <c r="J38" s="2" t="inlineStr">
        <is>
          <t>Yes</t>
        </is>
      </c>
      <c r="K38" s="2" t="inlineStr">
        <is>
          <t>No</t>
        </is>
      </c>
      <c r="L38" s="2" t="inlineStr">
        <is>
          <t>Sent to Engineering</t>
        </is>
      </c>
      <c r="M38" s="2" t="inlineStr">
        <is>
          <t>Yes</t>
        </is>
      </c>
      <c r="N38" s="2" t="inlineStr">
        <is>
          <t>Valid backlog</t>
        </is>
      </c>
      <c r="O38" s="9" t="n">
        <v>46251</v>
      </c>
      <c r="P38" s="2" t="inlineStr">
        <is>
          <t>https://panda-windows-and-doors.monday.com/boards/7469134152/pulses/11464599738</t>
        </is>
      </c>
    </row>
    <row r="39">
      <c r="A39" s="2" t="inlineStr">
        <is>
          <t>Efrain Zarate</t>
        </is>
      </c>
      <c r="B39" s="2" t="inlineStr">
        <is>
          <t>BMG Door &amp; Glass</t>
        </is>
      </c>
      <c r="C39" s="2" t="inlineStr">
        <is>
          <t>Halise Diamond</t>
        </is>
      </c>
      <c r="D39" s="2" t="inlineStr">
        <is>
          <t>89197</t>
        </is>
      </c>
      <c r="E39" s="2" t="inlineStr">
        <is>
          <t>Signed SO/Pending Drawings</t>
        </is>
      </c>
      <c r="F39" s="2" t="inlineStr">
        <is>
          <t>No</t>
        </is>
      </c>
      <c r="G39" s="9" t="n"/>
      <c r="H39" s="4" t="n">
        <v>38046.13</v>
      </c>
      <c r="I39" s="4" t="n">
        <v>33122.14</v>
      </c>
      <c r="J39" s="2" t="inlineStr">
        <is>
          <t>Yes</t>
        </is>
      </c>
      <c r="K39" s="2" t="inlineStr">
        <is>
          <t>No</t>
        </is>
      </c>
      <c r="L39" s="2" t="inlineStr">
        <is>
          <t>Not on PM board</t>
        </is>
      </c>
      <c r="M39" s="2" t="inlineStr">
        <is>
          <t>Yes</t>
        </is>
      </c>
      <c r="N39" s="2" t="inlineStr">
        <is>
          <t>Valid backlog</t>
        </is>
      </c>
      <c r="O39" s="9" t="n">
        <v>46251</v>
      </c>
      <c r="P39" s="2" t="inlineStr">
        <is>
          <t>https://panda-windows-and-doors.monday.com/boards/7469134152/pulses/11778239085</t>
        </is>
      </c>
    </row>
    <row r="40">
      <c r="A40" s="2" t="inlineStr">
        <is>
          <t>Efrain Zarate</t>
        </is>
      </c>
      <c r="B40" s="2" t="inlineStr">
        <is>
          <t>Ken Caryl Glass Inc</t>
        </is>
      </c>
      <c r="C40" s="2" t="inlineStr">
        <is>
          <t>McDonald Audi</t>
        </is>
      </c>
      <c r="D40" s="2" t="inlineStr">
        <is>
          <t>91176/2447</t>
        </is>
      </c>
      <c r="E40" s="2" t="inlineStr">
        <is>
          <t>Signed SO/Pending Drawings</t>
        </is>
      </c>
      <c r="F40" s="2" t="inlineStr">
        <is>
          <t>Yes</t>
        </is>
      </c>
      <c r="G40" s="9" t="n">
        <v>46269</v>
      </c>
      <c r="H40" s="4" t="n">
        <v>35384.86</v>
      </c>
      <c r="I40" s="4" t="n">
        <v>29192.58</v>
      </c>
      <c r="J40" s="2" t="inlineStr">
        <is>
          <t>Yes</t>
        </is>
      </c>
      <c r="K40" s="2" t="inlineStr">
        <is>
          <t>No</t>
        </is>
      </c>
      <c r="L40" s="2" t="inlineStr">
        <is>
          <t>Not on PM board</t>
        </is>
      </c>
      <c r="M40" s="2" t="inlineStr">
        <is>
          <t>Yes</t>
        </is>
      </c>
      <c r="N40" s="2" t="inlineStr">
        <is>
          <t>Valid backlog</t>
        </is>
      </c>
      <c r="O40" s="9" t="n">
        <v>46286</v>
      </c>
      <c r="P40" s="2" t="inlineStr">
        <is>
          <t>https://panda-windows-and-doors.monday.com/boards/7469134152/pulses/12181024331</t>
        </is>
      </c>
    </row>
    <row r="41">
      <c r="A41" s="2" t="inlineStr">
        <is>
          <t>Efrain Zarate</t>
        </is>
      </c>
      <c r="B41" s="2" t="inlineStr">
        <is>
          <t>Tridel Construction</t>
        </is>
      </c>
      <c r="C41" s="2" t="inlineStr">
        <is>
          <t>Players Canyon - Doors</t>
        </is>
      </c>
      <c r="D41" s="2" t="inlineStr">
        <is>
          <t>84246</t>
        </is>
      </c>
      <c r="E41" s="2" t="inlineStr">
        <is>
          <t>Signed SO/Pending Drawings</t>
        </is>
      </c>
      <c r="F41" s="2" t="inlineStr">
        <is>
          <t>Yes</t>
        </is>
      </c>
      <c r="G41" s="9" t="n">
        <v>45978</v>
      </c>
      <c r="H41" s="4" t="n">
        <v>34230</v>
      </c>
      <c r="I41" s="4" t="n">
        <v>30940.12</v>
      </c>
      <c r="J41" s="2" t="inlineStr">
        <is>
          <t>Yes</t>
        </is>
      </c>
      <c r="K41" s="2" t="inlineStr">
        <is>
          <t>No</t>
        </is>
      </c>
      <c r="L41" s="2" t="inlineStr">
        <is>
          <t>Sent to Engineering</t>
        </is>
      </c>
      <c r="M41" s="2" t="inlineStr">
        <is>
          <t>Yes</t>
        </is>
      </c>
      <c r="N41" s="2" t="inlineStr">
        <is>
          <t>Valid backlog</t>
        </is>
      </c>
      <c r="O41" s="9" t="n">
        <v>46120</v>
      </c>
      <c r="P41" s="2" t="inlineStr">
        <is>
          <t>https://panda-windows-and-doors.monday.com/boards/7469134152/pulses/8646895020</t>
        </is>
      </c>
    </row>
    <row r="42">
      <c r="A42" s="2" t="inlineStr">
        <is>
          <t>Efrain Zarate</t>
        </is>
      </c>
      <c r="B42" s="2" t="inlineStr">
        <is>
          <t>8 G Solutions</t>
        </is>
      </c>
      <c r="C42" s="2" t="inlineStr">
        <is>
          <t>Marina Square</t>
        </is>
      </c>
      <c r="D42" s="2" t="inlineStr">
        <is>
          <t>83756/2591</t>
        </is>
      </c>
      <c r="E42" s="2" t="inlineStr">
        <is>
          <t>Signed SO/Pending Drawings</t>
        </is>
      </c>
      <c r="F42" s="2" t="inlineStr">
        <is>
          <t>Yes</t>
        </is>
      </c>
      <c r="G42" s="9" t="n">
        <v>46226</v>
      </c>
      <c r="H42" s="4" t="n">
        <v>29958.12</v>
      </c>
      <c r="I42" s="4" t="n">
        <v>23292.77</v>
      </c>
      <c r="J42" s="2" t="inlineStr">
        <is>
          <t>Yes</t>
        </is>
      </c>
      <c r="K42" s="2" t="inlineStr">
        <is>
          <t>No</t>
        </is>
      </c>
      <c r="L42" s="2" t="inlineStr">
        <is>
          <t>Not on PM board</t>
        </is>
      </c>
      <c r="M42" s="2" t="inlineStr">
        <is>
          <t>Yes</t>
        </is>
      </c>
      <c r="N42" s="2" t="inlineStr">
        <is>
          <t>Valid backlog</t>
        </is>
      </c>
      <c r="O42" s="9" t="n">
        <v>46251</v>
      </c>
      <c r="P42" s="2" t="inlineStr">
        <is>
          <t>https://panda-windows-and-doors.monday.com/boards/7469134152/pulses/11885010447</t>
        </is>
      </c>
    </row>
    <row r="43">
      <c r="A43" s="2" t="inlineStr">
        <is>
          <t>Efrain Zarate</t>
        </is>
      </c>
      <c r="B43" s="2" t="inlineStr">
        <is>
          <t>Amber Martinez</t>
        </is>
      </c>
      <c r="C43" s="2" t="inlineStr">
        <is>
          <t>Martinez Pivot</t>
        </is>
      </c>
      <c r="D43" s="2" t="inlineStr">
        <is>
          <t>92314/4228</t>
        </is>
      </c>
      <c r="E43" s="2" t="inlineStr">
        <is>
          <t>Signed SO/Pending Drawings</t>
        </is>
      </c>
      <c r="F43" s="2" t="inlineStr">
        <is>
          <t>Yes</t>
        </is>
      </c>
      <c r="G43" s="9" t="n">
        <v>46252</v>
      </c>
      <c r="H43" s="4" t="n">
        <v>29037.48</v>
      </c>
      <c r="I43" s="4" t="n">
        <v>25079.7</v>
      </c>
      <c r="J43" s="2" t="inlineStr">
        <is>
          <t>No</t>
        </is>
      </c>
      <c r="K43" s="2" t="inlineStr">
        <is>
          <t>No</t>
        </is>
      </c>
      <c r="L43" s="2" t="inlineStr">
        <is>
          <t>Not on PM board</t>
        </is>
      </c>
      <c r="M43" s="2" t="inlineStr">
        <is>
          <t>Yes</t>
        </is>
      </c>
      <c r="N43" s="2" t="inlineStr">
        <is>
          <t>Valid backlog</t>
        </is>
      </c>
      <c r="O43" s="9" t="n">
        <v>46255</v>
      </c>
      <c r="P43" s="2" t="inlineStr">
        <is>
          <t>https://panda-windows-and-doors.monday.com/boards/7469134152/pulses/12777585608</t>
        </is>
      </c>
    </row>
    <row r="44">
      <c r="A44" s="2" t="inlineStr">
        <is>
          <t>Efrain Zarate</t>
        </is>
      </c>
      <c r="B44" s="2" t="inlineStr">
        <is>
          <t>Mesa Properties</t>
        </is>
      </c>
      <c r="C44" s="2" t="inlineStr">
        <is>
          <t>2435 Legacy Dr</t>
        </is>
      </c>
      <c r="D44" s="2" t="inlineStr">
        <is>
          <t>85687</t>
        </is>
      </c>
      <c r="E44" s="2" t="inlineStr">
        <is>
          <t>Signed SO/Pending Drawings</t>
        </is>
      </c>
      <c r="F44" s="2" t="inlineStr">
        <is>
          <t>Yes</t>
        </is>
      </c>
      <c r="G44" s="9" t="n">
        <v>46233</v>
      </c>
      <c r="H44" s="4" t="n">
        <v>26587</v>
      </c>
      <c r="I44" s="4" t="n">
        <v>22382</v>
      </c>
      <c r="J44" s="2" t="inlineStr">
        <is>
          <t>Yes</t>
        </is>
      </c>
      <c r="K44" s="2" t="inlineStr">
        <is>
          <t>No</t>
        </is>
      </c>
      <c r="L44" s="2" t="inlineStr">
        <is>
          <t>Not on PM board</t>
        </is>
      </c>
      <c r="M44" s="2" t="inlineStr">
        <is>
          <t>Yes</t>
        </is>
      </c>
      <c r="N44" s="2" t="inlineStr">
        <is>
          <t>Valid backlog</t>
        </is>
      </c>
      <c r="O44" s="9" t="n">
        <v>46240</v>
      </c>
      <c r="P44" s="2" t="inlineStr">
        <is>
          <t>https://panda-windows-and-doors.monday.com/boards/7469134152/pulses/12582634150</t>
        </is>
      </c>
    </row>
    <row r="45">
      <c r="A45" s="2" t="inlineStr">
        <is>
          <t>Efrain Zarate</t>
        </is>
      </c>
      <c r="B45" s="2" t="inlineStr">
        <is>
          <t>American Eagle Glass</t>
        </is>
      </c>
      <c r="C45" s="2" t="inlineStr">
        <is>
          <t>AAA Blue Diamond</t>
        </is>
      </c>
      <c r="D45" s="2" t="inlineStr">
        <is>
          <t>91452/ 2847</t>
        </is>
      </c>
      <c r="E45" s="2" t="inlineStr">
        <is>
          <t>Signed SO/Pending Drawings</t>
        </is>
      </c>
      <c r="F45" s="2" t="inlineStr">
        <is>
          <t>Yes</t>
        </is>
      </c>
      <c r="G45" s="9" t="n">
        <v>46217</v>
      </c>
      <c r="H45" s="4" t="n">
        <v>17267.58</v>
      </c>
      <c r="I45" s="4" t="n">
        <v>15238.87</v>
      </c>
      <c r="J45" s="2" t="inlineStr">
        <is>
          <t>No</t>
        </is>
      </c>
      <c r="K45" s="2" t="inlineStr">
        <is>
          <t>No</t>
        </is>
      </c>
      <c r="L45" s="2" t="inlineStr">
        <is>
          <t>Not on PM board</t>
        </is>
      </c>
      <c r="M45" s="2" t="inlineStr">
        <is>
          <t>Yes</t>
        </is>
      </c>
      <c r="N45" s="2" t="inlineStr">
        <is>
          <t>Valid backlog</t>
        </is>
      </c>
      <c r="O45" s="9" t="n">
        <v>46251</v>
      </c>
      <c r="P45" s="2" t="inlineStr">
        <is>
          <t>https://panda-windows-and-doors.monday.com/boards/7469134152/pulses/12342014464</t>
        </is>
      </c>
    </row>
    <row r="46">
      <c r="A46" s="2" t="inlineStr">
        <is>
          <t>Efrain Zarate</t>
        </is>
      </c>
      <c r="B46" s="2" t="inlineStr">
        <is>
          <t>Grand View Glass- Chris Medina</t>
        </is>
      </c>
      <c r="C46" s="2" t="inlineStr">
        <is>
          <t>LMAC Operable Glass Wall</t>
        </is>
      </c>
      <c r="D46" s="2" t="inlineStr">
        <is>
          <t>89541</t>
        </is>
      </c>
      <c r="E46" s="2" t="inlineStr">
        <is>
          <t>Signed SO/Pending Drawings</t>
        </is>
      </c>
      <c r="F46" s="2" t="inlineStr">
        <is>
          <t>Yes</t>
        </is>
      </c>
      <c r="G46" s="9" t="n">
        <v>46176</v>
      </c>
      <c r="H46" s="4" t="n">
        <v>17182</v>
      </c>
      <c r="I46" s="4" t="n">
        <v>13094.38</v>
      </c>
      <c r="J46" s="2" t="inlineStr">
        <is>
          <t>No</t>
        </is>
      </c>
      <c r="K46" s="2" t="inlineStr">
        <is>
          <t>No</t>
        </is>
      </c>
      <c r="L46" s="2" t="inlineStr">
        <is>
          <t>Pending Deposit in Invoicing</t>
        </is>
      </c>
      <c r="M46" s="2" t="inlineStr">
        <is>
          <t>Yes</t>
        </is>
      </c>
      <c r="N46" s="2" t="inlineStr">
        <is>
          <t>Valid backlog</t>
        </is>
      </c>
      <c r="O46" s="9" t="n">
        <v>46203</v>
      </c>
      <c r="P46" s="2" t="inlineStr">
        <is>
          <t>https://panda-windows-and-doors.monday.com/boards/7469134152/pulses/11362449632</t>
        </is>
      </c>
    </row>
    <row r="47">
      <c r="A47" s="2" t="inlineStr">
        <is>
          <t>Efrain Zarate</t>
        </is>
      </c>
      <c r="B47" s="2" t="inlineStr">
        <is>
          <t>Elham Taherian</t>
        </is>
      </c>
      <c r="C47" s="2" t="inlineStr">
        <is>
          <t>2180 Havensight Add On 2</t>
        </is>
      </c>
      <c r="D47" s="2" t="inlineStr">
        <is>
          <t>91377/2792</t>
        </is>
      </c>
      <c r="E47" s="2" t="inlineStr">
        <is>
          <t>Signed SO/Pending Drawings</t>
        </is>
      </c>
      <c r="F47" s="2" t="inlineStr">
        <is>
          <t>Yes</t>
        </is>
      </c>
      <c r="G47" s="9" t="n">
        <v>46252</v>
      </c>
      <c r="H47" s="4" t="n">
        <v>14958.17</v>
      </c>
      <c r="I47" s="4" t="n">
        <v>13447.08</v>
      </c>
      <c r="J47" s="2" t="inlineStr">
        <is>
          <t>Yes</t>
        </is>
      </c>
      <c r="K47" s="2" t="inlineStr">
        <is>
          <t>No</t>
        </is>
      </c>
      <c r="L47" s="2" t="inlineStr">
        <is>
          <t>Not on PM board</t>
        </is>
      </c>
      <c r="M47" s="2" t="inlineStr">
        <is>
          <t>Yes</t>
        </is>
      </c>
      <c r="N47" s="2" t="inlineStr">
        <is>
          <t>Valid backlog</t>
        </is>
      </c>
      <c r="O47" s="9" t="n">
        <v>46280</v>
      </c>
      <c r="P47" s="2" t="inlineStr">
        <is>
          <t>https://panda-windows-and-doors.monday.com/boards/7469134152/pulses/12322563037</t>
        </is>
      </c>
    </row>
    <row r="48">
      <c r="A48" s="2" t="inlineStr">
        <is>
          <t>Efrain Zarate</t>
        </is>
      </c>
      <c r="B48" s="2" t="inlineStr">
        <is>
          <t>Steven Thomas</t>
        </is>
      </c>
      <c r="C48" s="2" t="inlineStr">
        <is>
          <t>5162 Rock Daisy</t>
        </is>
      </c>
      <c r="D48" s="2" t="inlineStr">
        <is>
          <t>83357</t>
        </is>
      </c>
      <c r="E48" s="2" t="inlineStr">
        <is>
          <t>Signed SO/Pending Drawings</t>
        </is>
      </c>
      <c r="F48" s="2" t="inlineStr">
        <is>
          <t>Yes</t>
        </is>
      </c>
      <c r="G48" s="9" t="n">
        <v>45729</v>
      </c>
      <c r="H48" s="4" t="n">
        <v>10055</v>
      </c>
      <c r="I48" s="4" t="n">
        <v>9087.42</v>
      </c>
      <c r="J48" s="2" t="inlineStr">
        <is>
          <t>No</t>
        </is>
      </c>
      <c r="K48" s="2" t="inlineStr">
        <is>
          <t>No</t>
        </is>
      </c>
      <c r="L48" s="2" t="inlineStr">
        <is>
          <t>Pending Deposit in Invoicing</t>
        </is>
      </c>
      <c r="M48" s="2" t="inlineStr">
        <is>
          <t>No</t>
        </is>
      </c>
      <c r="N48" s="2" t="inlineStr">
        <is>
          <t>Valid backlog</t>
        </is>
      </c>
      <c r="O48" s="9" t="n">
        <v>46251</v>
      </c>
      <c r="P48" s="2" t="inlineStr">
        <is>
          <t>https://panda-windows-and-doors.monday.com/boards/7469134152/pulses/8214177954</t>
        </is>
      </c>
    </row>
    <row r="49">
      <c r="A49" s="2" t="inlineStr">
        <is>
          <t>Efrain Zarate</t>
        </is>
      </c>
      <c r="B49" s="2" t="inlineStr">
        <is>
          <t>Gary Kortz</t>
        </is>
      </c>
      <c r="C49" s="2" t="inlineStr">
        <is>
          <t>Gary Kortz</t>
        </is>
      </c>
      <c r="D49" s="2" t="inlineStr">
        <is>
          <t>82669</t>
        </is>
      </c>
      <c r="E49" s="2" t="inlineStr">
        <is>
          <t>Signed SO/Pending Drawings</t>
        </is>
      </c>
      <c r="F49" s="2" t="inlineStr">
        <is>
          <t>Yes</t>
        </is>
      </c>
      <c r="G49" s="9" t="n">
        <v>45726</v>
      </c>
      <c r="H49" s="4" t="n">
        <v>7504</v>
      </c>
      <c r="I49" s="4" t="n">
        <v>4853.63</v>
      </c>
      <c r="J49" s="2" t="inlineStr">
        <is>
          <t>No</t>
        </is>
      </c>
      <c r="K49" s="2" t="inlineStr">
        <is>
          <t>No</t>
        </is>
      </c>
      <c r="L49" s="2" t="inlineStr">
        <is>
          <t>Pending Deposit in Invoicing</t>
        </is>
      </c>
      <c r="M49" s="2" t="inlineStr">
        <is>
          <t>No</t>
        </is>
      </c>
      <c r="N49" s="2" t="inlineStr">
        <is>
          <t>Valid backlog</t>
        </is>
      </c>
      <c r="O49" s="9" t="n">
        <v>46251</v>
      </c>
      <c r="P49" s="2" t="inlineStr">
        <is>
          <t>https://panda-windows-and-doors.monday.com/boards/7469134152/pulses/8117297810</t>
        </is>
      </c>
    </row>
    <row r="50">
      <c r="A50" s="2" t="inlineStr">
        <is>
          <t>Efrain Zarate</t>
        </is>
      </c>
      <c r="B50" s="2" t="inlineStr">
        <is>
          <t>Charles Benbow</t>
        </is>
      </c>
      <c r="C50" s="2" t="inlineStr">
        <is>
          <t>Benbow Add On</t>
        </is>
      </c>
      <c r="D50" s="2" t="inlineStr">
        <is>
          <t>91255/2522</t>
        </is>
      </c>
      <c r="E50" s="2" t="inlineStr">
        <is>
          <t>Signed SO/Pending Drawings</t>
        </is>
      </c>
      <c r="F50" s="2" t="inlineStr">
        <is>
          <t>Yes</t>
        </is>
      </c>
      <c r="G50" s="9" t="n">
        <v>46289</v>
      </c>
      <c r="H50" s="4" t="n"/>
      <c r="I50" s="4" t="n"/>
      <c r="J50" s="2" t="inlineStr">
        <is>
          <t>No</t>
        </is>
      </c>
      <c r="K50" s="2" t="inlineStr">
        <is>
          <t>No</t>
        </is>
      </c>
      <c r="L50" s="2" t="inlineStr">
        <is>
          <t>Not on PM board</t>
        </is>
      </c>
      <c r="M50" s="2" t="inlineStr">
        <is>
          <t>No</t>
        </is>
      </c>
      <c r="N50" s="2" t="inlineStr">
        <is>
          <t>Valid backlog</t>
        </is>
      </c>
      <c r="O50" s="9" t="n">
        <v>46289</v>
      </c>
      <c r="P50" s="2" t="inlineStr">
        <is>
          <t>https://panda-windows-and-doors.monday.com/boards/7469134152/pulses/12220521872</t>
        </is>
      </c>
    </row>
    <row r="51">
      <c r="A51" s="2" t="inlineStr">
        <is>
          <t>Sean Torre</t>
        </is>
      </c>
      <c r="B51" s="2" t="inlineStr">
        <is>
          <t>Juan Molina</t>
        </is>
      </c>
      <c r="C51" s="2" t="inlineStr">
        <is>
          <t>Kanani Residence</t>
        </is>
      </c>
      <c r="D51" s="2" t="inlineStr">
        <is>
          <t>86089</t>
        </is>
      </c>
      <c r="E51" s="2" t="inlineStr">
        <is>
          <t>Signed SO/Pending Drawings</t>
        </is>
      </c>
      <c r="F51" s="2" t="inlineStr">
        <is>
          <t>Yes</t>
        </is>
      </c>
      <c r="G51" s="9" t="n">
        <v>45947</v>
      </c>
      <c r="H51" s="4" t="n">
        <v>819158</v>
      </c>
      <c r="I51" s="4" t="n">
        <v>722725.41</v>
      </c>
      <c r="J51" s="2" t="inlineStr">
        <is>
          <t>Yes</t>
        </is>
      </c>
      <c r="K51" s="2" t="inlineStr">
        <is>
          <t>No</t>
        </is>
      </c>
      <c r="L51" s="2" t="inlineStr">
        <is>
          <t>Sent to Engineering</t>
        </is>
      </c>
      <c r="M51" s="2" t="inlineStr">
        <is>
          <t>Yes</t>
        </is>
      </c>
      <c r="N51" s="2" t="inlineStr">
        <is>
          <t>Valid backlog</t>
        </is>
      </c>
      <c r="O51" s="9" t="n">
        <v>46183</v>
      </c>
      <c r="P51" s="2" t="inlineStr">
        <is>
          <t>https://panda-windows-and-doors.monday.com/boards/7469134152/pulses/9422515889</t>
        </is>
      </c>
    </row>
    <row r="52">
      <c r="A52" s="2" t="inlineStr">
        <is>
          <t>Sean Torre</t>
        </is>
      </c>
      <c r="B52" s="2" t="inlineStr">
        <is>
          <t>Eclipse Residence</t>
        </is>
      </c>
      <c r="C52" s="2" t="inlineStr">
        <is>
          <t>Eclipse Reidence</t>
        </is>
      </c>
      <c r="D52" s="2" t="inlineStr">
        <is>
          <t>86157</t>
        </is>
      </c>
      <c r="E52" s="2" t="inlineStr">
        <is>
          <t>Signed SO/Pending Drawings</t>
        </is>
      </c>
      <c r="F52" s="2" t="inlineStr">
        <is>
          <t>Yes</t>
        </is>
      </c>
      <c r="G52" s="9" t="n">
        <v>46065</v>
      </c>
      <c r="H52" s="4" t="n">
        <v>510051</v>
      </c>
      <c r="I52" s="4" t="n">
        <v>448501.29</v>
      </c>
      <c r="J52" s="2" t="inlineStr">
        <is>
          <t>Yes</t>
        </is>
      </c>
      <c r="K52" s="2" t="inlineStr">
        <is>
          <t>No</t>
        </is>
      </c>
      <c r="L52" s="2" t="inlineStr">
        <is>
          <t>Sent to Engineering</t>
        </is>
      </c>
      <c r="M52" s="2" t="inlineStr">
        <is>
          <t>Yes</t>
        </is>
      </c>
      <c r="N52" s="2" t="inlineStr">
        <is>
          <t>Valid backlog</t>
        </is>
      </c>
      <c r="O52" s="9" t="n">
        <v>46182</v>
      </c>
      <c r="P52" s="2" t="inlineStr">
        <is>
          <t>https://panda-windows-and-doors.monday.com/boards/7469134152/pulses/11267307021</t>
        </is>
      </c>
    </row>
    <row r="53">
      <c r="A53" s="2" t="inlineStr">
        <is>
          <t>Sean Torre</t>
        </is>
      </c>
      <c r="B53" s="2" t="inlineStr">
        <is>
          <t>Shuman Doors</t>
        </is>
      </c>
      <c r="C53" s="2" t="inlineStr">
        <is>
          <t>1420 University ave</t>
        </is>
      </c>
      <c r="D53" s="2" t="inlineStr">
        <is>
          <t>91748 / 3556</t>
        </is>
      </c>
      <c r="E53" s="2" t="inlineStr">
        <is>
          <t>Signed SO/Pending Drawings</t>
        </is>
      </c>
      <c r="F53" s="2" t="inlineStr">
        <is>
          <t>Yes</t>
        </is>
      </c>
      <c r="G53" s="9" t="n">
        <v>46254</v>
      </c>
      <c r="H53" s="4" t="n">
        <v>131609.71</v>
      </c>
      <c r="I53" s="4" t="n">
        <v>121662.95</v>
      </c>
      <c r="J53" s="2" t="inlineStr">
        <is>
          <t>No</t>
        </is>
      </c>
      <c r="K53" s="2" t="inlineStr">
        <is>
          <t>No</t>
        </is>
      </c>
      <c r="L53" s="2" t="inlineStr">
        <is>
          <t>Not on PM board</t>
        </is>
      </c>
      <c r="M53" s="2" t="inlineStr">
        <is>
          <t>Yes</t>
        </is>
      </c>
      <c r="N53" s="2" t="inlineStr">
        <is>
          <t>Valid backlog</t>
        </is>
      </c>
      <c r="O53" s="9" t="n">
        <v>46254</v>
      </c>
      <c r="P53" s="2" t="inlineStr">
        <is>
          <t>https://panda-windows-and-doors.monday.com/boards/7469134152/pulses/12601509176</t>
        </is>
      </c>
    </row>
    <row r="54">
      <c r="A54" s="2" t="inlineStr">
        <is>
          <t>Sean Torre</t>
        </is>
      </c>
      <c r="B54" s="2" t="inlineStr">
        <is>
          <t>Todd Nelson</t>
        </is>
      </c>
      <c r="C54" s="2" t="inlineStr">
        <is>
          <t>DFW Terminal C</t>
        </is>
      </c>
      <c r="D54" s="2" t="inlineStr">
        <is>
          <t>86704</t>
        </is>
      </c>
      <c r="E54" s="2" t="inlineStr">
        <is>
          <t>Signed SO/Pending Drawings</t>
        </is>
      </c>
      <c r="F54" s="2" t="inlineStr">
        <is>
          <t>Yes</t>
        </is>
      </c>
      <c r="G54" s="9" t="n">
        <v>46058</v>
      </c>
      <c r="H54" s="4" t="n">
        <v>113687</v>
      </c>
      <c r="I54" s="4" t="n">
        <v>98199.36</v>
      </c>
      <c r="J54" s="2" t="inlineStr">
        <is>
          <t>Yes</t>
        </is>
      </c>
      <c r="K54" s="2" t="inlineStr">
        <is>
          <t>No</t>
        </is>
      </c>
      <c r="L54" s="2" t="inlineStr">
        <is>
          <t>Sent to Engineering</t>
        </is>
      </c>
      <c r="M54" s="2" t="inlineStr">
        <is>
          <t>Yes</t>
        </is>
      </c>
      <c r="N54" s="2" t="inlineStr">
        <is>
          <t>Valid backlog</t>
        </is>
      </c>
      <c r="O54" s="9" t="n">
        <v>46120</v>
      </c>
      <c r="P54" s="2" t="inlineStr">
        <is>
          <t>https://panda-windows-and-doors.monday.com/boards/7469134152/pulses/9709418646</t>
        </is>
      </c>
    </row>
    <row r="55">
      <c r="A55" s="2" t="inlineStr">
        <is>
          <t>Sean Torre</t>
        </is>
      </c>
      <c r="B55" s="2" t="inlineStr">
        <is>
          <t>Shuman Doors</t>
        </is>
      </c>
      <c r="C55" s="2" t="inlineStr">
        <is>
          <t>1901 Gilman Ranch Rd</t>
        </is>
      </c>
      <c r="D55" s="2" t="inlineStr">
        <is>
          <t>92172/3956</t>
        </is>
      </c>
      <c r="E55" s="2" t="inlineStr">
        <is>
          <t>Signed SO/Pending Drawings</t>
        </is>
      </c>
      <c r="F55" s="2" t="inlineStr">
        <is>
          <t>Yes</t>
        </is>
      </c>
      <c r="G55" s="9" t="n">
        <v>46267</v>
      </c>
      <c r="H55" s="4" t="n">
        <v>79631.92</v>
      </c>
      <c r="I55" s="4" t="n">
        <v>65873.78999999999</v>
      </c>
      <c r="J55" s="2" t="inlineStr">
        <is>
          <t>Yes</t>
        </is>
      </c>
      <c r="K55" s="2" t="inlineStr">
        <is>
          <t>No</t>
        </is>
      </c>
      <c r="L55" s="2" t="inlineStr">
        <is>
          <t>Not on PM board</t>
        </is>
      </c>
      <c r="M55" s="2" t="inlineStr">
        <is>
          <t>Yes</t>
        </is>
      </c>
      <c r="N55" s="2" t="inlineStr">
        <is>
          <t>Valid backlog</t>
        </is>
      </c>
      <c r="O55" s="9" t="n">
        <v>46295</v>
      </c>
      <c r="P55" s="2" t="inlineStr">
        <is>
          <t>https://panda-windows-and-doors.monday.com/boards/7469134152/pulses/12725867439</t>
        </is>
      </c>
    </row>
    <row r="56">
      <c r="A56" s="2" t="inlineStr">
        <is>
          <t>Sean Torre</t>
        </is>
      </c>
      <c r="B56" s="2" t="inlineStr">
        <is>
          <t>Tier One Custom Windows</t>
        </is>
      </c>
      <c r="C56" s="2" t="inlineStr">
        <is>
          <t>Mt. Bonnell</t>
        </is>
      </c>
      <c r="D56" s="2" t="inlineStr">
        <is>
          <t>89969</t>
        </is>
      </c>
      <c r="E56" s="2" t="inlineStr">
        <is>
          <t>Signed SO/Pending Drawings</t>
        </is>
      </c>
      <c r="F56" s="2" t="inlineStr">
        <is>
          <t>Yes</t>
        </is>
      </c>
      <c r="G56" s="9" t="n">
        <v>46286</v>
      </c>
      <c r="H56" s="4" t="n">
        <v>74601.67</v>
      </c>
      <c r="I56" s="4" t="n">
        <v>95068.62</v>
      </c>
      <c r="J56" s="2" t="inlineStr">
        <is>
          <t>No</t>
        </is>
      </c>
      <c r="K56" s="2" t="inlineStr">
        <is>
          <t>No</t>
        </is>
      </c>
      <c r="L56" s="2" t="inlineStr">
        <is>
          <t>Not on PM board</t>
        </is>
      </c>
      <c r="M56" s="2" t="inlineStr">
        <is>
          <t>No</t>
        </is>
      </c>
      <c r="N56" s="2" t="inlineStr">
        <is>
          <t>Valid backlog</t>
        </is>
      </c>
      <c r="O56" s="9" t="n">
        <v>46286</v>
      </c>
      <c r="P56" s="2" t="inlineStr">
        <is>
          <t>https://panda-windows-and-doors.monday.com/boards/7469134152/pulses/12337378993</t>
        </is>
      </c>
    </row>
    <row r="57">
      <c r="A57" s="2" t="inlineStr">
        <is>
          <t>Sean Torre</t>
        </is>
      </c>
      <c r="B57" s="2" t="inlineStr">
        <is>
          <t xml:space="preserve">Doganis Residence </t>
        </is>
      </c>
      <c r="C57" s="2" t="inlineStr">
        <is>
          <t>Doganis Residence</t>
        </is>
      </c>
      <c r="D57" s="2" t="inlineStr">
        <is>
          <t>87185</t>
        </is>
      </c>
      <c r="E57" s="2" t="inlineStr">
        <is>
          <t>Signed SO/Pending Drawings</t>
        </is>
      </c>
      <c r="F57" s="2" t="inlineStr">
        <is>
          <t>Yes</t>
        </is>
      </c>
      <c r="G57" s="9" t="n">
        <v>45980</v>
      </c>
      <c r="H57" s="4" t="n">
        <v>63029</v>
      </c>
      <c r="I57" s="4" t="n">
        <v>55943.71</v>
      </c>
      <c r="J57" s="2" t="inlineStr">
        <is>
          <t>Yes</t>
        </is>
      </c>
      <c r="K57" s="2" t="inlineStr">
        <is>
          <t>No</t>
        </is>
      </c>
      <c r="L57" s="2" t="inlineStr">
        <is>
          <t>Sent to Engineering</t>
        </is>
      </c>
      <c r="M57" s="2" t="inlineStr">
        <is>
          <t>Yes</t>
        </is>
      </c>
      <c r="N57" s="2" t="inlineStr">
        <is>
          <t>Valid backlog</t>
        </is>
      </c>
      <c r="O57" s="9" t="n">
        <v>46139</v>
      </c>
      <c r="P57" s="2" t="inlineStr">
        <is>
          <t>https://panda-windows-and-doors.monday.com/boards/7469134152/pulses/10600540558</t>
        </is>
      </c>
    </row>
    <row r="58">
      <c r="A58" s="2" t="inlineStr">
        <is>
          <t>Sean Torre</t>
        </is>
      </c>
      <c r="B58" s="2" t="inlineStr">
        <is>
          <t>Builders Direct Supply</t>
        </is>
      </c>
      <c r="C58" s="2" t="inlineStr">
        <is>
          <t>Lift &amp; Slide Options</t>
        </is>
      </c>
      <c r="D58" s="2" t="inlineStr">
        <is>
          <t>92187 / 4496</t>
        </is>
      </c>
      <c r="E58" s="2" t="inlineStr">
        <is>
          <t>Signed SO/Pending Drawings</t>
        </is>
      </c>
      <c r="F58" s="2" t="inlineStr">
        <is>
          <t>Yes</t>
        </is>
      </c>
      <c r="G58" s="9" t="n">
        <v>46295</v>
      </c>
      <c r="H58" s="4" t="n">
        <v>61400.88</v>
      </c>
      <c r="I58" s="4" t="n">
        <v>50618.24</v>
      </c>
      <c r="J58" s="2" t="inlineStr">
        <is>
          <t>No</t>
        </is>
      </c>
      <c r="K58" s="2" t="inlineStr">
        <is>
          <t>No</t>
        </is>
      </c>
      <c r="L58" s="2" t="inlineStr">
        <is>
          <t>Not on PM board</t>
        </is>
      </c>
      <c r="M58" s="2" t="inlineStr">
        <is>
          <t>No</t>
        </is>
      </c>
      <c r="N58" s="2" t="inlineStr">
        <is>
          <t>Valid backlog</t>
        </is>
      </c>
      <c r="O58" s="9" t="n">
        <v>46295</v>
      </c>
      <c r="P58" s="2" t="inlineStr">
        <is>
          <t>https://panda-windows-and-doors.monday.com/boards/7469134152/pulses/12863634399</t>
        </is>
      </c>
    </row>
    <row r="59">
      <c r="A59" s="2" t="inlineStr">
        <is>
          <t>Sean Torre</t>
        </is>
      </c>
      <c r="B59" s="2" t="inlineStr">
        <is>
          <t>Alba Jubani</t>
        </is>
      </c>
      <c r="C59" s="2" t="inlineStr">
        <is>
          <t>Illy at Cosmo</t>
        </is>
      </c>
      <c r="D59" s="2" t="inlineStr">
        <is>
          <t>85778</t>
        </is>
      </c>
      <c r="E59" s="2" t="inlineStr">
        <is>
          <t>Signed SO/Pending Drawings</t>
        </is>
      </c>
      <c r="F59" s="2" t="inlineStr">
        <is>
          <t>Yes</t>
        </is>
      </c>
      <c r="G59" s="9" t="n">
        <v>45805</v>
      </c>
      <c r="H59" s="4" t="n">
        <v>59707</v>
      </c>
      <c r="I59" s="4" t="n">
        <v>52997.5</v>
      </c>
      <c r="J59" s="2" t="inlineStr">
        <is>
          <t>No</t>
        </is>
      </c>
      <c r="K59" s="2" t="inlineStr">
        <is>
          <t>No</t>
        </is>
      </c>
      <c r="L59" s="2" t="inlineStr">
        <is>
          <t>Pending Deposit in Invoicing</t>
        </is>
      </c>
      <c r="M59" s="2" t="inlineStr">
        <is>
          <t>No</t>
        </is>
      </c>
      <c r="N59" s="2" t="inlineStr">
        <is>
          <t>Valid backlog</t>
        </is>
      </c>
      <c r="O59" s="9" t="n">
        <v>46120</v>
      </c>
      <c r="P59" s="2" t="inlineStr">
        <is>
          <t>https://panda-windows-and-doors.monday.com/boards/7469134152/pulses/9253084020</t>
        </is>
      </c>
    </row>
    <row r="60">
      <c r="A60" s="2" t="inlineStr">
        <is>
          <t>Sean Torre</t>
        </is>
      </c>
      <c r="B60" s="2" t="inlineStr">
        <is>
          <t>Tier One Custom Windows</t>
        </is>
      </c>
      <c r="C60" s="2" t="inlineStr">
        <is>
          <t>21830 Briarcliff Dr</t>
        </is>
      </c>
      <c r="D60" s="2" t="inlineStr"/>
      <c r="E60" s="2" t="inlineStr">
        <is>
          <t>Signed SO/Pending Drawings</t>
        </is>
      </c>
      <c r="F60" s="2" t="inlineStr">
        <is>
          <t>Yes</t>
        </is>
      </c>
      <c r="G60" s="9" t="n">
        <v>46268</v>
      </c>
      <c r="H60" s="4" t="n">
        <v>37994.19</v>
      </c>
      <c r="I60" s="4" t="n">
        <v>32875.42</v>
      </c>
      <c r="J60" s="2" t="inlineStr">
        <is>
          <t>No</t>
        </is>
      </c>
      <c r="K60" s="2" t="inlineStr">
        <is>
          <t>No</t>
        </is>
      </c>
      <c r="L60" s="2" t="inlineStr">
        <is>
          <t>Not on PM board</t>
        </is>
      </c>
      <c r="M60" s="2" t="inlineStr">
        <is>
          <t>No</t>
        </is>
      </c>
      <c r="N60" s="2" t="inlineStr">
        <is>
          <t>Valid backlog</t>
        </is>
      </c>
      <c r="O60" s="9" t="n">
        <v>46268</v>
      </c>
      <c r="P60" s="2" t="inlineStr">
        <is>
          <t>https://panda-windows-and-doors.monday.com/boards/7469134152/pulses/12969004516</t>
        </is>
      </c>
    </row>
    <row r="61">
      <c r="A61" s="2" t="inlineStr">
        <is>
          <t>Sean Torre</t>
        </is>
      </c>
      <c r="B61" s="2" t="inlineStr">
        <is>
          <t>Don's Mobile Glass</t>
        </is>
      </c>
      <c r="C61" s="2" t="inlineStr">
        <is>
          <t>Mikha, Linda</t>
        </is>
      </c>
      <c r="D61" s="2" t="inlineStr">
        <is>
          <t>91567</t>
        </is>
      </c>
      <c r="E61" s="2" t="inlineStr">
        <is>
          <t>Signed SO/Pending Drawings</t>
        </is>
      </c>
      <c r="F61" s="2" t="inlineStr">
        <is>
          <t>Yes</t>
        </is>
      </c>
      <c r="G61" s="9" t="n">
        <v>46244</v>
      </c>
      <c r="H61" s="4" t="n">
        <v>31679.47</v>
      </c>
      <c r="I61" s="4" t="n">
        <v>40178.62</v>
      </c>
      <c r="J61" s="2" t="inlineStr">
        <is>
          <t>No</t>
        </is>
      </c>
      <c r="K61" s="2" t="inlineStr">
        <is>
          <t>No</t>
        </is>
      </c>
      <c r="L61" s="2" t="inlineStr">
        <is>
          <t>Not on PM board</t>
        </is>
      </c>
      <c r="M61" s="2" t="inlineStr">
        <is>
          <t>No</t>
        </is>
      </c>
      <c r="N61" s="2" t="inlineStr">
        <is>
          <t>Valid backlog</t>
        </is>
      </c>
      <c r="O61" s="9" t="n">
        <v>46254</v>
      </c>
      <c r="P61" s="2" t="inlineStr">
        <is>
          <t>https://panda-windows-and-doors.monday.com/boards/7469134152/pulses/12763172501</t>
        </is>
      </c>
    </row>
    <row r="62">
      <c r="A62" s="2" t="inlineStr">
        <is>
          <t>Sean Torre</t>
        </is>
      </c>
      <c r="B62" s="2" t="inlineStr">
        <is>
          <t>Integrated door and windows</t>
        </is>
      </c>
      <c r="C62" s="2" t="inlineStr">
        <is>
          <t>Patel Entry Door</t>
        </is>
      </c>
      <c r="D62" s="2" t="inlineStr">
        <is>
          <t>92437 / 4086</t>
        </is>
      </c>
      <c r="E62" s="2" t="inlineStr">
        <is>
          <t>Signed SO/Pending Drawings</t>
        </is>
      </c>
      <c r="F62" s="2" t="inlineStr">
        <is>
          <t>Yes</t>
        </is>
      </c>
      <c r="G62" s="9" t="n">
        <v>46279</v>
      </c>
      <c r="H62" s="4" t="n">
        <v>25916.61</v>
      </c>
      <c r="I62" s="4" t="n">
        <v>21717.08</v>
      </c>
      <c r="J62" s="2" t="inlineStr">
        <is>
          <t>No</t>
        </is>
      </c>
      <c r="K62" s="2" t="inlineStr">
        <is>
          <t>No</t>
        </is>
      </c>
      <c r="L62" s="2" t="inlineStr">
        <is>
          <t>Not on PM board</t>
        </is>
      </c>
      <c r="M62" s="2" t="inlineStr">
        <is>
          <t>No</t>
        </is>
      </c>
      <c r="N62" s="2" t="inlineStr">
        <is>
          <t>Valid backlog</t>
        </is>
      </c>
      <c r="O62" s="9" t="n">
        <v>46279</v>
      </c>
      <c r="P62" s="2" t="inlineStr">
        <is>
          <t>https://panda-windows-and-doors.monday.com/boards/7469134152/pulses/12750039925</t>
        </is>
      </c>
    </row>
    <row r="63">
      <c r="A63" s="2" t="inlineStr">
        <is>
          <t>Sean Torre</t>
        </is>
      </c>
      <c r="B63" s="2" t="inlineStr">
        <is>
          <t>Builders Direct Supply</t>
        </is>
      </c>
      <c r="C63" s="2" t="inlineStr">
        <is>
          <t>Johnson Entry Door</t>
        </is>
      </c>
      <c r="D63" s="2" t="inlineStr">
        <is>
          <t>91561</t>
        </is>
      </c>
      <c r="E63" s="2" t="inlineStr">
        <is>
          <t>Signed SO/Pending Drawings</t>
        </is>
      </c>
      <c r="F63" s="2" t="inlineStr">
        <is>
          <t>Yes</t>
        </is>
      </c>
      <c r="G63" s="9" t="n">
        <v>46252</v>
      </c>
      <c r="H63" s="4" t="n">
        <v>20578.87</v>
      </c>
      <c r="I63" s="4" t="n">
        <v>18439.33</v>
      </c>
      <c r="J63" s="2" t="inlineStr">
        <is>
          <t>No</t>
        </is>
      </c>
      <c r="K63" s="2" t="inlineStr">
        <is>
          <t>No</t>
        </is>
      </c>
      <c r="L63" s="2" t="inlineStr">
        <is>
          <t>Not on PM board</t>
        </is>
      </c>
      <c r="M63" s="2" t="inlineStr">
        <is>
          <t>Yes</t>
        </is>
      </c>
      <c r="N63" s="2" t="inlineStr">
        <is>
          <t>Valid backlog</t>
        </is>
      </c>
      <c r="O63" s="9" t="n">
        <v>46255</v>
      </c>
      <c r="P63" s="2" t="inlineStr">
        <is>
          <t>https://panda-windows-and-doors.monday.com/boards/7469134152/pulses/12833812260</t>
        </is>
      </c>
    </row>
    <row r="64">
      <c r="A64" s="2" t="inlineStr">
        <is>
          <t>Sean Torre</t>
        </is>
      </c>
      <c r="B64" s="2" t="inlineStr">
        <is>
          <t>The Martin</t>
        </is>
      </c>
      <c r="C64" s="2" t="inlineStr">
        <is>
          <t>The Martin</t>
        </is>
      </c>
      <c r="D64" s="2" t="inlineStr">
        <is>
          <t>88971</t>
        </is>
      </c>
      <c r="E64" s="2" t="inlineStr">
        <is>
          <t>Signed SO/Pending Drawings</t>
        </is>
      </c>
      <c r="F64" s="2" t="inlineStr">
        <is>
          <t>No</t>
        </is>
      </c>
      <c r="G64" s="9" t="n"/>
      <c r="H64" s="4" t="n">
        <v>18595.53</v>
      </c>
      <c r="I64" s="4" t="n">
        <v>14186.97</v>
      </c>
      <c r="J64" s="2" t="inlineStr">
        <is>
          <t>No</t>
        </is>
      </c>
      <c r="K64" s="2" t="inlineStr">
        <is>
          <t>No</t>
        </is>
      </c>
      <c r="L64" s="2" t="inlineStr">
        <is>
          <t>Not on PM board</t>
        </is>
      </c>
      <c r="M64" s="2" t="inlineStr">
        <is>
          <t>Yes</t>
        </is>
      </c>
      <c r="N64" s="2" t="inlineStr">
        <is>
          <t>Valid backlog</t>
        </is>
      </c>
      <c r="O64" s="9" t="n">
        <v>46217</v>
      </c>
      <c r="P64" s="2" t="inlineStr">
        <is>
          <t>https://panda-windows-and-doors.monday.com/boards/7469134152/pulses/12361303256</t>
        </is>
      </c>
    </row>
    <row r="65">
      <c r="A65" s="2" t="inlineStr">
        <is>
          <t>Sean Torre</t>
        </is>
      </c>
      <c r="B65" s="2" t="inlineStr">
        <is>
          <t>Lee Glass &amp; Window</t>
        </is>
      </c>
      <c r="C65" s="2" t="inlineStr">
        <is>
          <t>Eisenhower Elementary School Expansion</t>
        </is>
      </c>
      <c r="D65" s="2" t="inlineStr">
        <is>
          <t>90333</t>
        </is>
      </c>
      <c r="E65" s="2" t="inlineStr">
        <is>
          <t>Signed SO/Pending Drawings</t>
        </is>
      </c>
      <c r="F65" s="2" t="inlineStr">
        <is>
          <t>Yes</t>
        </is>
      </c>
      <c r="G65" s="9" t="n">
        <v>46217</v>
      </c>
      <c r="H65" s="4" t="n">
        <v>17299.81</v>
      </c>
      <c r="I65" s="4" t="n">
        <v>12403.49</v>
      </c>
      <c r="J65" s="2" t="inlineStr">
        <is>
          <t>No</t>
        </is>
      </c>
      <c r="K65" s="2" t="inlineStr">
        <is>
          <t>No</t>
        </is>
      </c>
      <c r="L65" s="2" t="inlineStr">
        <is>
          <t>Not on PM board</t>
        </is>
      </c>
      <c r="M65" s="2" t="inlineStr">
        <is>
          <t>Yes</t>
        </is>
      </c>
      <c r="N65" s="2" t="inlineStr">
        <is>
          <t>Valid backlog</t>
        </is>
      </c>
      <c r="O65" s="9" t="n">
        <v>46231</v>
      </c>
      <c r="P65" s="2" t="inlineStr">
        <is>
          <t>https://panda-windows-and-doors.monday.com/boards/7469134152/pulses/11748235978</t>
        </is>
      </c>
    </row>
    <row r="66">
      <c r="A66" s="2" t="inlineStr">
        <is>
          <t>Sean Torre</t>
        </is>
      </c>
      <c r="B66" s="2" t="inlineStr">
        <is>
          <t>Rudy Gomez</t>
        </is>
      </c>
      <c r="C66" s="2" t="inlineStr">
        <is>
          <t>415 College Main</t>
        </is>
      </c>
      <c r="D66" s="2" t="inlineStr">
        <is>
          <t>87805</t>
        </is>
      </c>
      <c r="E66" s="2" t="inlineStr">
        <is>
          <t>Signed SO/Pending Drawings</t>
        </is>
      </c>
      <c r="F66" s="2" t="inlineStr">
        <is>
          <t>Yes</t>
        </is>
      </c>
      <c r="G66" s="9" t="n">
        <v>46007</v>
      </c>
      <c r="H66" s="4" t="n">
        <v>14582</v>
      </c>
      <c r="I66" s="4" t="n">
        <v>10095.03</v>
      </c>
      <c r="J66" s="2" t="inlineStr">
        <is>
          <t>Yes</t>
        </is>
      </c>
      <c r="K66" s="2" t="inlineStr">
        <is>
          <t>No</t>
        </is>
      </c>
      <c r="L66" s="2" t="inlineStr">
        <is>
          <t>Sent to Engineering</t>
        </is>
      </c>
      <c r="M66" s="2" t="inlineStr">
        <is>
          <t>Yes</t>
        </is>
      </c>
      <c r="N66" s="2" t="inlineStr">
        <is>
          <t>Valid backlog</t>
        </is>
      </c>
      <c r="O66" s="9" t="n">
        <v>46120</v>
      </c>
      <c r="P66" s="2" t="inlineStr">
        <is>
          <t>https://panda-windows-and-doors.monday.com/boards/7469134152/pulses/18194141866</t>
        </is>
      </c>
    </row>
    <row r="67">
      <c r="A67" s="2" t="inlineStr">
        <is>
          <t>Sean Torre</t>
        </is>
      </c>
      <c r="B67" s="2" t="inlineStr">
        <is>
          <t>Shuman Doors</t>
        </is>
      </c>
      <c r="C67" s="2" t="inlineStr">
        <is>
          <t>1285 W Edmundson Ave</t>
        </is>
      </c>
      <c r="D67" s="2" t="inlineStr">
        <is>
          <t>91739 / 4578</t>
        </is>
      </c>
      <c r="E67" s="2" t="inlineStr">
        <is>
          <t>Signed SO/Pending Drawings</t>
        </is>
      </c>
      <c r="F67" s="2" t="inlineStr">
        <is>
          <t>Yes</t>
        </is>
      </c>
      <c r="G67" s="9" t="n">
        <v>46267</v>
      </c>
      <c r="H67" s="4" t="n">
        <v>10347.73</v>
      </c>
      <c r="I67" s="4" t="n">
        <v>11985.98</v>
      </c>
      <c r="J67" s="2" t="inlineStr">
        <is>
          <t>No</t>
        </is>
      </c>
      <c r="K67" s="2" t="inlineStr">
        <is>
          <t>No</t>
        </is>
      </c>
      <c r="L67" s="2" t="inlineStr">
        <is>
          <t>Not on PM board</t>
        </is>
      </c>
      <c r="M67" s="2" t="inlineStr">
        <is>
          <t>Yes</t>
        </is>
      </c>
      <c r="N67" s="2" t="inlineStr">
        <is>
          <t>Valid backlog</t>
        </is>
      </c>
      <c r="O67" s="9" t="n">
        <v>46281</v>
      </c>
      <c r="P67" s="2" t="inlineStr">
        <is>
          <t>https://panda-windows-and-doors.monday.com/boards/7469134152/pulses/12957821074</t>
        </is>
      </c>
    </row>
    <row r="68">
      <c r="A68" s="2" t="inlineStr">
        <is>
          <t>Sean Torre</t>
        </is>
      </c>
      <c r="B68" s="2" t="inlineStr">
        <is>
          <t>Shuman Doors</t>
        </is>
      </c>
      <c r="C68" s="2" t="inlineStr">
        <is>
          <t>Arnaud - Add on</t>
        </is>
      </c>
      <c r="D68" s="2" t="inlineStr">
        <is>
          <t>91978</t>
        </is>
      </c>
      <c r="E68" s="2" t="inlineStr">
        <is>
          <t>Signed SO/Pending Drawings</t>
        </is>
      </c>
      <c r="F68" s="2" t="inlineStr">
        <is>
          <t>Yes</t>
        </is>
      </c>
      <c r="G68" s="9" t="n">
        <v>46254</v>
      </c>
      <c r="H68" s="4" t="n">
        <v>1093.38</v>
      </c>
      <c r="I68" s="4" t="n">
        <v>865.49</v>
      </c>
      <c r="J68" s="2" t="inlineStr">
        <is>
          <t>No</t>
        </is>
      </c>
      <c r="K68" s="2" t="inlineStr">
        <is>
          <t>No</t>
        </is>
      </c>
      <c r="L68" s="2" t="inlineStr">
        <is>
          <t>Not on PM board</t>
        </is>
      </c>
      <c r="M68" s="2" t="inlineStr">
        <is>
          <t>No</t>
        </is>
      </c>
      <c r="N68" s="2" t="inlineStr">
        <is>
          <t>Valid backlog</t>
        </is>
      </c>
      <c r="O68" s="9" t="n">
        <v>46254</v>
      </c>
      <c r="P68" s="2" t="inlineStr">
        <is>
          <t>https://panda-windows-and-doors.monday.com/boards/7469134152/pulses/12858595683</t>
        </is>
      </c>
    </row>
    <row r="69">
      <c r="A69" s="2" t="inlineStr">
        <is>
          <t>Sean Torre</t>
        </is>
      </c>
      <c r="B69" s="2" t="inlineStr">
        <is>
          <t>Nandini Saraiya</t>
        </is>
      </c>
      <c r="C69" s="2" t="inlineStr">
        <is>
          <t>Nandini Saraiya</t>
        </is>
      </c>
      <c r="D69" s="2" t="inlineStr">
        <is>
          <t>89168</t>
        </is>
      </c>
      <c r="E69" s="2" t="inlineStr">
        <is>
          <t>Signed SO/Pending Drawings</t>
        </is>
      </c>
      <c r="F69" s="2" t="inlineStr">
        <is>
          <t>Yes</t>
        </is>
      </c>
      <c r="G69" s="9" t="n">
        <v>46134</v>
      </c>
      <c r="H69" s="4" t="n"/>
      <c r="I69" s="4" t="n"/>
      <c r="J69" s="2" t="inlineStr">
        <is>
          <t>No</t>
        </is>
      </c>
      <c r="K69" s="2" t="inlineStr">
        <is>
          <t>No</t>
        </is>
      </c>
      <c r="L69" s="2" t="inlineStr">
        <is>
          <t>Sent to Engineering</t>
        </is>
      </c>
      <c r="M69" s="2" t="inlineStr">
        <is>
          <t>Yes</t>
        </is>
      </c>
      <c r="N69" s="2" t="inlineStr">
        <is>
          <t>Valid backlog</t>
        </is>
      </c>
      <c r="O69" s="9" t="n">
        <v>46136</v>
      </c>
      <c r="P69" s="2" t="inlineStr">
        <is>
          <t>https://panda-windows-and-doors.monday.com/boards/7469134152/pulses/11823251514</t>
        </is>
      </c>
    </row>
    <row r="70">
      <c r="A70" s="2" t="inlineStr">
        <is>
          <t>Stefan Monetta</t>
        </is>
      </c>
      <c r="B70" s="2" t="inlineStr">
        <is>
          <t>Harmon - Maryland</t>
        </is>
      </c>
      <c r="C70" s="2" t="inlineStr">
        <is>
          <t>725 W 12th St</t>
        </is>
      </c>
      <c r="D70" s="2" t="inlineStr">
        <is>
          <t>87189</t>
        </is>
      </c>
      <c r="E70" s="2" t="inlineStr">
        <is>
          <t>Signed SO/Pending Drawings</t>
        </is>
      </c>
      <c r="F70" s="2" t="inlineStr">
        <is>
          <t>Yes</t>
        </is>
      </c>
      <c r="G70" s="9" t="n">
        <v>46259</v>
      </c>
      <c r="H70" s="4" t="n">
        <v>443655.7</v>
      </c>
      <c r="I70" s="4" t="n">
        <v>400693.3</v>
      </c>
      <c r="J70" s="2" t="inlineStr">
        <is>
          <t>Yes</t>
        </is>
      </c>
      <c r="K70" s="2" t="inlineStr">
        <is>
          <t>No</t>
        </is>
      </c>
      <c r="L70" s="2" t="inlineStr">
        <is>
          <t>Not on PM board</t>
        </is>
      </c>
      <c r="M70" s="2" t="inlineStr">
        <is>
          <t>Yes</t>
        </is>
      </c>
      <c r="N70" s="2" t="inlineStr">
        <is>
          <t>Valid backlog</t>
        </is>
      </c>
      <c r="O70" s="9" t="n">
        <v>46274</v>
      </c>
      <c r="P70" s="2" t="inlineStr">
        <is>
          <t>https://panda-windows-and-doors.monday.com/boards/7469134152/pulses/9964657740</t>
        </is>
      </c>
    </row>
    <row r="71">
      <c r="A71" s="2" t="inlineStr">
        <is>
          <t>Stefan Monetta</t>
        </is>
      </c>
      <c r="B71" s="2" t="inlineStr">
        <is>
          <t>Ryan Snabes</t>
        </is>
      </c>
      <c r="C71" s="2" t="inlineStr">
        <is>
          <t>Ann Arbor Thurston</t>
        </is>
      </c>
      <c r="D71" s="2" t="inlineStr">
        <is>
          <t>84161</t>
        </is>
      </c>
      <c r="E71" s="2" t="inlineStr">
        <is>
          <t>Signed SO/Pending Drawings</t>
        </is>
      </c>
      <c r="F71" s="2" t="inlineStr">
        <is>
          <t>Yes</t>
        </is>
      </c>
      <c r="G71" s="9" t="n">
        <v>45931</v>
      </c>
      <c r="H71" s="4" t="n">
        <v>353373</v>
      </c>
      <c r="I71" s="4" t="n">
        <v>315296.32</v>
      </c>
      <c r="J71" s="2" t="inlineStr">
        <is>
          <t>Yes</t>
        </is>
      </c>
      <c r="K71" s="2" t="inlineStr">
        <is>
          <t>No</t>
        </is>
      </c>
      <c r="L71" s="2" t="inlineStr">
        <is>
          <t>Sent to Engineering</t>
        </is>
      </c>
      <c r="M71" s="2" t="inlineStr">
        <is>
          <t>Yes</t>
        </is>
      </c>
      <c r="N71" s="2" t="inlineStr">
        <is>
          <t>Valid backlog</t>
        </is>
      </c>
      <c r="O71" s="9" t="n">
        <v>46183</v>
      </c>
      <c r="P71" s="2" t="inlineStr">
        <is>
          <t>https://panda-windows-and-doors.monday.com/boards/7469134152/pulses/9127892120</t>
        </is>
      </c>
    </row>
    <row r="72">
      <c r="A72" s="2" t="inlineStr">
        <is>
          <t>Stefan Monetta</t>
        </is>
      </c>
      <c r="B72" s="2" t="inlineStr">
        <is>
          <t>Trendex Corp</t>
        </is>
      </c>
      <c r="C72" s="2" t="inlineStr">
        <is>
          <t>1826 S Bayshore Lane</t>
        </is>
      </c>
      <c r="D72" s="2" t="inlineStr">
        <is>
          <t>88397</t>
        </is>
      </c>
      <c r="E72" s="2" t="inlineStr">
        <is>
          <t>Signed SO/Pending Drawings</t>
        </is>
      </c>
      <c r="F72" s="2" t="inlineStr">
        <is>
          <t>Yes</t>
        </is>
      </c>
      <c r="G72" s="9" t="n">
        <v>46058</v>
      </c>
      <c r="H72" s="4" t="n">
        <v>240667</v>
      </c>
      <c r="I72" s="4" t="n">
        <v>211099</v>
      </c>
      <c r="J72" s="2" t="inlineStr">
        <is>
          <t>Yes</t>
        </is>
      </c>
      <c r="K72" s="2" t="inlineStr">
        <is>
          <t>No</t>
        </is>
      </c>
      <c r="L72" s="2" t="inlineStr">
        <is>
          <t>Sent to Engineering</t>
        </is>
      </c>
      <c r="M72" s="2" t="inlineStr">
        <is>
          <t>Yes</t>
        </is>
      </c>
      <c r="N72" s="2" t="inlineStr">
        <is>
          <t>Valid backlog</t>
        </is>
      </c>
      <c r="O72" s="9" t="n">
        <v>46120</v>
      </c>
      <c r="P72" s="2" t="inlineStr">
        <is>
          <t>https://panda-windows-and-doors.monday.com/boards/7469134152/pulses/11201081350</t>
        </is>
      </c>
    </row>
    <row r="73">
      <c r="A73" s="2" t="inlineStr">
        <is>
          <t>Stefan Monetta</t>
        </is>
      </c>
      <c r="B73" s="2" t="inlineStr">
        <is>
          <t>Dan and Molly Dirscherl</t>
        </is>
      </c>
      <c r="C73" s="2" t="inlineStr">
        <is>
          <t>Dirscherl Cabana</t>
        </is>
      </c>
      <c r="D73" s="2" t="inlineStr">
        <is>
          <t>85777</t>
        </is>
      </c>
      <c r="E73" s="2" t="inlineStr">
        <is>
          <t>Signed SO/Pending Drawings</t>
        </is>
      </c>
      <c r="F73" s="2" t="inlineStr">
        <is>
          <t>Yes</t>
        </is>
      </c>
      <c r="G73" s="9" t="n">
        <v>46083</v>
      </c>
      <c r="H73" s="4" t="n">
        <v>177689</v>
      </c>
      <c r="I73" s="4" t="n">
        <v>160979.9</v>
      </c>
      <c r="J73" s="2" t="inlineStr">
        <is>
          <t>Yes</t>
        </is>
      </c>
      <c r="K73" s="2" t="inlineStr">
        <is>
          <t>No</t>
        </is>
      </c>
      <c r="L73" s="2" t="inlineStr">
        <is>
          <t>Sent to Engineering</t>
        </is>
      </c>
      <c r="M73" s="2" t="inlineStr">
        <is>
          <t>Yes</t>
        </is>
      </c>
      <c r="N73" s="2" t="inlineStr">
        <is>
          <t>Valid backlog</t>
        </is>
      </c>
      <c r="O73" s="9" t="n">
        <v>46210</v>
      </c>
      <c r="P73" s="2" t="inlineStr">
        <is>
          <t>https://panda-windows-and-doors.monday.com/boards/7469134152/pulses/11403344967</t>
        </is>
      </c>
    </row>
    <row r="74">
      <c r="A74" s="2" t="inlineStr">
        <is>
          <t>Stefan Monetta</t>
        </is>
      </c>
      <c r="B74" s="2" t="inlineStr">
        <is>
          <t>David Ostrander (Boat House)</t>
        </is>
      </c>
      <c r="C74" s="2" t="inlineStr">
        <is>
          <t>Ostrander Boat House</t>
        </is>
      </c>
      <c r="D74" s="2" t="inlineStr">
        <is>
          <t>89178</t>
        </is>
      </c>
      <c r="E74" s="2" t="inlineStr">
        <is>
          <t>Signed SO/Pending Drawings</t>
        </is>
      </c>
      <c r="F74" s="2" t="inlineStr">
        <is>
          <t>Yes</t>
        </is>
      </c>
      <c r="G74" s="9" t="n">
        <v>46076</v>
      </c>
      <c r="H74" s="4" t="n">
        <v>72444</v>
      </c>
      <c r="I74" s="4" t="n">
        <v>62813.14</v>
      </c>
      <c r="J74" s="2" t="inlineStr">
        <is>
          <t>No</t>
        </is>
      </c>
      <c r="K74" s="2" t="inlineStr">
        <is>
          <t>No</t>
        </is>
      </c>
      <c r="L74" s="2" t="inlineStr">
        <is>
          <t>Pending Deposit in Invoicing</t>
        </is>
      </c>
      <c r="M74" s="2" t="inlineStr">
        <is>
          <t>No</t>
        </is>
      </c>
      <c r="N74" s="2" t="inlineStr">
        <is>
          <t>Valid backlog</t>
        </is>
      </c>
      <c r="O74" s="9" t="n">
        <v>46183</v>
      </c>
      <c r="P74" s="2" t="inlineStr">
        <is>
          <t>https://panda-windows-and-doors.monday.com/boards/7469134152/pulses/11342786430</t>
        </is>
      </c>
    </row>
    <row r="75">
      <c r="A75" s="2" t="inlineStr">
        <is>
          <t>Stefan Monetta</t>
        </is>
      </c>
      <c r="B75" s="2" t="inlineStr">
        <is>
          <t>Glass &amp; Metals</t>
        </is>
      </c>
      <c r="C75" s="2" t="inlineStr">
        <is>
          <t>2100 Crystal</t>
        </is>
      </c>
      <c r="D75" s="2" t="inlineStr">
        <is>
          <t>88012</t>
        </is>
      </c>
      <c r="E75" s="2" t="inlineStr">
        <is>
          <t>Signed SO/Pending Drawings</t>
        </is>
      </c>
      <c r="F75" s="2" t="inlineStr">
        <is>
          <t>Yes</t>
        </is>
      </c>
      <c r="G75" s="9" t="n">
        <v>46154</v>
      </c>
      <c r="H75" s="4" t="n">
        <v>50922</v>
      </c>
      <c r="I75" s="4" t="n">
        <v>42889.34</v>
      </c>
      <c r="J75" s="2" t="inlineStr">
        <is>
          <t>Yes</t>
        </is>
      </c>
      <c r="K75" s="2" t="inlineStr">
        <is>
          <t>No</t>
        </is>
      </c>
      <c r="L75" s="2" t="inlineStr">
        <is>
          <t>Pending Deposit in Invoicing</t>
        </is>
      </c>
      <c r="M75" s="2" t="inlineStr">
        <is>
          <t>Yes</t>
        </is>
      </c>
      <c r="N75" s="2" t="inlineStr">
        <is>
          <t>Valid backlog</t>
        </is>
      </c>
      <c r="O75" s="9" t="n">
        <v>46182</v>
      </c>
      <c r="P75" s="2" t="inlineStr">
        <is>
          <t>https://panda-windows-and-doors.monday.com/boards/7469134152/pulses/18319424513</t>
        </is>
      </c>
    </row>
    <row r="76">
      <c r="A76" s="2" t="inlineStr">
        <is>
          <t>Stefan Monetta</t>
        </is>
      </c>
      <c r="B76" s="2" t="inlineStr">
        <is>
          <t>Ajay Glass Co.</t>
        </is>
      </c>
      <c r="C76" s="2" t="inlineStr">
        <is>
          <t>Sayers Resident</t>
        </is>
      </c>
      <c r="D76" s="2" t="inlineStr">
        <is>
          <t>92799</t>
        </is>
      </c>
      <c r="E76" s="2" t="inlineStr">
        <is>
          <t>Signed SO/Pending Drawings</t>
        </is>
      </c>
      <c r="F76" s="2" t="inlineStr">
        <is>
          <t>Yes</t>
        </is>
      </c>
      <c r="G76" s="9" t="n">
        <v>46275</v>
      </c>
      <c r="H76" s="4" t="n">
        <v>50511.51</v>
      </c>
      <c r="I76" s="4" t="n">
        <v>39261.82</v>
      </c>
      <c r="J76" s="2" t="inlineStr">
        <is>
          <t>No</t>
        </is>
      </c>
      <c r="K76" s="2" t="inlineStr">
        <is>
          <t>No</t>
        </is>
      </c>
      <c r="L76" s="2" t="inlineStr">
        <is>
          <t>Not on PM board</t>
        </is>
      </c>
      <c r="M76" s="2" t="inlineStr">
        <is>
          <t>Yes</t>
        </is>
      </c>
      <c r="N76" s="2" t="inlineStr">
        <is>
          <t>Valid backlog</t>
        </is>
      </c>
      <c r="O76" s="9" t="n">
        <v>46289</v>
      </c>
      <c r="P76" s="2" t="inlineStr">
        <is>
          <t>https://panda-windows-and-doors.monday.com/boards/7469134152/pulses/13019393192</t>
        </is>
      </c>
    </row>
    <row r="77">
      <c r="A77" s="2" t="inlineStr">
        <is>
          <t>Stefan Monetta</t>
        </is>
      </c>
      <c r="B77" s="2" t="inlineStr">
        <is>
          <t>S. Albert Glass Co.</t>
        </is>
      </c>
      <c r="C77" s="2" t="inlineStr">
        <is>
          <t>Womble Bond Dickinson</t>
        </is>
      </c>
      <c r="D77" s="2" t="inlineStr">
        <is>
          <t>91363</t>
        </is>
      </c>
      <c r="E77" s="2" t="inlineStr">
        <is>
          <t>Signed SO/Pending Drawings</t>
        </is>
      </c>
      <c r="F77" s="2" t="inlineStr">
        <is>
          <t>Yes</t>
        </is>
      </c>
      <c r="G77" s="9" t="n">
        <v>46290</v>
      </c>
      <c r="H77" s="4" t="n">
        <v>46472.81</v>
      </c>
      <c r="I77" s="4" t="n">
        <v>35971.62</v>
      </c>
      <c r="J77" s="2" t="inlineStr">
        <is>
          <t>No</t>
        </is>
      </c>
      <c r="K77" s="2" t="inlineStr">
        <is>
          <t>No</t>
        </is>
      </c>
      <c r="L77" s="2" t="inlineStr">
        <is>
          <t>Not on PM board</t>
        </is>
      </c>
      <c r="M77" s="2" t="inlineStr">
        <is>
          <t>No</t>
        </is>
      </c>
      <c r="N77" s="2" t="inlineStr">
        <is>
          <t>Valid backlog</t>
        </is>
      </c>
      <c r="O77" s="9" t="n">
        <v>46290</v>
      </c>
      <c r="P77" s="2" t="inlineStr">
        <is>
          <t>https://panda-windows-and-doors.monday.com/boards/7469134152/pulses/13137557866</t>
        </is>
      </c>
    </row>
    <row r="78">
      <c r="A78" s="2" t="inlineStr">
        <is>
          <t>Stefan Monetta</t>
        </is>
      </c>
      <c r="B78" s="2" t="inlineStr">
        <is>
          <t>Advanced Window, Inc</t>
        </is>
      </c>
      <c r="C78" s="2" t="inlineStr">
        <is>
          <t>1990 K Street</t>
        </is>
      </c>
      <c r="D78" s="2" t="inlineStr">
        <is>
          <t>87616</t>
        </is>
      </c>
      <c r="E78" s="2" t="inlineStr">
        <is>
          <t>Signed SO/Pending Drawings</t>
        </is>
      </c>
      <c r="F78" s="2" t="inlineStr">
        <is>
          <t>Yes</t>
        </is>
      </c>
      <c r="G78" s="9" t="n">
        <v>46057</v>
      </c>
      <c r="H78" s="4" t="n">
        <v>44961</v>
      </c>
      <c r="I78" s="4" t="n">
        <v>37463.65</v>
      </c>
      <c r="J78" s="2" t="inlineStr">
        <is>
          <t>Yes</t>
        </is>
      </c>
      <c r="K78" s="2" t="inlineStr">
        <is>
          <t>No</t>
        </is>
      </c>
      <c r="L78" s="2" t="inlineStr">
        <is>
          <t>Sent to Engineering</t>
        </is>
      </c>
      <c r="M78" s="2" t="inlineStr">
        <is>
          <t>Yes</t>
        </is>
      </c>
      <c r="N78" s="2" t="inlineStr">
        <is>
          <t>Valid backlog</t>
        </is>
      </c>
      <c r="O78" s="9" t="n">
        <v>46182</v>
      </c>
      <c r="P78" s="2" t="inlineStr">
        <is>
          <t>https://panda-windows-and-doors.monday.com/boards/7469134152/pulses/18098472722</t>
        </is>
      </c>
    </row>
    <row r="79">
      <c r="A79" s="2" t="inlineStr">
        <is>
          <t>Stefan Monetta</t>
        </is>
      </c>
      <c r="B79" s="2" t="inlineStr">
        <is>
          <t>Keith Starkey</t>
        </is>
      </c>
      <c r="C79" s="2" t="inlineStr">
        <is>
          <t>Starkey Residence</t>
        </is>
      </c>
      <c r="D79" s="2" t="inlineStr">
        <is>
          <t>78503</t>
        </is>
      </c>
      <c r="E79" s="2" t="inlineStr">
        <is>
          <t>Signed SO/Pending Drawings</t>
        </is>
      </c>
      <c r="F79" s="2" t="inlineStr">
        <is>
          <t>Yes</t>
        </is>
      </c>
      <c r="G79" s="9" t="n">
        <v>45824</v>
      </c>
      <c r="H79" s="4" t="n">
        <v>31629</v>
      </c>
      <c r="I79" s="4" t="n">
        <v>24003.52</v>
      </c>
      <c r="J79" s="2" t="inlineStr">
        <is>
          <t>Yes</t>
        </is>
      </c>
      <c r="K79" s="2" t="inlineStr">
        <is>
          <t>No</t>
        </is>
      </c>
      <c r="L79" s="2" t="inlineStr">
        <is>
          <t>Sent to Engineering</t>
        </is>
      </c>
      <c r="M79" s="2" t="inlineStr">
        <is>
          <t>Yes</t>
        </is>
      </c>
      <c r="N79" s="2" t="inlineStr">
        <is>
          <t>Valid backlog</t>
        </is>
      </c>
      <c r="O79" s="9" t="n">
        <v>46182</v>
      </c>
      <c r="P79" s="2" t="inlineStr">
        <is>
          <t>https://panda-windows-and-doors.monday.com/boards/7469134152/pulses/9366873756</t>
        </is>
      </c>
    </row>
    <row r="80">
      <c r="A80" s="2" t="inlineStr">
        <is>
          <t>Stefan Monetta</t>
        </is>
      </c>
      <c r="B80" s="2" t="inlineStr">
        <is>
          <t>Ajay Glass Co.</t>
        </is>
      </c>
      <c r="C80" s="2" t="inlineStr">
        <is>
          <t>Billiter South</t>
        </is>
      </c>
      <c r="D80" s="2" t="inlineStr">
        <is>
          <t>90513</t>
        </is>
      </c>
      <c r="E80" s="2" t="inlineStr">
        <is>
          <t>Signed SO/Pending Drawings</t>
        </is>
      </c>
      <c r="F80" s="2" t="inlineStr">
        <is>
          <t>Yes</t>
        </is>
      </c>
      <c r="G80" s="9" t="n">
        <v>46282</v>
      </c>
      <c r="H80" s="4" t="n">
        <v>29671.25</v>
      </c>
      <c r="I80" s="4" t="n">
        <v>21959.54</v>
      </c>
      <c r="J80" s="2" t="inlineStr">
        <is>
          <t>No</t>
        </is>
      </c>
      <c r="K80" s="2" t="inlineStr">
        <is>
          <t>No</t>
        </is>
      </c>
      <c r="L80" s="2" t="inlineStr">
        <is>
          <t>Not on PM board</t>
        </is>
      </c>
      <c r="M80" s="2" t="inlineStr">
        <is>
          <t>Yes</t>
        </is>
      </c>
      <c r="N80" s="2" t="inlineStr">
        <is>
          <t>Valid backlog</t>
        </is>
      </c>
      <c r="O80" s="9" t="n">
        <v>46289</v>
      </c>
      <c r="P80" s="2" t="inlineStr">
        <is>
          <t>https://panda-windows-and-doors.monday.com/boards/7469134152/pulses/11809350053</t>
        </is>
      </c>
    </row>
    <row r="81">
      <c r="A81" s="2" t="inlineStr">
        <is>
          <t>Stefan Monetta</t>
        </is>
      </c>
      <c r="B81" s="2" t="inlineStr">
        <is>
          <t>Scott Hawkins</t>
        </is>
      </c>
      <c r="C81" s="2" t="inlineStr">
        <is>
          <t>Hawkins Residence</t>
        </is>
      </c>
      <c r="D81" s="2" t="inlineStr">
        <is>
          <t>91020</t>
        </is>
      </c>
      <c r="E81" s="2" t="inlineStr">
        <is>
          <t>Signed SO/Pending Drawings</t>
        </is>
      </c>
      <c r="F81" s="2" t="inlineStr">
        <is>
          <t>Yes</t>
        </is>
      </c>
      <c r="G81" s="9" t="n">
        <v>46210</v>
      </c>
      <c r="H81" s="4" t="n">
        <v>25575.9</v>
      </c>
      <c r="I81" s="4" t="n">
        <v>19996.9</v>
      </c>
      <c r="J81" s="2" t="inlineStr">
        <is>
          <t>No</t>
        </is>
      </c>
      <c r="K81" s="2" t="inlineStr">
        <is>
          <t>No</t>
        </is>
      </c>
      <c r="L81" s="2" t="inlineStr">
        <is>
          <t>Pending Deposit in Invoicing</t>
        </is>
      </c>
      <c r="M81" s="2" t="inlineStr">
        <is>
          <t>No</t>
        </is>
      </c>
      <c r="N81" s="2" t="inlineStr">
        <is>
          <t>Valid backlog</t>
        </is>
      </c>
      <c r="O81" s="9" t="n">
        <v>46210</v>
      </c>
      <c r="P81" s="2" t="inlineStr">
        <is>
          <t>https://panda-windows-and-doors.monday.com/boards/7469134152/pulses/12079669060</t>
        </is>
      </c>
    </row>
    <row r="82">
      <c r="A82" s="2" t="inlineStr">
        <is>
          <t>Stefan Monetta</t>
        </is>
      </c>
      <c r="B82" s="2" t="inlineStr">
        <is>
          <t>Klein Dickert Milwakee Inc.</t>
        </is>
      </c>
      <c r="C82" s="2" t="inlineStr">
        <is>
          <t>Artalia Senior Living</t>
        </is>
      </c>
      <c r="D82" s="2" t="inlineStr">
        <is>
          <t>90043</t>
        </is>
      </c>
      <c r="E82" s="2" t="inlineStr">
        <is>
          <t>Signed SO/Pending Drawings</t>
        </is>
      </c>
      <c r="F82" s="2" t="inlineStr">
        <is>
          <t>Yes</t>
        </is>
      </c>
      <c r="G82" s="9" t="n">
        <v>46253</v>
      </c>
      <c r="H82" s="4" t="n">
        <v>21965.81</v>
      </c>
      <c r="I82" s="4" t="n">
        <v>16643.42</v>
      </c>
      <c r="J82" s="2" t="inlineStr">
        <is>
          <t>No</t>
        </is>
      </c>
      <c r="K82" s="2" t="inlineStr">
        <is>
          <t>No</t>
        </is>
      </c>
      <c r="L82" s="2" t="inlineStr">
        <is>
          <t>Not on PM board</t>
        </is>
      </c>
      <c r="M82" s="2" t="inlineStr">
        <is>
          <t>Yes</t>
        </is>
      </c>
      <c r="N82" s="2" t="inlineStr">
        <is>
          <t>Valid backlog</t>
        </is>
      </c>
      <c r="O82" s="9" t="n">
        <v>46265</v>
      </c>
      <c r="P82" s="2" t="inlineStr">
        <is>
          <t>https://panda-windows-and-doors.monday.com/boards/7469134152/pulses/12807318540</t>
        </is>
      </c>
    </row>
    <row r="83">
      <c r="A83" s="2" t="inlineStr">
        <is>
          <t>Stefan Monetta</t>
        </is>
      </c>
      <c r="B83" s="2" t="inlineStr">
        <is>
          <t>Matthew Daniel</t>
        </is>
      </c>
      <c r="C83" s="2" t="inlineStr">
        <is>
          <t>Daniel Res</t>
        </is>
      </c>
      <c r="D83" s="2" t="inlineStr">
        <is>
          <t>85396</t>
        </is>
      </c>
      <c r="E83" s="2" t="inlineStr">
        <is>
          <t>Signed SO/Pending Drawings</t>
        </is>
      </c>
      <c r="F83" s="2" t="inlineStr">
        <is>
          <t>Yes</t>
        </is>
      </c>
      <c r="G83" s="9" t="n">
        <v>46135</v>
      </c>
      <c r="H83" s="4" t="n">
        <v>19584</v>
      </c>
      <c r="I83" s="4" t="n">
        <v>13851.41</v>
      </c>
      <c r="J83" s="2" t="inlineStr">
        <is>
          <t>No</t>
        </is>
      </c>
      <c r="K83" s="2" t="inlineStr">
        <is>
          <t>No</t>
        </is>
      </c>
      <c r="L83" s="2" t="inlineStr">
        <is>
          <t>Sent to Engineering</t>
        </is>
      </c>
      <c r="M83" s="2" t="inlineStr">
        <is>
          <t>Yes</t>
        </is>
      </c>
      <c r="N83" s="2" t="inlineStr">
        <is>
          <t>Valid backlog</t>
        </is>
      </c>
      <c r="O83" s="9" t="n">
        <v>46182</v>
      </c>
      <c r="P83" s="2" t="inlineStr">
        <is>
          <t>https://panda-windows-and-doors.monday.com/boards/7469134152/pulses/11834734434</t>
        </is>
      </c>
    </row>
    <row r="84">
      <c r="A84" s="2" t="inlineStr">
        <is>
          <t>Stefan Monetta</t>
        </is>
      </c>
      <c r="B84" s="2" t="inlineStr">
        <is>
          <t>Matthew Daniel</t>
        </is>
      </c>
      <c r="C84" s="2" t="inlineStr">
        <is>
          <t>Daniel Res</t>
        </is>
      </c>
      <c r="D84" s="2" t="inlineStr">
        <is>
          <t>85396</t>
        </is>
      </c>
      <c r="E84" s="2" t="inlineStr">
        <is>
          <t>Signed SO/Pending Drawings</t>
        </is>
      </c>
      <c r="F84" s="2" t="inlineStr">
        <is>
          <t>Yes</t>
        </is>
      </c>
      <c r="G84" s="9" t="n">
        <v>46135</v>
      </c>
      <c r="H84" s="4" t="n">
        <v>19584</v>
      </c>
      <c r="I84" s="4" t="n">
        <v>13851.41</v>
      </c>
      <c r="J84" s="2" t="inlineStr">
        <is>
          <t>No</t>
        </is>
      </c>
      <c r="K84" s="2" t="inlineStr">
        <is>
          <t>No</t>
        </is>
      </c>
      <c r="L84" s="2" t="inlineStr">
        <is>
          <t>Sent to Engineering</t>
        </is>
      </c>
      <c r="M84" s="2" t="inlineStr">
        <is>
          <t>Yes</t>
        </is>
      </c>
      <c r="N84" s="2" t="inlineStr">
        <is>
          <t>Valid backlog</t>
        </is>
      </c>
      <c r="O84" s="9" t="n">
        <v>46182</v>
      </c>
      <c r="P84" s="2" t="inlineStr">
        <is>
          <t>https://panda-windows-and-doors.monday.com/boards/7469134152/pulses/11834726305</t>
        </is>
      </c>
    </row>
    <row r="85">
      <c r="A85" s="2" t="inlineStr">
        <is>
          <t>Stefan Monetta</t>
        </is>
      </c>
      <c r="B85" s="2" t="inlineStr">
        <is>
          <t>Matthew Daniel</t>
        </is>
      </c>
      <c r="C85" s="2" t="inlineStr">
        <is>
          <t>Daniel Res</t>
        </is>
      </c>
      <c r="D85" s="2" t="inlineStr">
        <is>
          <t>85396</t>
        </is>
      </c>
      <c r="E85" s="2" t="inlineStr">
        <is>
          <t>Signed SO/Pending Drawings</t>
        </is>
      </c>
      <c r="F85" s="2" t="inlineStr">
        <is>
          <t>Yes</t>
        </is>
      </c>
      <c r="G85" s="9" t="n">
        <v>46135</v>
      </c>
      <c r="H85" s="4" t="n">
        <v>19584</v>
      </c>
      <c r="I85" s="4" t="n">
        <v>13851.41</v>
      </c>
      <c r="J85" s="2" t="inlineStr">
        <is>
          <t>No</t>
        </is>
      </c>
      <c r="K85" s="2" t="inlineStr">
        <is>
          <t>No</t>
        </is>
      </c>
      <c r="L85" s="2" t="inlineStr">
        <is>
          <t>Sent to Engineering</t>
        </is>
      </c>
      <c r="M85" s="2" t="inlineStr">
        <is>
          <t>Yes</t>
        </is>
      </c>
      <c r="N85" s="2" t="inlineStr">
        <is>
          <t>Valid backlog</t>
        </is>
      </c>
      <c r="O85" s="9" t="n">
        <v>46182</v>
      </c>
      <c r="P85" s="2" t="inlineStr">
        <is>
          <t>https://panda-windows-and-doors.monday.com/boards/7469134152/pulses/11834725746</t>
        </is>
      </c>
    </row>
    <row r="86">
      <c r="A86" s="2" t="inlineStr">
        <is>
          <t>Stefan Monetta</t>
        </is>
      </c>
      <c r="B86" s="2" t="inlineStr">
        <is>
          <t>Matthew Daniel</t>
        </is>
      </c>
      <c r="C86" s="2" t="inlineStr">
        <is>
          <t>Daniel Res</t>
        </is>
      </c>
      <c r="D86" s="2" t="inlineStr">
        <is>
          <t>85396</t>
        </is>
      </c>
      <c r="E86" s="2" t="inlineStr">
        <is>
          <t>Signed SO/Pending Drawings</t>
        </is>
      </c>
      <c r="F86" s="2" t="inlineStr">
        <is>
          <t>Yes</t>
        </is>
      </c>
      <c r="G86" s="9" t="n">
        <v>46167</v>
      </c>
      <c r="H86" s="4" t="n">
        <v>19584</v>
      </c>
      <c r="I86" s="4" t="n">
        <v>13851.41</v>
      </c>
      <c r="J86" s="2" t="inlineStr">
        <is>
          <t>No</t>
        </is>
      </c>
      <c r="K86" s="2" t="inlineStr">
        <is>
          <t>No</t>
        </is>
      </c>
      <c r="L86" s="2" t="inlineStr">
        <is>
          <t>Sent to Engineering</t>
        </is>
      </c>
      <c r="M86" s="2" t="inlineStr">
        <is>
          <t>Yes</t>
        </is>
      </c>
      <c r="N86" s="2" t="inlineStr">
        <is>
          <t>Valid backlog</t>
        </is>
      </c>
      <c r="O86" s="9" t="n">
        <v>46182</v>
      </c>
      <c r="P86" s="2" t="inlineStr">
        <is>
          <t>https://panda-windows-and-doors.monday.com/boards/7469134152/pulses/9031631347</t>
        </is>
      </c>
    </row>
    <row r="87">
      <c r="A87" s="2" t="inlineStr">
        <is>
          <t>Stefan Monetta</t>
        </is>
      </c>
      <c r="B87" s="2" t="inlineStr">
        <is>
          <t>Steve Bell</t>
        </is>
      </c>
      <c r="C87" s="2" t="inlineStr">
        <is>
          <t>Worth SD P27</t>
        </is>
      </c>
      <c r="D87" s="2" t="inlineStr">
        <is>
          <t>80858</t>
        </is>
      </c>
      <c r="E87" s="2" t="inlineStr">
        <is>
          <t>Signed SO/Pending Drawings</t>
        </is>
      </c>
      <c r="F87" s="2" t="inlineStr">
        <is>
          <t>Yes</t>
        </is>
      </c>
      <c r="G87" s="9" t="n">
        <v>45671</v>
      </c>
      <c r="H87" s="4" t="n">
        <v>13686</v>
      </c>
      <c r="I87" s="4" t="n">
        <v>8879.200000000001</v>
      </c>
      <c r="J87" s="2" t="inlineStr">
        <is>
          <t>No</t>
        </is>
      </c>
      <c r="K87" s="2" t="inlineStr">
        <is>
          <t>No</t>
        </is>
      </c>
      <c r="L87" s="2" t="inlineStr">
        <is>
          <t>Sent to Engineering</t>
        </is>
      </c>
      <c r="M87" s="2" t="inlineStr">
        <is>
          <t>Yes</t>
        </is>
      </c>
      <c r="N87" s="2" t="inlineStr">
        <is>
          <t>Valid backlog</t>
        </is>
      </c>
      <c r="O87" s="9" t="n">
        <v>46174</v>
      </c>
      <c r="P87" s="2" t="inlineStr">
        <is>
          <t>https://panda-windows-and-doors.monday.com/boards/7469134152/pulses/8241706192</t>
        </is>
      </c>
    </row>
    <row r="88">
      <c r="A88" s="2" t="inlineStr">
        <is>
          <t>Stefan Monetta</t>
        </is>
      </c>
      <c r="B88" s="2" t="inlineStr">
        <is>
          <t>Clerestory LLC</t>
        </is>
      </c>
      <c r="C88" s="2" t="inlineStr">
        <is>
          <t>Malireddy Pivot Door</t>
        </is>
      </c>
      <c r="D88" s="2" t="inlineStr">
        <is>
          <t>89254</t>
        </is>
      </c>
      <c r="E88" s="2" t="inlineStr">
        <is>
          <t>Signed SO/Pending Drawings</t>
        </is>
      </c>
      <c r="F88" s="2" t="inlineStr">
        <is>
          <t>Yes</t>
        </is>
      </c>
      <c r="G88" s="9" t="n">
        <v>46135</v>
      </c>
      <c r="H88" s="4" t="n"/>
      <c r="I88" s="4" t="n"/>
      <c r="J88" s="2" t="inlineStr">
        <is>
          <t>Yes</t>
        </is>
      </c>
      <c r="K88" s="2" t="inlineStr">
        <is>
          <t>No</t>
        </is>
      </c>
      <c r="L88" s="2" t="inlineStr">
        <is>
          <t>Sent to Engineering</t>
        </is>
      </c>
      <c r="M88" s="2" t="inlineStr">
        <is>
          <t>Yes</t>
        </is>
      </c>
      <c r="N88" s="2" t="inlineStr">
        <is>
          <t>Valid backlog</t>
        </is>
      </c>
      <c r="O88" s="9" t="n">
        <v>46183</v>
      </c>
      <c r="P88" s="2" t="inlineStr">
        <is>
          <t>https://panda-windows-and-doors.monday.com/boards/7469134152/pulses/11833868966</t>
        </is>
      </c>
    </row>
    <row r="89">
      <c r="A89" s="2" t="inlineStr">
        <is>
          <t>Stefan Monetta</t>
        </is>
      </c>
      <c r="B89" s="2" t="inlineStr">
        <is>
          <t>Reflection Window + Wall</t>
        </is>
      </c>
      <c r="C89" s="2" t="inlineStr">
        <is>
          <t>Bally's Chicago Casino</t>
        </is>
      </c>
      <c r="D89" s="2" t="inlineStr">
        <is>
          <t>90293</t>
        </is>
      </c>
      <c r="E89" s="2" t="inlineStr">
        <is>
          <t>Signed SO/Pending Drawings</t>
        </is>
      </c>
      <c r="F89" s="2" t="inlineStr">
        <is>
          <t>Yes</t>
        </is>
      </c>
      <c r="G89" s="9" t="n">
        <v>46154</v>
      </c>
      <c r="H89" s="4" t="n"/>
      <c r="I89" s="4" t="n"/>
      <c r="J89" s="2" t="inlineStr">
        <is>
          <t>Yes</t>
        </is>
      </c>
      <c r="K89" s="2" t="inlineStr">
        <is>
          <t>No</t>
        </is>
      </c>
      <c r="L89" s="2" t="inlineStr">
        <is>
          <t>Sent to Engineering</t>
        </is>
      </c>
      <c r="M89" s="2" t="inlineStr">
        <is>
          <t>Yes</t>
        </is>
      </c>
      <c r="N89" s="2" t="inlineStr">
        <is>
          <t>Valid backlog</t>
        </is>
      </c>
      <c r="O89" s="9" t="n">
        <v>46175</v>
      </c>
      <c r="P89" s="2" t="inlineStr">
        <is>
          <t>https://panda-windows-and-doors.monday.com/boards/7469134152/pulses/11993669702</t>
        </is>
      </c>
    </row>
    <row r="90">
      <c r="A90" s="2" t="inlineStr">
        <is>
          <t>Trevor Benthagen</t>
        </is>
      </c>
      <c r="B90" s="2" t="inlineStr">
        <is>
          <t>Jairo Cadena</t>
        </is>
      </c>
      <c r="C90" s="2" t="inlineStr">
        <is>
          <t>Cadena Residence Alternate</t>
        </is>
      </c>
      <c r="D90" s="2" t="inlineStr">
        <is>
          <t>90541 / 2340</t>
        </is>
      </c>
      <c r="E90" s="2" t="inlineStr">
        <is>
          <t>Signed SO/Pending Drawings</t>
        </is>
      </c>
      <c r="F90" s="2" t="inlineStr">
        <is>
          <t>Yes</t>
        </is>
      </c>
      <c r="G90" s="9" t="n">
        <v>46177</v>
      </c>
      <c r="H90" s="4" t="n">
        <v>245378.14</v>
      </c>
      <c r="I90" s="4" t="n">
        <v>211482.19</v>
      </c>
      <c r="J90" s="2" t="inlineStr">
        <is>
          <t>No</t>
        </is>
      </c>
      <c r="K90" s="2" t="inlineStr">
        <is>
          <t>No</t>
        </is>
      </c>
      <c r="L90" s="2" t="inlineStr">
        <is>
          <t>Pending Deposit in Invoicing</t>
        </is>
      </c>
      <c r="M90" s="2" t="inlineStr">
        <is>
          <t>No</t>
        </is>
      </c>
      <c r="N90" s="2" t="inlineStr">
        <is>
          <t>Valid backlog</t>
        </is>
      </c>
      <c r="O90" s="9" t="n">
        <v>46251</v>
      </c>
      <c r="P90" s="2" t="inlineStr">
        <is>
          <t>https://panda-windows-and-doors.monday.com/boards/7469134152/pulses/11820382060</t>
        </is>
      </c>
    </row>
    <row r="91">
      <c r="A91" s="2" t="inlineStr">
        <is>
          <t>Trevor Benthagen</t>
        </is>
      </c>
      <c r="B91" s="2" t="inlineStr">
        <is>
          <t>Craig Campbell, Sierra Pacific Windows</t>
        </is>
      </c>
      <c r="C91" s="2" t="inlineStr">
        <is>
          <t>Silence Residence</t>
        </is>
      </c>
      <c r="D91" s="2" t="inlineStr">
        <is>
          <t>92285 / 3906</t>
        </is>
      </c>
      <c r="E91" s="2" t="inlineStr">
        <is>
          <t>Signed SO/Pending Drawings</t>
        </is>
      </c>
      <c r="F91" s="2" t="inlineStr">
        <is>
          <t>Yes</t>
        </is>
      </c>
      <c r="G91" s="9" t="n">
        <v>46293</v>
      </c>
      <c r="H91" s="4" t="n">
        <v>241158.25</v>
      </c>
      <c r="I91" s="4" t="n">
        <v>212062.61</v>
      </c>
      <c r="J91" s="2" t="inlineStr">
        <is>
          <t>Yes</t>
        </is>
      </c>
      <c r="K91" s="2" t="inlineStr">
        <is>
          <t>Yes</t>
        </is>
      </c>
      <c r="L91" s="2" t="inlineStr">
        <is>
          <t>Not on PM board</t>
        </is>
      </c>
      <c r="M91" s="2" t="inlineStr">
        <is>
          <t>Yes</t>
        </is>
      </c>
      <c r="N91" s="2" t="inlineStr">
        <is>
          <t>Valid backlog</t>
        </is>
      </c>
      <c r="O91" s="9" t="n">
        <v>46293</v>
      </c>
      <c r="P91" s="2" t="inlineStr">
        <is>
          <t>https://panda-windows-and-doors.monday.com/boards/7469134152/pulses/12708565152</t>
        </is>
      </c>
    </row>
    <row r="92">
      <c r="A92" s="2" t="inlineStr">
        <is>
          <t>Trevor Benthagen</t>
        </is>
      </c>
      <c r="B92" s="2" t="inlineStr">
        <is>
          <t>Steve Hernandez, Sierra Pacific Windows</t>
        </is>
      </c>
      <c r="C92" s="2" t="inlineStr">
        <is>
          <t>4545 Tremont Doors</t>
        </is>
      </c>
      <c r="D92" s="2" t="inlineStr">
        <is>
          <t>91699 / 3711</t>
        </is>
      </c>
      <c r="E92" s="2" t="inlineStr">
        <is>
          <t>Signed SO/Pending Drawings</t>
        </is>
      </c>
      <c r="F92" s="2" t="inlineStr">
        <is>
          <t>Yes</t>
        </is>
      </c>
      <c r="G92" s="9" t="n">
        <v>46287</v>
      </c>
      <c r="H92" s="4" t="n">
        <v>137544.7</v>
      </c>
      <c r="I92" s="4" t="n">
        <v>123986.79</v>
      </c>
      <c r="J92" s="2" t="inlineStr">
        <is>
          <t>No</t>
        </is>
      </c>
      <c r="K92" s="2" t="inlineStr">
        <is>
          <t>No</t>
        </is>
      </c>
      <c r="L92" s="2" t="inlineStr">
        <is>
          <t>Not on PM board</t>
        </is>
      </c>
      <c r="M92" s="2" t="inlineStr">
        <is>
          <t>Yes</t>
        </is>
      </c>
      <c r="N92" s="2" t="inlineStr">
        <is>
          <t>Valid backlog</t>
        </is>
      </c>
      <c r="O92" s="9" t="n">
        <v>46287</v>
      </c>
      <c r="P92" s="2" t="inlineStr">
        <is>
          <t>https://panda-windows-and-doors.monday.com/boards/7469134152/pulses/11762749119</t>
        </is>
      </c>
    </row>
    <row r="93">
      <c r="A93" s="2" t="inlineStr">
        <is>
          <t>Trevor Benthagen</t>
        </is>
      </c>
      <c r="B93" s="2" t="inlineStr">
        <is>
          <t>Mike Haskell, Sierra Pacific Windows</t>
        </is>
      </c>
      <c r="C93" s="2" t="inlineStr">
        <is>
          <t>1850 White Oak Dr.</t>
        </is>
      </c>
      <c r="D93" s="2" t="inlineStr">
        <is>
          <t>92463 / 4543</t>
        </is>
      </c>
      <c r="E93" s="2" t="inlineStr">
        <is>
          <t>Signed SO/Pending Drawings</t>
        </is>
      </c>
      <c r="F93" s="2" t="inlineStr">
        <is>
          <t>Yes</t>
        </is>
      </c>
      <c r="G93" s="9" t="n">
        <v>46289</v>
      </c>
      <c r="H93" s="4" t="n">
        <v>136558.27</v>
      </c>
      <c r="I93" s="4" t="n">
        <v>120088.32</v>
      </c>
      <c r="J93" s="2" t="inlineStr">
        <is>
          <t>No</t>
        </is>
      </c>
      <c r="K93" s="2" t="inlineStr">
        <is>
          <t>No</t>
        </is>
      </c>
      <c r="L93" s="2" t="inlineStr">
        <is>
          <t>Not on PM board</t>
        </is>
      </c>
      <c r="M93" s="2" t="inlineStr">
        <is>
          <t>Yes</t>
        </is>
      </c>
      <c r="N93" s="2" t="inlineStr">
        <is>
          <t>Valid backlog</t>
        </is>
      </c>
      <c r="O93" s="9" t="n">
        <v>46289</v>
      </c>
      <c r="P93" s="2" t="inlineStr">
        <is>
          <t>https://panda-windows-and-doors.monday.com/boards/7469134152/pulses/12835003618</t>
        </is>
      </c>
    </row>
    <row r="94">
      <c r="A94" s="2" t="inlineStr">
        <is>
          <t>Trevor Benthagen</t>
        </is>
      </c>
      <c r="B94" s="2" t="inlineStr">
        <is>
          <t>Kason Sullivan</t>
        </is>
      </c>
      <c r="C94" s="2" t="inlineStr">
        <is>
          <t>Jeperson Remodel 4 PHASE 1</t>
        </is>
      </c>
      <c r="D94" s="2" t="inlineStr">
        <is>
          <t>92246 / 3897</t>
        </is>
      </c>
      <c r="E94" s="2" t="inlineStr">
        <is>
          <t>Signed SO/Pending Drawings</t>
        </is>
      </c>
      <c r="F94" s="2" t="inlineStr">
        <is>
          <t>Yes</t>
        </is>
      </c>
      <c r="G94" s="9" t="n">
        <v>46238</v>
      </c>
      <c r="H94" s="4" t="n">
        <v>38876.84</v>
      </c>
      <c r="I94" s="4" t="n">
        <v>32552.25</v>
      </c>
      <c r="J94" s="2" t="inlineStr">
        <is>
          <t>No</t>
        </is>
      </c>
      <c r="K94" s="2" t="inlineStr">
        <is>
          <t>No</t>
        </is>
      </c>
      <c r="L94" s="2" t="inlineStr">
        <is>
          <t>Not on PM board</t>
        </is>
      </c>
      <c r="M94" s="2" t="inlineStr">
        <is>
          <t>Yes</t>
        </is>
      </c>
      <c r="N94" s="2" t="inlineStr">
        <is>
          <t>Valid backlog</t>
        </is>
      </c>
      <c r="O94" s="9" t="n">
        <v>46287</v>
      </c>
      <c r="P94" s="2" t="inlineStr">
        <is>
          <t>https://panda-windows-and-doors.monday.com/boards/7469134152/pulses/12707559837</t>
        </is>
      </c>
    </row>
    <row r="95">
      <c r="A95" s="2" t="inlineStr">
        <is>
          <t>Trevor Benthagen</t>
        </is>
      </c>
      <c r="B95" s="2" t="inlineStr">
        <is>
          <t>Mike Haskell, Sierra Pacific Windows</t>
        </is>
      </c>
      <c r="C95" s="2" t="inlineStr">
        <is>
          <t>1850 White Oak Dr. Corner Unit (TS.XO)</t>
        </is>
      </c>
      <c r="D95" s="2" t="inlineStr">
        <is>
          <t>95208</t>
        </is>
      </c>
      <c r="E95" s="2" t="inlineStr">
        <is>
          <t>Signed SO/Pending Drawings</t>
        </is>
      </c>
      <c r="F95" s="2" t="inlineStr">
        <is>
          <t>Yes</t>
        </is>
      </c>
      <c r="G95" s="9" t="n">
        <v>46289</v>
      </c>
      <c r="H95" s="4" t="n">
        <v>29967.68</v>
      </c>
      <c r="I95" s="4" t="n">
        <v>26930.17</v>
      </c>
      <c r="J95" s="2" t="inlineStr">
        <is>
          <t>No</t>
        </is>
      </c>
      <c r="K95" s="2" t="inlineStr">
        <is>
          <t>Yes</t>
        </is>
      </c>
      <c r="L95" s="2" t="inlineStr">
        <is>
          <t>Pending Deposit in Invoicing</t>
        </is>
      </c>
      <c r="M95" s="2" t="inlineStr">
        <is>
          <t>Yes</t>
        </is>
      </c>
      <c r="N95" s="2" t="inlineStr">
        <is>
          <t>Valid backlog</t>
        </is>
      </c>
      <c r="O95" s="9" t="n">
        <v>46289</v>
      </c>
      <c r="P95" s="2" t="inlineStr">
        <is>
          <t>https://panda-windows-and-doors.monday.com/boards/7469134152/pulses/13051621712</t>
        </is>
      </c>
    </row>
    <row r="96">
      <c r="A96" s="2" t="inlineStr">
        <is>
          <t>Trevor Benthagen</t>
        </is>
      </c>
      <c r="B96" s="2" t="inlineStr">
        <is>
          <t>William Clark</t>
        </is>
      </c>
      <c r="C96" s="2" t="inlineStr">
        <is>
          <t>Clark Slider</t>
        </is>
      </c>
      <c r="D96" s="2" t="inlineStr">
        <is>
          <t>89839</t>
        </is>
      </c>
      <c r="E96" s="2" t="inlineStr">
        <is>
          <t>Signed SO/Pending Drawings</t>
        </is>
      </c>
      <c r="F96" s="2" t="inlineStr">
        <is>
          <t>Yes</t>
        </is>
      </c>
      <c r="G96" s="9" t="n">
        <v>46112</v>
      </c>
      <c r="H96" s="4" t="n">
        <v>16055</v>
      </c>
      <c r="I96" s="4" t="n">
        <v>12675.54</v>
      </c>
      <c r="J96" s="2" t="inlineStr">
        <is>
          <t>No</t>
        </is>
      </c>
      <c r="K96" s="2" t="inlineStr">
        <is>
          <t>No</t>
        </is>
      </c>
      <c r="L96" s="2" t="inlineStr">
        <is>
          <t>Pending Deposit in Invoicing</t>
        </is>
      </c>
      <c r="M96" s="2" t="inlineStr">
        <is>
          <t>No</t>
        </is>
      </c>
      <c r="N96" s="2" t="inlineStr">
        <is>
          <t>Valid backlog</t>
        </is>
      </c>
      <c r="O96" s="9" t="n">
        <v>46251</v>
      </c>
      <c r="P96" s="2" t="inlineStr">
        <is>
          <t>https://panda-windows-and-doors.monday.com/boards/7469134152/pulses/11487788991</t>
        </is>
      </c>
    </row>
    <row r="97">
      <c r="A97" s="2" t="inlineStr">
        <is>
          <t>Trevor Benthagen</t>
        </is>
      </c>
      <c r="B97" s="2" t="inlineStr">
        <is>
          <t>Peak Glass, John Henry Schmitt</t>
        </is>
      </c>
      <c r="C97" s="2" t="inlineStr">
        <is>
          <t>555 Scott Lane</t>
        </is>
      </c>
      <c r="D97" s="2" t="inlineStr">
        <is>
          <t>90778 / 2875</t>
        </is>
      </c>
      <c r="E97" s="2" t="inlineStr">
        <is>
          <t>Signed SO/Pending Drawings</t>
        </is>
      </c>
      <c r="F97" s="2" t="inlineStr">
        <is>
          <t>Yes</t>
        </is>
      </c>
      <c r="G97" s="9" t="n">
        <v>46226</v>
      </c>
      <c r="H97" s="4" t="n">
        <v>15475.51</v>
      </c>
      <c r="I97" s="4" t="n">
        <v>12793.24</v>
      </c>
      <c r="J97" s="2" t="inlineStr">
        <is>
          <t>Yes</t>
        </is>
      </c>
      <c r="K97" s="2" t="inlineStr">
        <is>
          <t>No</t>
        </is>
      </c>
      <c r="L97" s="2" t="inlineStr">
        <is>
          <t>Not on PM board</t>
        </is>
      </c>
      <c r="M97" s="2" t="inlineStr">
        <is>
          <t>Yes</t>
        </is>
      </c>
      <c r="N97" s="2" t="inlineStr">
        <is>
          <t>Valid backlog</t>
        </is>
      </c>
      <c r="O97" s="9" t="n">
        <v>46252</v>
      </c>
      <c r="P97" s="2" t="inlineStr">
        <is>
          <t>https://panda-windows-and-doors.monday.com/boards/7469134152/pulses/12615050539</t>
        </is>
      </c>
    </row>
    <row r="98">
      <c r="A98" s="2" t="inlineStr">
        <is>
          <t>Trevor Benthagen</t>
        </is>
      </c>
      <c r="B98" s="2" t="inlineStr">
        <is>
          <t>Vivien Withington, Sierra Pacific Windows</t>
        </is>
      </c>
      <c r="C98" s="2" t="inlineStr">
        <is>
          <t>Fir Mountain Garage Sauna</t>
        </is>
      </c>
      <c r="D98" s="2" t="inlineStr">
        <is>
          <t>92755 / 4765</t>
        </is>
      </c>
      <c r="E98" s="2" t="inlineStr">
        <is>
          <t>Signed SO/Pending Drawings</t>
        </is>
      </c>
      <c r="F98" s="2" t="inlineStr">
        <is>
          <t>Yes</t>
        </is>
      </c>
      <c r="G98" s="9" t="n">
        <v>46286</v>
      </c>
      <c r="H98" s="4" t="n">
        <v>3664.17</v>
      </c>
      <c r="I98" s="4" t="n">
        <v>2074.46</v>
      </c>
      <c r="J98" s="2" t="inlineStr">
        <is>
          <t>No</t>
        </is>
      </c>
      <c r="K98" s="2" t="inlineStr">
        <is>
          <t>No</t>
        </is>
      </c>
      <c r="L98" s="2" t="inlineStr">
        <is>
          <t>Not on PM board</t>
        </is>
      </c>
      <c r="M98" s="2" t="inlineStr">
        <is>
          <t>Yes</t>
        </is>
      </c>
      <c r="N98" s="2" t="inlineStr">
        <is>
          <t>Valid backlog</t>
        </is>
      </c>
      <c r="O98" s="9" t="n">
        <v>46286</v>
      </c>
      <c r="P98" s="2" t="inlineStr">
        <is>
          <t>https://panda-windows-and-doors.monday.com/boards/7469134152/pulses/12936978862</t>
        </is>
      </c>
    </row>
    <row r="99">
      <c r="A99" s="2" t="inlineStr">
        <is>
          <t>Tyler Clark</t>
        </is>
      </c>
      <c r="B99" s="2" t="inlineStr">
        <is>
          <t>AS Designs</t>
        </is>
      </c>
      <c r="C99" s="2" t="inlineStr">
        <is>
          <t>39 Melanie Lane</t>
        </is>
      </c>
      <c r="D99" s="2" t="inlineStr">
        <is>
          <t>92233</t>
        </is>
      </c>
      <c r="E99" s="2" t="inlineStr">
        <is>
          <t>Signed SO/Pending Drawings</t>
        </is>
      </c>
      <c r="F99" s="2" t="inlineStr">
        <is>
          <t>Yes</t>
        </is>
      </c>
      <c r="G99" s="9" t="n">
        <v>46258</v>
      </c>
      <c r="H99" s="4" t="n">
        <v>437328</v>
      </c>
      <c r="I99" s="4" t="n">
        <v>391917.86</v>
      </c>
      <c r="J99" s="2" t="inlineStr">
        <is>
          <t>Yes</t>
        </is>
      </c>
      <c r="K99" s="2" t="inlineStr">
        <is>
          <t>No</t>
        </is>
      </c>
      <c r="L99" s="2" t="inlineStr">
        <is>
          <t>Not on PM board</t>
        </is>
      </c>
      <c r="M99" s="2" t="inlineStr">
        <is>
          <t>Yes</t>
        </is>
      </c>
      <c r="N99" s="2" t="inlineStr">
        <is>
          <t>Valid backlog</t>
        </is>
      </c>
      <c r="O99" s="9" t="n">
        <v>46295</v>
      </c>
      <c r="P99" s="2" t="inlineStr">
        <is>
          <t>https://panda-windows-and-doors.monday.com/boards/7469134152/pulses/12237137198</t>
        </is>
      </c>
    </row>
    <row r="100">
      <c r="A100" s="2" t="inlineStr">
        <is>
          <t>Tyler Clark</t>
        </is>
      </c>
      <c r="B100" s="2" t="inlineStr">
        <is>
          <t>Rick - Scanlon Construction</t>
        </is>
      </c>
      <c r="C100" s="2" t="inlineStr">
        <is>
          <t>736 El Medio</t>
        </is>
      </c>
      <c r="D100" s="2" t="inlineStr">
        <is>
          <t>95111</t>
        </is>
      </c>
      <c r="E100" s="2" t="inlineStr">
        <is>
          <t>Signed SO/Pending Drawings</t>
        </is>
      </c>
      <c r="F100" s="2" t="inlineStr">
        <is>
          <t>Yes</t>
        </is>
      </c>
      <c r="G100" s="9" t="n">
        <v>46288</v>
      </c>
      <c r="H100" s="4" t="n">
        <v>333030.84</v>
      </c>
      <c r="I100" s="4" t="n">
        <v>290484.27</v>
      </c>
      <c r="J100" s="2" t="inlineStr">
        <is>
          <t>No</t>
        </is>
      </c>
      <c r="K100" s="2" t="inlineStr">
        <is>
          <t>No</t>
        </is>
      </c>
      <c r="L100" s="2" t="inlineStr">
        <is>
          <t>Not on PM board</t>
        </is>
      </c>
      <c r="M100" s="2" t="inlineStr">
        <is>
          <t>Yes</t>
        </is>
      </c>
      <c r="N100" s="2" t="inlineStr">
        <is>
          <t>Valid backlog</t>
        </is>
      </c>
      <c r="O100" s="9" t="n">
        <v>46288</v>
      </c>
      <c r="P100" s="2" t="inlineStr">
        <is>
          <t>https://panda-windows-and-doors.monday.com/boards/7469134152/pulses/13120788104</t>
        </is>
      </c>
    </row>
    <row r="101">
      <c r="A101" s="2" t="inlineStr">
        <is>
          <t>Tyler Clark</t>
        </is>
      </c>
      <c r="B101" s="2" t="inlineStr">
        <is>
          <t>Tim Lancaster</t>
        </is>
      </c>
      <c r="C101" s="2" t="inlineStr">
        <is>
          <t>Lake Residence</t>
        </is>
      </c>
      <c r="D101" s="2" t="inlineStr">
        <is>
          <t>91787</t>
        </is>
      </c>
      <c r="E101" s="2" t="inlineStr">
        <is>
          <t>Signed SO/Pending Drawings</t>
        </is>
      </c>
      <c r="F101" s="2" t="inlineStr">
        <is>
          <t>Yes</t>
        </is>
      </c>
      <c r="G101" s="9" t="n">
        <v>46227</v>
      </c>
      <c r="H101" s="4" t="n">
        <v>58638.14</v>
      </c>
      <c r="I101" s="4" t="n">
        <v>51197.75</v>
      </c>
      <c r="J101" s="2" t="inlineStr">
        <is>
          <t>Yes</t>
        </is>
      </c>
      <c r="K101" s="2" t="inlineStr">
        <is>
          <t>No</t>
        </is>
      </c>
      <c r="L101" s="2" t="inlineStr">
        <is>
          <t>Not on PM board</t>
        </is>
      </c>
      <c r="M101" s="2" t="inlineStr">
        <is>
          <t>Yes</t>
        </is>
      </c>
      <c r="N101" s="2" t="inlineStr">
        <is>
          <t>Valid backlog</t>
        </is>
      </c>
      <c r="O101" s="9" t="n">
        <v>46282</v>
      </c>
      <c r="P101" s="2" t="inlineStr">
        <is>
          <t>https://panda-windows-and-doors.monday.com/boards/7469134152/pulses/12622172998</t>
        </is>
      </c>
    </row>
    <row r="102">
      <c r="A102" s="2" t="inlineStr">
        <is>
          <t>Tyler Clark</t>
        </is>
      </c>
      <c r="B102" s="2" t="inlineStr">
        <is>
          <t>Donatello Bonasera Development, LLC</t>
        </is>
      </c>
      <c r="C102" s="2" t="inlineStr">
        <is>
          <t>Double Pivot</t>
        </is>
      </c>
      <c r="D102" s="2" t="inlineStr">
        <is>
          <t>95324</t>
        </is>
      </c>
      <c r="E102" s="2" t="inlineStr">
        <is>
          <t>Signed SO/Pending Drawings</t>
        </is>
      </c>
      <c r="F102" s="2" t="inlineStr">
        <is>
          <t>Yes</t>
        </is>
      </c>
      <c r="G102" s="9" t="n">
        <v>46283</v>
      </c>
      <c r="H102" s="4" t="n">
        <v>50980.82</v>
      </c>
      <c r="I102" s="4" t="n">
        <v>44367.09</v>
      </c>
      <c r="J102" s="2" t="inlineStr">
        <is>
          <t>No</t>
        </is>
      </c>
      <c r="K102" s="2" t="inlineStr">
        <is>
          <t>No</t>
        </is>
      </c>
      <c r="L102" s="2" t="inlineStr">
        <is>
          <t>Not on PM board</t>
        </is>
      </c>
      <c r="M102" s="2" t="inlineStr">
        <is>
          <t>No</t>
        </is>
      </c>
      <c r="N102" s="2" t="inlineStr">
        <is>
          <t>Valid backlog</t>
        </is>
      </c>
      <c r="O102" s="9" t="n">
        <v>46283</v>
      </c>
      <c r="P102" s="2" t="inlineStr">
        <is>
          <t>https://panda-windows-and-doors.monday.com/boards/7469134152/pulses/12945767561</t>
        </is>
      </c>
    </row>
    <row r="103">
      <c r="A103" s="2" t="inlineStr">
        <is>
          <t>Tyler Clark</t>
        </is>
      </c>
      <c r="B103" s="2" t="inlineStr">
        <is>
          <t>Robert Capp</t>
        </is>
      </c>
      <c r="C103" s="2" t="inlineStr">
        <is>
          <t>Capp Folding Door</t>
        </is>
      </c>
      <c r="D103" s="2" t="inlineStr">
        <is>
          <t>90393 / 1485</t>
        </is>
      </c>
      <c r="E103" s="2" t="inlineStr">
        <is>
          <t>Signed SO/Pending Drawings</t>
        </is>
      </c>
      <c r="F103" s="2" t="inlineStr">
        <is>
          <t>Yes</t>
        </is>
      </c>
      <c r="G103" s="9" t="n">
        <v>46287</v>
      </c>
      <c r="H103" s="4" t="n">
        <v>14369.99</v>
      </c>
      <c r="I103" s="4" t="n">
        <v>12073</v>
      </c>
      <c r="J103" s="2" t="inlineStr">
        <is>
          <t>No</t>
        </is>
      </c>
      <c r="K103" s="2" t="inlineStr">
        <is>
          <t>No</t>
        </is>
      </c>
      <c r="L103" s="2" t="inlineStr">
        <is>
          <t>Not on PM board</t>
        </is>
      </c>
      <c r="M103" s="2" t="inlineStr">
        <is>
          <t>No</t>
        </is>
      </c>
      <c r="N103" s="2" t="inlineStr">
        <is>
          <t>Valid backlog</t>
        </is>
      </c>
      <c r="O103" s="9" t="n">
        <v>46287</v>
      </c>
      <c r="P103" s="2" t="inlineStr">
        <is>
          <t>https://panda-windows-and-doors.monday.com/boards/7469134152/pulses/12111442915</t>
        </is>
      </c>
    </row>
    <row r="104">
      <c r="A104" s="2" t="inlineStr">
        <is>
          <t>Tyler Clark</t>
        </is>
      </c>
      <c r="B104" s="2" t="inlineStr">
        <is>
          <t>Jeremy D. Whalon</t>
        </is>
      </c>
      <c r="C104" s="2" t="inlineStr">
        <is>
          <t>Whaleon Residence</t>
        </is>
      </c>
      <c r="D104" s="2" t="inlineStr">
        <is>
          <t>86092</t>
        </is>
      </c>
      <c r="E104" s="2" t="inlineStr">
        <is>
          <t>Signed SO/Pending Drawings</t>
        </is>
      </c>
      <c r="F104" s="2" t="inlineStr">
        <is>
          <t>Yes</t>
        </is>
      </c>
      <c r="G104" s="9" t="n">
        <v>46118</v>
      </c>
      <c r="H104" s="4" t="n"/>
      <c r="I104" s="4" t="n">
        <v>16225</v>
      </c>
      <c r="J104" s="2" t="inlineStr">
        <is>
          <t>No</t>
        </is>
      </c>
      <c r="K104" s="2" t="inlineStr">
        <is>
          <t>No</t>
        </is>
      </c>
      <c r="L104" s="2" t="inlineStr">
        <is>
          <t>Sent to Engineering</t>
        </is>
      </c>
      <c r="M104" s="2" t="inlineStr">
        <is>
          <t>Yes</t>
        </is>
      </c>
      <c r="N104" s="2" t="inlineStr">
        <is>
          <t>Valid backlog</t>
        </is>
      </c>
      <c r="O104" s="9" t="n">
        <v>46192</v>
      </c>
      <c r="P104" s="2" t="inlineStr">
        <is>
          <t>https://panda-windows-and-doors.monday.com/boards/7469134152/pulses/11682599918</t>
        </is>
      </c>
    </row>
    <row r="105">
      <c r="A105" s="2" t="inlineStr">
        <is>
          <t>Tyler Clark</t>
        </is>
      </c>
      <c r="B105" s="2" t="inlineStr">
        <is>
          <t>David Roberson</t>
        </is>
      </c>
      <c r="C105" s="2" t="inlineStr">
        <is>
          <t>SDCCD Student Housing</t>
        </is>
      </c>
      <c r="D105" s="2" t="inlineStr">
        <is>
          <t>95062</t>
        </is>
      </c>
      <c r="E105" s="2" t="inlineStr">
        <is>
          <t>Signed SO/Pending Drawings</t>
        </is>
      </c>
      <c r="F105" s="2" t="inlineStr">
        <is>
          <t>Yes</t>
        </is>
      </c>
      <c r="G105" s="9" t="n">
        <v>46275</v>
      </c>
      <c r="H105" s="4" t="n"/>
      <c r="I105" s="4" t="n"/>
      <c r="J105" s="2" t="inlineStr">
        <is>
          <t>No</t>
        </is>
      </c>
      <c r="K105" s="2" t="inlineStr">
        <is>
          <t>No</t>
        </is>
      </c>
      <c r="L105" s="2" t="inlineStr">
        <is>
          <t>Not on PM board</t>
        </is>
      </c>
      <c r="M105" s="2" t="inlineStr">
        <is>
          <t>Yes</t>
        </is>
      </c>
      <c r="N105" s="2" t="inlineStr">
        <is>
          <t>Valid backlog</t>
        </is>
      </c>
      <c r="O105" s="9" t="n">
        <v>46281</v>
      </c>
      <c r="P105" s="2" t="inlineStr">
        <is>
          <t>https://panda-windows-and-doors.monday.com/boards/7469134152/pulses/12886996989</t>
        </is>
      </c>
    </row>
    <row r="106">
      <c r="A106" s="2" t="n"/>
      <c r="B106" s="2" t="inlineStr">
        <is>
          <t>Navarex Group LLC</t>
        </is>
      </c>
      <c r="C106" s="2" t="inlineStr">
        <is>
          <t>Showroom Pivot Door</t>
        </is>
      </c>
      <c r="D106" s="2" t="inlineStr">
        <is>
          <t>84876</t>
        </is>
      </c>
      <c r="E106" s="2" t="inlineStr">
        <is>
          <t>Signed SO/Pending Drawings</t>
        </is>
      </c>
      <c r="F106" s="2" t="inlineStr">
        <is>
          <t>Yes</t>
        </is>
      </c>
      <c r="G106" s="9" t="n">
        <v>45771</v>
      </c>
      <c r="H106" s="4" t="n">
        <v>10000</v>
      </c>
      <c r="I106" s="4" t="n">
        <v>10000</v>
      </c>
      <c r="J106" s="2" t="inlineStr">
        <is>
          <t>No</t>
        </is>
      </c>
      <c r="K106" s="2" t="inlineStr">
        <is>
          <t>No</t>
        </is>
      </c>
      <c r="L106" s="2" t="inlineStr">
        <is>
          <t>Not on PM board</t>
        </is>
      </c>
      <c r="M106" s="2" t="inlineStr">
        <is>
          <t>No</t>
        </is>
      </c>
      <c r="N106" s="10" t="inlineStr">
        <is>
          <t>Check - 2025 win, no deposit, not on PM board</t>
        </is>
      </c>
      <c r="O106" s="9" t="n">
        <v>46210</v>
      </c>
      <c r="P106" s="2" t="inlineStr">
        <is>
          <t>https://panda-windows-and-doors.monday.com/boards/7469134152/pulses/9001127395</t>
        </is>
      </c>
    </row>
    <row r="107">
      <c r="A107" s="2" t="inlineStr">
        <is>
          <t>Efrain Zarate</t>
        </is>
      </c>
      <c r="B107" s="2" t="inlineStr">
        <is>
          <t>Hall Aluminum Products</t>
        </is>
      </c>
      <c r="C107" s="2" t="inlineStr">
        <is>
          <t>HUB Boulder</t>
        </is>
      </c>
      <c r="D107" s="2" t="inlineStr">
        <is>
          <t>85127</t>
        </is>
      </c>
      <c r="E107" s="2" t="inlineStr">
        <is>
          <t>Signed SO/Pending Drawings</t>
        </is>
      </c>
      <c r="F107" s="2" t="inlineStr">
        <is>
          <t>Yes</t>
        </is>
      </c>
      <c r="G107" s="9" t="n">
        <v>45769</v>
      </c>
      <c r="H107" s="4" t="n"/>
      <c r="I107" s="4" t="n"/>
      <c r="J107" s="2" t="inlineStr">
        <is>
          <t>Yes</t>
        </is>
      </c>
      <c r="K107" s="2" t="inlineStr">
        <is>
          <t>No</t>
        </is>
      </c>
      <c r="L107" s="2" t="inlineStr">
        <is>
          <t>Not on PM board</t>
        </is>
      </c>
      <c r="M107" s="2" t="inlineStr">
        <is>
          <t>No</t>
        </is>
      </c>
      <c r="N107" s="10" t="inlineStr">
        <is>
          <t>Check - 2025 win, no deposit, not on PM board</t>
        </is>
      </c>
      <c r="O107" s="9" t="n">
        <v>46251</v>
      </c>
      <c r="P107" s="2" t="inlineStr">
        <is>
          <t>https://panda-windows-and-doors.monday.com/boards/7469134152/pulses/8972612230</t>
        </is>
      </c>
    </row>
    <row r="108">
      <c r="A108" s="2" t="inlineStr">
        <is>
          <t>Joseph Tydingco</t>
        </is>
      </c>
      <c r="B108" s="2" t="inlineStr">
        <is>
          <t>Test Client</t>
        </is>
      </c>
      <c r="C108" s="2" t="n"/>
      <c r="D108" s="2" t="inlineStr"/>
      <c r="E108" s="2" t="inlineStr">
        <is>
          <t>Signed SO/Pending Drawings</t>
        </is>
      </c>
      <c r="F108" s="2" t="inlineStr">
        <is>
          <t>Yes</t>
        </is>
      </c>
      <c r="G108" s="9" t="n">
        <v>45881</v>
      </c>
      <c r="H108" s="4" t="n"/>
      <c r="I108" s="4" t="n"/>
      <c r="J108" s="2" t="inlineStr">
        <is>
          <t>No</t>
        </is>
      </c>
      <c r="K108" s="2" t="inlineStr">
        <is>
          <t>No</t>
        </is>
      </c>
      <c r="L108" s="2" t="inlineStr">
        <is>
          <t>Not on PM board</t>
        </is>
      </c>
      <c r="M108" s="2" t="inlineStr">
        <is>
          <t>No</t>
        </is>
      </c>
      <c r="N108" s="10" t="inlineStr">
        <is>
          <t>Check - 2025 win, no deposit, not on PM board</t>
        </is>
      </c>
      <c r="O108" s="9" t="n">
        <v>46120</v>
      </c>
      <c r="P108" s="2" t="inlineStr">
        <is>
          <t>https://panda-windows-and-doors.monday.com/boards/7469134152/pulses/9798707027</t>
        </is>
      </c>
    </row>
    <row r="109">
      <c r="A109" s="2" t="inlineStr">
        <is>
          <t>Stefan Monetta</t>
        </is>
      </c>
      <c r="B109" s="2" t="inlineStr">
        <is>
          <t>Gallin</t>
        </is>
      </c>
      <c r="C109" s="2" t="inlineStr">
        <is>
          <t>640 5th Ave</t>
        </is>
      </c>
      <c r="D109" s="2" t="inlineStr">
        <is>
          <t>85732</t>
        </is>
      </c>
      <c r="E109" s="2" t="inlineStr">
        <is>
          <t>Signed SO/Pending Drawings</t>
        </is>
      </c>
      <c r="F109" s="2" t="inlineStr">
        <is>
          <t>Yes</t>
        </is>
      </c>
      <c r="G109" s="9" t="n">
        <v>45939</v>
      </c>
      <c r="H109" s="4" t="n">
        <v>42683</v>
      </c>
      <c r="I109" s="4" t="n">
        <v>35379.46</v>
      </c>
      <c r="J109" s="2" t="inlineStr">
        <is>
          <t>No</t>
        </is>
      </c>
      <c r="K109" s="2" t="inlineStr">
        <is>
          <t>No</t>
        </is>
      </c>
      <c r="L109" s="2" t="inlineStr">
        <is>
          <t>Not on PM board</t>
        </is>
      </c>
      <c r="M109" s="2" t="inlineStr">
        <is>
          <t>No</t>
        </is>
      </c>
      <c r="N109" s="10" t="inlineStr">
        <is>
          <t>Check - 2025 win, no deposit, not on PM board</t>
        </is>
      </c>
      <c r="O109" s="9" t="n">
        <v>46182</v>
      </c>
      <c r="P109" s="2" t="inlineStr">
        <is>
          <t>https://panda-windows-and-doors.monday.com/boards/7469134152/pulses/18150722684</t>
        </is>
      </c>
    </row>
    <row r="110">
      <c r="A110" s="2" t="inlineStr">
        <is>
          <t>Stefan Monetta</t>
        </is>
      </c>
      <c r="B110" s="2" t="inlineStr">
        <is>
          <t>Wally Abdal</t>
        </is>
      </c>
      <c r="C110" s="2" t="inlineStr">
        <is>
          <t>Abdal, Walid Entry Steel</t>
        </is>
      </c>
      <c r="D110" s="2" t="inlineStr">
        <is>
          <t>80527</t>
        </is>
      </c>
      <c r="E110" s="2" t="inlineStr">
        <is>
          <t>Signed SO/Pending Drawings</t>
        </is>
      </c>
      <c r="F110" s="2" t="inlineStr">
        <is>
          <t>Yes</t>
        </is>
      </c>
      <c r="G110" s="9" t="n">
        <v>45671</v>
      </c>
      <c r="H110" s="4" t="n">
        <v>16594</v>
      </c>
      <c r="I110" s="4" t="n">
        <v>11563</v>
      </c>
      <c r="J110" s="2" t="inlineStr">
        <is>
          <t>No</t>
        </is>
      </c>
      <c r="K110" s="2" t="inlineStr">
        <is>
          <t>No</t>
        </is>
      </c>
      <c r="L110" s="2" t="inlineStr">
        <is>
          <t>Not on PM board</t>
        </is>
      </c>
      <c r="M110" s="2" t="inlineStr">
        <is>
          <t>No</t>
        </is>
      </c>
      <c r="N110" s="10" t="inlineStr">
        <is>
          <t>Check - 2025 win, no deposit, not on PM board</t>
        </is>
      </c>
      <c r="O110" s="9" t="n">
        <v>46174</v>
      </c>
      <c r="P110" s="2" t="inlineStr">
        <is>
          <t>https://panda-windows-and-doors.monday.com/boards/7469134152/pulses/8241706257</t>
        </is>
      </c>
    </row>
    <row r="111">
      <c r="A111" s="2" t="inlineStr">
        <is>
          <t>Avi Shoshan</t>
        </is>
      </c>
      <c r="B111" s="2" t="inlineStr">
        <is>
          <t>George Yousefi</t>
        </is>
      </c>
      <c r="C111" s="2" t="inlineStr">
        <is>
          <t>Windows &amp; Sliders</t>
        </is>
      </c>
      <c r="D111" s="2" t="inlineStr">
        <is>
          <t>87296</t>
        </is>
      </c>
      <c r="E111" s="2" t="inlineStr">
        <is>
          <t>Signed SO/Pending Drawings</t>
        </is>
      </c>
      <c r="F111" s="2" t="inlineStr">
        <is>
          <t>Yes</t>
        </is>
      </c>
      <c r="G111" s="9" t="n">
        <v>46077</v>
      </c>
      <c r="H111" s="4" t="n">
        <v>67362</v>
      </c>
      <c r="I111" s="4" t="n">
        <v>66365.73</v>
      </c>
      <c r="J111" s="2" t="inlineStr">
        <is>
          <t>Yes</t>
        </is>
      </c>
      <c r="K111" s="2" t="inlineStr">
        <is>
          <t>Yes</t>
        </is>
      </c>
      <c r="L111" s="2" t="inlineStr">
        <is>
          <t>Completed - Closed Out</t>
        </is>
      </c>
      <c r="M111" s="2" t="inlineStr">
        <is>
          <t>Yes</t>
        </is>
      </c>
      <c r="N111" s="11" t="inlineStr">
        <is>
          <t>Remove - already produced / shipped</t>
        </is>
      </c>
      <c r="O111" s="9" t="n">
        <v>46120</v>
      </c>
      <c r="P111" s="2" t="inlineStr">
        <is>
          <t>https://panda-windows-and-doors.monday.com/boards/7469134152/pulses/11357849839</t>
        </is>
      </c>
    </row>
    <row r="112">
      <c r="A112" s="2" t="inlineStr">
        <is>
          <t>Avi Shoshan</t>
        </is>
      </c>
      <c r="B112" s="2" t="inlineStr">
        <is>
          <t>George Yousefi</t>
        </is>
      </c>
      <c r="C112" s="2" t="inlineStr">
        <is>
          <t>George_Additional Fixed Window</t>
        </is>
      </c>
      <c r="D112" s="2" t="inlineStr">
        <is>
          <t>89773</t>
        </is>
      </c>
      <c r="E112" s="2" t="inlineStr">
        <is>
          <t>Signed SO/Pending Drawings</t>
        </is>
      </c>
      <c r="F112" s="2" t="inlineStr">
        <is>
          <t>Yes</t>
        </is>
      </c>
      <c r="G112" s="9" t="n">
        <v>46092</v>
      </c>
      <c r="H112" s="4" t="n"/>
      <c r="I112" s="4" t="n"/>
      <c r="J112" s="2" t="inlineStr">
        <is>
          <t>No</t>
        </is>
      </c>
      <c r="K112" s="2" t="inlineStr">
        <is>
          <t>No</t>
        </is>
      </c>
      <c r="L112" s="2" t="inlineStr">
        <is>
          <t>Completed - Closed Out</t>
        </is>
      </c>
      <c r="M112" s="2" t="inlineStr">
        <is>
          <t>Yes</t>
        </is>
      </c>
      <c r="N112" s="11" t="inlineStr">
        <is>
          <t>Remove - already produced / shipped</t>
        </is>
      </c>
      <c r="O112" s="9" t="n">
        <v>46120</v>
      </c>
      <c r="P112" s="2" t="inlineStr">
        <is>
          <t>https://panda-windows-and-doors.monday.com/boards/7469134152/pulses/11481725778</t>
        </is>
      </c>
    </row>
    <row r="113">
      <c r="A113" s="2" t="inlineStr">
        <is>
          <t>Derrick McCall</t>
        </is>
      </c>
      <c r="B113" s="2" t="inlineStr">
        <is>
          <t>Boyette Door</t>
        </is>
      </c>
      <c r="C113" s="2" t="inlineStr">
        <is>
          <t>Kirkwood</t>
        </is>
      </c>
      <c r="D113" s="2" t="inlineStr">
        <is>
          <t>79181</t>
        </is>
      </c>
      <c r="E113" s="2" t="inlineStr">
        <is>
          <t>Signed Shop Drawings</t>
        </is>
      </c>
      <c r="F113" s="2" t="inlineStr">
        <is>
          <t>Yes</t>
        </is>
      </c>
      <c r="G113" s="9" t="n">
        <v>45818</v>
      </c>
      <c r="H113" s="4" t="n">
        <v>291600</v>
      </c>
      <c r="I113" s="4" t="n">
        <v>79181</v>
      </c>
      <c r="J113" s="2" t="inlineStr">
        <is>
          <t>No</t>
        </is>
      </c>
      <c r="K113" s="2" t="inlineStr">
        <is>
          <t>Yes</t>
        </is>
      </c>
      <c r="L113" s="2" t="inlineStr">
        <is>
          <t>Completed - Closed Out</t>
        </is>
      </c>
      <c r="M113" s="2" t="inlineStr">
        <is>
          <t>No</t>
        </is>
      </c>
      <c r="N113" s="11" t="inlineStr">
        <is>
          <t>Remove - already produced / shipped</t>
        </is>
      </c>
      <c r="O113" s="9" t="n">
        <v>46120</v>
      </c>
      <c r="P113" s="2" t="inlineStr">
        <is>
          <t>https://panda-windows-and-doors.monday.com/boards/7469134152/pulses/8969004348</t>
        </is>
      </c>
    </row>
    <row r="114">
      <c r="A114" s="2" t="inlineStr">
        <is>
          <t>Derrick McCall</t>
        </is>
      </c>
      <c r="B114" s="2" t="inlineStr">
        <is>
          <t>Lunstrum Windows</t>
        </is>
      </c>
      <c r="C114" s="2" t="inlineStr">
        <is>
          <t>Park Summit</t>
        </is>
      </c>
      <c r="D114" s="2" t="inlineStr">
        <is>
          <t>79059</t>
        </is>
      </c>
      <c r="E114" s="2" t="inlineStr">
        <is>
          <t>Signed SO/Pending Drawings</t>
        </is>
      </c>
      <c r="F114" s="2" t="inlineStr">
        <is>
          <t>Yes</t>
        </is>
      </c>
      <c r="G114" s="9" t="n">
        <v>46091</v>
      </c>
      <c r="H114" s="4" t="n">
        <v>174843</v>
      </c>
      <c r="I114" s="4" t="n">
        <v>151337.69</v>
      </c>
      <c r="J114" s="2" t="inlineStr">
        <is>
          <t>No</t>
        </is>
      </c>
      <c r="K114" s="2" t="inlineStr">
        <is>
          <t>No</t>
        </is>
      </c>
      <c r="L114" s="2" t="inlineStr">
        <is>
          <t>Completed - Closed Out</t>
        </is>
      </c>
      <c r="M114" s="2" t="inlineStr">
        <is>
          <t>Yes</t>
        </is>
      </c>
      <c r="N114" s="11" t="inlineStr">
        <is>
          <t>Remove - already produced / shipped</t>
        </is>
      </c>
      <c r="O114" s="9" t="n">
        <v>46120</v>
      </c>
      <c r="P114" s="2" t="inlineStr">
        <is>
          <t>https://panda-windows-and-doors.monday.com/boards/7469134152/pulses/11472764149</t>
        </is>
      </c>
    </row>
    <row r="115">
      <c r="A115" s="2" t="inlineStr">
        <is>
          <t>Derrick McCall</t>
        </is>
      </c>
      <c r="B115" s="2" t="inlineStr">
        <is>
          <t>USGA Inc</t>
        </is>
      </c>
      <c r="C115" s="2" t="inlineStr">
        <is>
          <t>Middlefield Junction</t>
        </is>
      </c>
      <c r="D115" s="2" t="inlineStr">
        <is>
          <t>78363</t>
        </is>
      </c>
      <c r="E115" s="2" t="inlineStr">
        <is>
          <t>Signed Shop Drawings</t>
        </is>
      </c>
      <c r="F115" s="2" t="inlineStr">
        <is>
          <t>Yes</t>
        </is>
      </c>
      <c r="G115" s="9" t="n">
        <v>45818</v>
      </c>
      <c r="H115" s="4" t="n">
        <v>65716</v>
      </c>
      <c r="I115" s="4" t="n">
        <v>56198.29</v>
      </c>
      <c r="J115" s="2" t="inlineStr">
        <is>
          <t>No</t>
        </is>
      </c>
      <c r="K115" s="2" t="inlineStr">
        <is>
          <t>Yes</t>
        </is>
      </c>
      <c r="L115" s="2" t="inlineStr">
        <is>
          <t>Completed - Closed Out</t>
        </is>
      </c>
      <c r="M115" s="2" t="inlineStr">
        <is>
          <t>No</t>
        </is>
      </c>
      <c r="N115" s="11" t="inlineStr">
        <is>
          <t>Remove - already produced / shipped</t>
        </is>
      </c>
      <c r="O115" s="9" t="n">
        <v>46120</v>
      </c>
      <c r="P115" s="2" t="inlineStr">
        <is>
          <t>https://panda-windows-and-doors.monday.com/boards/7469134152/pulses/8845235836</t>
        </is>
      </c>
    </row>
    <row r="116">
      <c r="A116" s="2" t="inlineStr">
        <is>
          <t>Derrick McCall</t>
        </is>
      </c>
      <c r="B116" s="2" t="inlineStr">
        <is>
          <t>Boyett Construction Inc</t>
        </is>
      </c>
      <c r="C116" s="2" t="inlineStr">
        <is>
          <t>Russell</t>
        </is>
      </c>
      <c r="D116" s="2" t="inlineStr">
        <is>
          <t>90450</t>
        </is>
      </c>
      <c r="E116" s="2" t="inlineStr">
        <is>
          <t>Signed SO/Pending Drawings</t>
        </is>
      </c>
      <c r="F116" s="2" t="inlineStr">
        <is>
          <t>Yes</t>
        </is>
      </c>
      <c r="G116" s="9" t="n">
        <v>46134</v>
      </c>
      <c r="H116" s="4" t="n">
        <v>15398.29</v>
      </c>
      <c r="I116" s="4" t="n">
        <v>11611.1</v>
      </c>
      <c r="J116" s="2" t="inlineStr">
        <is>
          <t>Yes</t>
        </is>
      </c>
      <c r="K116" s="2" t="inlineStr">
        <is>
          <t>No</t>
        </is>
      </c>
      <c r="L116" s="2" t="inlineStr">
        <is>
          <t>Completed - Closed Out</t>
        </is>
      </c>
      <c r="M116" s="2" t="inlineStr">
        <is>
          <t>Yes</t>
        </is>
      </c>
      <c r="N116" s="11" t="inlineStr">
        <is>
          <t>Remove - already produced / shipped</t>
        </is>
      </c>
      <c r="O116" s="9" t="n">
        <v>46162</v>
      </c>
      <c r="P116" s="2" t="inlineStr">
        <is>
          <t>https://panda-windows-and-doors.monday.com/boards/7469134152/pulses/11817087034</t>
        </is>
      </c>
    </row>
    <row r="117">
      <c r="A117" s="2" t="inlineStr">
        <is>
          <t>Sean Torre</t>
        </is>
      </c>
      <c r="B117" s="2" t="inlineStr">
        <is>
          <t>Builder's Direct Supply</t>
        </is>
      </c>
      <c r="C117" s="2" t="inlineStr">
        <is>
          <t>Larroque Door</t>
        </is>
      </c>
      <c r="D117" s="2" t="inlineStr">
        <is>
          <t>88582</t>
        </is>
      </c>
      <c r="E117" s="2" t="inlineStr">
        <is>
          <t>Signed Shop Drawings</t>
        </is>
      </c>
      <c r="F117" s="2" t="inlineStr">
        <is>
          <t>Yes</t>
        </is>
      </c>
      <c r="G117" s="9" t="n">
        <v>46105</v>
      </c>
      <c r="H117" s="4" t="n">
        <v>8179</v>
      </c>
      <c r="I117" s="4" t="n">
        <v>6069.24</v>
      </c>
      <c r="J117" s="2" t="inlineStr">
        <is>
          <t>Yes</t>
        </is>
      </c>
      <c r="K117" s="2" t="inlineStr">
        <is>
          <t>Yes</t>
        </is>
      </c>
      <c r="L117" s="2" t="inlineStr">
        <is>
          <t>Completed - Closed Out</t>
        </is>
      </c>
      <c r="M117" s="2" t="inlineStr">
        <is>
          <t>Yes</t>
        </is>
      </c>
      <c r="N117" s="11" t="inlineStr">
        <is>
          <t>Remove - already produced / shipped</t>
        </is>
      </c>
      <c r="O117" s="9" t="n">
        <v>46182</v>
      </c>
      <c r="P117" s="2" t="inlineStr">
        <is>
          <t>https://panda-windows-and-doors.monday.com/boards/7469134152/pulses/10793866324</t>
        </is>
      </c>
    </row>
    <row r="118">
      <c r="A118" s="2" t="inlineStr">
        <is>
          <t>Sean Torre</t>
        </is>
      </c>
      <c r="B118" s="2" t="inlineStr">
        <is>
          <t>MP Services</t>
        </is>
      </c>
      <c r="C118" s="2" t="inlineStr">
        <is>
          <t>37 Pained feather Way - 77's / track</t>
        </is>
      </c>
      <c r="D118" s="2" t="inlineStr">
        <is>
          <t>87704</t>
        </is>
      </c>
      <c r="E118" s="2" t="inlineStr">
        <is>
          <t>Signed SO/Pending Drawings</t>
        </is>
      </c>
      <c r="F118" s="2" t="inlineStr">
        <is>
          <t>Yes</t>
        </is>
      </c>
      <c r="G118" s="9" t="n">
        <v>45965</v>
      </c>
      <c r="H118" s="4" t="n">
        <v>3952</v>
      </c>
      <c r="I118" s="4" t="n">
        <v>3802</v>
      </c>
      <c r="J118" s="2" t="inlineStr">
        <is>
          <t>No</t>
        </is>
      </c>
      <c r="K118" s="2" t="inlineStr">
        <is>
          <t>No</t>
        </is>
      </c>
      <c r="L118" s="2" t="inlineStr">
        <is>
          <t>Completed - Closed Out</t>
        </is>
      </c>
      <c r="M118" s="2" t="inlineStr">
        <is>
          <t>Yes</t>
        </is>
      </c>
      <c r="N118" s="11" t="inlineStr">
        <is>
          <t>Remove - already produced / shipped</t>
        </is>
      </c>
      <c r="O118" s="9" t="n">
        <v>46120</v>
      </c>
      <c r="P118" s="2" t="inlineStr">
        <is>
          <t>https://panda-windows-and-doors.monday.com/boards/7469134152/pulses/18347522062</t>
        </is>
      </c>
    </row>
    <row r="119">
      <c r="A119" s="2" t="inlineStr">
        <is>
          <t>Stefan Monetta</t>
        </is>
      </c>
      <c r="B119" s="2" t="inlineStr">
        <is>
          <t>Andy Rowland</t>
        </is>
      </c>
      <c r="C119" s="2" t="inlineStr">
        <is>
          <t>Rowland Residence</t>
        </is>
      </c>
      <c r="D119" s="2" t="inlineStr">
        <is>
          <t>79182</t>
        </is>
      </c>
      <c r="E119" s="2" t="inlineStr">
        <is>
          <t>Signed SO/Pending Drawings</t>
        </is>
      </c>
      <c r="F119" s="2" t="inlineStr">
        <is>
          <t>Yes</t>
        </is>
      </c>
      <c r="G119" s="9" t="n">
        <v>45671</v>
      </c>
      <c r="H119" s="4" t="n">
        <v>97138</v>
      </c>
      <c r="I119" s="4" t="n">
        <v>84.026</v>
      </c>
      <c r="J119" s="2" t="inlineStr">
        <is>
          <t>No</t>
        </is>
      </c>
      <c r="K119" s="2" t="inlineStr">
        <is>
          <t>No</t>
        </is>
      </c>
      <c r="L119" s="2" t="inlineStr">
        <is>
          <t>Completed - Closed Out</t>
        </is>
      </c>
      <c r="M119" s="2" t="inlineStr">
        <is>
          <t>No</t>
        </is>
      </c>
      <c r="N119" s="11" t="inlineStr">
        <is>
          <t>Remove - already produced / shipped</t>
        </is>
      </c>
      <c r="O119" s="9" t="n">
        <v>46174</v>
      </c>
      <c r="P119" s="2" t="inlineStr">
        <is>
          <t>https://panda-windows-and-doors.monday.com/boards/7469134152/pulses/8241705860</t>
        </is>
      </c>
    </row>
    <row r="120">
      <c r="A120" s="2" t="inlineStr">
        <is>
          <t>Stefan Monetta</t>
        </is>
      </c>
      <c r="B120" s="2" t="inlineStr">
        <is>
          <t>Powell Residence</t>
        </is>
      </c>
      <c r="C120" s="2" t="inlineStr">
        <is>
          <t>Rob DelBiondo</t>
        </is>
      </c>
      <c r="D120" s="2" t="inlineStr">
        <is>
          <t>75339</t>
        </is>
      </c>
      <c r="E120" s="2" t="inlineStr">
        <is>
          <t>Signed SO/Pending Drawings</t>
        </is>
      </c>
      <c r="F120" s="2" t="inlineStr">
        <is>
          <t>Yes</t>
        </is>
      </c>
      <c r="G120" s="9" t="n">
        <v>45671</v>
      </c>
      <c r="H120" s="4" t="n">
        <v>93965</v>
      </c>
      <c r="I120" s="4" t="n">
        <v>80442.89999999999</v>
      </c>
      <c r="J120" s="2" t="inlineStr">
        <is>
          <t>No</t>
        </is>
      </c>
      <c r="K120" s="2" t="inlineStr">
        <is>
          <t>No</t>
        </is>
      </c>
      <c r="L120" s="2" t="inlineStr">
        <is>
          <t>Completed - Closed Out</t>
        </is>
      </c>
      <c r="M120" s="2" t="inlineStr">
        <is>
          <t>No</t>
        </is>
      </c>
      <c r="N120" s="11" t="inlineStr">
        <is>
          <t>Remove - already produced / shipped</t>
        </is>
      </c>
      <c r="O120" s="9" t="n">
        <v>46185</v>
      </c>
      <c r="P120" s="2" t="inlineStr">
        <is>
          <t>https://panda-windows-and-doors.monday.com/boards/7469134152/pulses/8241706078</t>
        </is>
      </c>
    </row>
    <row r="121">
      <c r="A121" s="2" t="inlineStr">
        <is>
          <t>Stefan Monetta</t>
        </is>
      </c>
      <c r="B121" s="2" t="inlineStr">
        <is>
          <t>Starling</t>
        </is>
      </c>
      <c r="C121" s="2" t="inlineStr">
        <is>
          <t>Rafael Robles</t>
        </is>
      </c>
      <c r="D121" s="2" t="inlineStr">
        <is>
          <t>80181</t>
        </is>
      </c>
      <c r="E121" s="2" t="inlineStr">
        <is>
          <t>Signed SO/Pending Drawings</t>
        </is>
      </c>
      <c r="F121" s="2" t="inlineStr">
        <is>
          <t>Yes</t>
        </is>
      </c>
      <c r="G121" s="9" t="n">
        <v>45671</v>
      </c>
      <c r="H121" s="4" t="n">
        <v>45633</v>
      </c>
      <c r="I121" s="4" t="n">
        <v>35209.42</v>
      </c>
      <c r="J121" s="2" t="inlineStr">
        <is>
          <t>No</t>
        </is>
      </c>
      <c r="K121" s="2" t="inlineStr">
        <is>
          <t>No</t>
        </is>
      </c>
      <c r="L121" s="2" t="inlineStr">
        <is>
          <t>Completed - Closed Out</t>
        </is>
      </c>
      <c r="M121" s="2" t="inlineStr">
        <is>
          <t>No</t>
        </is>
      </c>
      <c r="N121" s="11" t="inlineStr">
        <is>
          <t>Remove - already produced / shipped</t>
        </is>
      </c>
      <c r="O121" s="9" t="n">
        <v>46174</v>
      </c>
      <c r="P121" s="2" t="inlineStr">
        <is>
          <t>https://panda-windows-and-doors.monday.com/boards/7469134152/pulses/8241706037</t>
        </is>
      </c>
    </row>
    <row r="122">
      <c r="A122" s="2" t="inlineStr">
        <is>
          <t>Stefan Monetta</t>
        </is>
      </c>
      <c r="B122" s="2" t="inlineStr">
        <is>
          <t>Edgar Orta</t>
        </is>
      </c>
      <c r="C122" s="2" t="inlineStr">
        <is>
          <t>Fiesta Mariachi Patio</t>
        </is>
      </c>
      <c r="D122" s="2" t="inlineStr">
        <is>
          <t>80785</t>
        </is>
      </c>
      <c r="E122" s="2" t="inlineStr">
        <is>
          <t>Signed SO/Pending Drawings</t>
        </is>
      </c>
      <c r="F122" s="2" t="inlineStr">
        <is>
          <t>Yes</t>
        </is>
      </c>
      <c r="G122" s="9" t="n">
        <v>45671</v>
      </c>
      <c r="H122" s="4" t="n">
        <v>45076</v>
      </c>
      <c r="I122" s="4" t="n">
        <v>35739.42</v>
      </c>
      <c r="J122" s="2" t="inlineStr">
        <is>
          <t>No</t>
        </is>
      </c>
      <c r="K122" s="2" t="inlineStr">
        <is>
          <t>No</t>
        </is>
      </c>
      <c r="L122" s="2" t="inlineStr">
        <is>
          <t>Completed - Closed Out</t>
        </is>
      </c>
      <c r="M122" s="2" t="inlineStr">
        <is>
          <t>No</t>
        </is>
      </c>
      <c r="N122" s="11" t="inlineStr">
        <is>
          <t>Remove - already produced / shipped</t>
        </is>
      </c>
      <c r="O122" s="9" t="n">
        <v>46174</v>
      </c>
      <c r="P122" s="2" t="inlineStr">
        <is>
          <t>https://panda-windows-and-doors.monday.com/boards/7469134152/pulses/8241706170</t>
        </is>
      </c>
    </row>
    <row r="123">
      <c r="A123" s="2" t="inlineStr">
        <is>
          <t>Stefan Monetta</t>
        </is>
      </c>
      <c r="B123" s="2" t="inlineStr">
        <is>
          <t>Michelle Wiseman</t>
        </is>
      </c>
      <c r="C123" s="2" t="inlineStr">
        <is>
          <t>Wiseman - Residence</t>
        </is>
      </c>
      <c r="D123" s="2" t="inlineStr">
        <is>
          <t>81626</t>
        </is>
      </c>
      <c r="E123" s="2" t="inlineStr">
        <is>
          <t>Signed SO/Pending Drawings</t>
        </is>
      </c>
      <c r="F123" s="2" t="inlineStr">
        <is>
          <t>Yes</t>
        </is>
      </c>
      <c r="G123" s="9" t="n">
        <v>45671</v>
      </c>
      <c r="H123" s="4" t="n">
        <v>43513</v>
      </c>
      <c r="I123" s="4" t="n">
        <v>35359.31</v>
      </c>
      <c r="J123" s="2" t="inlineStr">
        <is>
          <t>No</t>
        </is>
      </c>
      <c r="K123" s="2" t="inlineStr">
        <is>
          <t>No</t>
        </is>
      </c>
      <c r="L123" s="2" t="inlineStr">
        <is>
          <t>Completed - Closed Out</t>
        </is>
      </c>
      <c r="M123" s="2" t="inlineStr">
        <is>
          <t>No</t>
        </is>
      </c>
      <c r="N123" s="11" t="inlineStr">
        <is>
          <t>Remove - already produced / shipped</t>
        </is>
      </c>
      <c r="O123" s="9" t="n">
        <v>46183</v>
      </c>
      <c r="P123" s="2" t="inlineStr">
        <is>
          <t>https://panda-windows-and-doors.monday.com/boards/7469134152/pulses/8241706111</t>
        </is>
      </c>
    </row>
    <row r="124">
      <c r="A124" s="2" t="inlineStr">
        <is>
          <t>Stefan Monetta</t>
        </is>
      </c>
      <c r="B124" s="2" t="inlineStr">
        <is>
          <t>Dale Harris</t>
        </is>
      </c>
      <c r="C124" s="2" t="inlineStr">
        <is>
          <t>Lot 22</t>
        </is>
      </c>
      <c r="D124" s="2" t="inlineStr">
        <is>
          <t>81666</t>
        </is>
      </c>
      <c r="E124" s="2" t="inlineStr">
        <is>
          <t>Signed SO/Pending Drawings</t>
        </is>
      </c>
      <c r="F124" s="2" t="inlineStr">
        <is>
          <t>Yes</t>
        </is>
      </c>
      <c r="G124" s="9" t="n">
        <v>45671</v>
      </c>
      <c r="H124" s="4" t="n">
        <v>43369</v>
      </c>
      <c r="I124" s="4" t="n">
        <v>38773.77</v>
      </c>
      <c r="J124" s="2" t="inlineStr">
        <is>
          <t>No</t>
        </is>
      </c>
      <c r="K124" s="2" t="inlineStr">
        <is>
          <t>No</t>
        </is>
      </c>
      <c r="L124" s="2" t="inlineStr">
        <is>
          <t>Completed - Closed Out</t>
        </is>
      </c>
      <c r="M124" s="2" t="inlineStr">
        <is>
          <t>No</t>
        </is>
      </c>
      <c r="N124" s="11" t="inlineStr">
        <is>
          <t>Remove - already produced / shipped</t>
        </is>
      </c>
      <c r="O124" s="9" t="n">
        <v>46174</v>
      </c>
      <c r="P124" s="2" t="inlineStr">
        <is>
          <t>https://panda-windows-and-doors.monday.com/boards/7469134152/pulses/8241706384</t>
        </is>
      </c>
    </row>
    <row r="125">
      <c r="A125" s="2" t="inlineStr">
        <is>
          <t>Stefan Monetta</t>
        </is>
      </c>
      <c r="B125" s="2" t="inlineStr">
        <is>
          <t>Tyler Epstein</t>
        </is>
      </c>
      <c r="C125" s="2" t="inlineStr">
        <is>
          <t>Oak View</t>
        </is>
      </c>
      <c r="D125" s="2" t="inlineStr">
        <is>
          <t>79275</t>
        </is>
      </c>
      <c r="E125" s="2" t="inlineStr">
        <is>
          <t>Signed SO/Pending Drawings</t>
        </is>
      </c>
      <c r="F125" s="2" t="inlineStr">
        <is>
          <t>Yes</t>
        </is>
      </c>
      <c r="G125" s="9" t="n">
        <v>45671</v>
      </c>
      <c r="H125" s="4" t="n">
        <v>31322</v>
      </c>
      <c r="I125" s="4" t="n">
        <v>24573.12</v>
      </c>
      <c r="J125" s="2" t="inlineStr">
        <is>
          <t>No</t>
        </is>
      </c>
      <c r="K125" s="2" t="inlineStr">
        <is>
          <t>No</t>
        </is>
      </c>
      <c r="L125" s="2" t="inlineStr">
        <is>
          <t>Completed - Closed Out</t>
        </is>
      </c>
      <c r="M125" s="2" t="inlineStr">
        <is>
          <t>No</t>
        </is>
      </c>
      <c r="N125" s="11" t="inlineStr">
        <is>
          <t>Remove - already produced / shipped</t>
        </is>
      </c>
      <c r="O125" s="9" t="n">
        <v>46183</v>
      </c>
      <c r="P125" s="2" t="inlineStr">
        <is>
          <t>https://panda-windows-and-doors.monday.com/boards/7469134152/pulses/8241706137</t>
        </is>
      </c>
    </row>
    <row r="126">
      <c r="A126" s="2" t="inlineStr">
        <is>
          <t>Stefan Monetta</t>
        </is>
      </c>
      <c r="B126" s="2" t="inlineStr">
        <is>
          <t>Ashley Dearyan</t>
        </is>
      </c>
      <c r="C126" s="2" t="inlineStr">
        <is>
          <t>Enclave Lot 3</t>
        </is>
      </c>
      <c r="D126" s="2" t="inlineStr">
        <is>
          <t>80155</t>
        </is>
      </c>
      <c r="E126" s="2" t="inlineStr">
        <is>
          <t>Signed SO/Pending Drawings</t>
        </is>
      </c>
      <c r="F126" s="2" t="inlineStr">
        <is>
          <t>Yes</t>
        </is>
      </c>
      <c r="G126" s="9" t="n">
        <v>45671</v>
      </c>
      <c r="H126" s="4" t="n">
        <v>30921</v>
      </c>
      <c r="I126" s="4" t="n">
        <v>27741</v>
      </c>
      <c r="J126" s="2" t="inlineStr">
        <is>
          <t>Yes</t>
        </is>
      </c>
      <c r="K126" s="2" t="inlineStr">
        <is>
          <t>No</t>
        </is>
      </c>
      <c r="L126" s="2" t="inlineStr">
        <is>
          <t>Completed - Closed Out</t>
        </is>
      </c>
      <c r="M126" s="2" t="inlineStr">
        <is>
          <t>No</t>
        </is>
      </c>
      <c r="N126" s="11" t="inlineStr">
        <is>
          <t>Remove - already produced / shipped</t>
        </is>
      </c>
      <c r="O126" s="9" t="n">
        <v>46174</v>
      </c>
      <c r="P126" s="2" t="inlineStr">
        <is>
          <t>https://panda-windows-and-doors.monday.com/boards/7469134152/pulses/8241706319</t>
        </is>
      </c>
    </row>
    <row r="127">
      <c r="A127" s="2" t="inlineStr">
        <is>
          <t>Stefan Monetta</t>
        </is>
      </c>
      <c r="B127" s="2" t="inlineStr">
        <is>
          <t>Chris Rogalny</t>
        </is>
      </c>
      <c r="C127" s="2" t="inlineStr">
        <is>
          <t>Metro 19 Slider</t>
        </is>
      </c>
      <c r="D127" s="2" t="inlineStr">
        <is>
          <t>81773</t>
        </is>
      </c>
      <c r="E127" s="2" t="inlineStr">
        <is>
          <t>Signed SO/Pending Drawings</t>
        </is>
      </c>
      <c r="F127" s="2" t="inlineStr">
        <is>
          <t>Yes</t>
        </is>
      </c>
      <c r="G127" s="9" t="n">
        <v>45671</v>
      </c>
      <c r="H127" s="4" t="n">
        <v>27160</v>
      </c>
      <c r="I127" s="4" t="n">
        <v>20967.98</v>
      </c>
      <c r="J127" s="2" t="inlineStr">
        <is>
          <t>No</t>
        </is>
      </c>
      <c r="K127" s="2" t="inlineStr">
        <is>
          <t>No</t>
        </is>
      </c>
      <c r="L127" s="2" t="inlineStr">
        <is>
          <t>Completed - Closed Out</t>
        </is>
      </c>
      <c r="M127" s="2" t="inlineStr">
        <is>
          <t>No</t>
        </is>
      </c>
      <c r="N127" s="11" t="inlineStr">
        <is>
          <t>Remove - already produced / shipped</t>
        </is>
      </c>
      <c r="O127" s="9" t="n">
        <v>46174</v>
      </c>
      <c r="P127" s="2" t="inlineStr">
        <is>
          <t>https://panda-windows-and-doors.monday.com/boards/7469134152/pulses/8241706349</t>
        </is>
      </c>
    </row>
    <row r="128">
      <c r="A128" s="2" t="inlineStr">
        <is>
          <t>Stefan Monetta</t>
        </is>
      </c>
      <c r="B128" s="2" t="inlineStr">
        <is>
          <t>Ben Biery</t>
        </is>
      </c>
      <c r="C128" s="2" t="inlineStr">
        <is>
          <t>Silo Radius</t>
        </is>
      </c>
      <c r="D128" s="2" t="inlineStr">
        <is>
          <t>87104</t>
        </is>
      </c>
      <c r="E128" s="2" t="inlineStr">
        <is>
          <t>Signed Shop Drawings</t>
        </is>
      </c>
      <c r="F128" s="2" t="inlineStr">
        <is>
          <t>Yes</t>
        </is>
      </c>
      <c r="G128" s="9" t="n">
        <v>46063</v>
      </c>
      <c r="H128" s="4" t="n">
        <v>23224</v>
      </c>
      <c r="I128" s="4" t="n">
        <v>17047.26</v>
      </c>
      <c r="J128" s="2" t="inlineStr">
        <is>
          <t>Yes</t>
        </is>
      </c>
      <c r="K128" s="2" t="inlineStr">
        <is>
          <t>Yes</t>
        </is>
      </c>
      <c r="L128" s="2" t="inlineStr">
        <is>
          <t>Completed - Closed Out</t>
        </is>
      </c>
      <c r="M128" s="2" t="inlineStr">
        <is>
          <t>Yes</t>
        </is>
      </c>
      <c r="N128" s="11" t="inlineStr">
        <is>
          <t>Remove - already produced / shipped</t>
        </is>
      </c>
      <c r="O128" s="9" t="n">
        <v>46182</v>
      </c>
      <c r="P128" s="2" t="inlineStr">
        <is>
          <t>https://panda-windows-and-doors.monday.com/boards/7469134152/pulses/9905680456</t>
        </is>
      </c>
    </row>
    <row r="129">
      <c r="A129" s="2" t="inlineStr">
        <is>
          <t>Stefan Monetta</t>
        </is>
      </c>
      <c r="B129" s="2" t="inlineStr">
        <is>
          <t>Dave Hellyer</t>
        </is>
      </c>
      <c r="C129" s="2" t="inlineStr">
        <is>
          <t>J.Jordan Homes Project</t>
        </is>
      </c>
      <c r="D129" s="2" t="inlineStr">
        <is>
          <t>80893</t>
        </is>
      </c>
      <c r="E129" s="2" t="inlineStr">
        <is>
          <t>Signed SO/Pending Drawings</t>
        </is>
      </c>
      <c r="F129" s="2" t="inlineStr">
        <is>
          <t>Yes</t>
        </is>
      </c>
      <c r="G129" s="9" t="n">
        <v>45671</v>
      </c>
      <c r="H129" s="4" t="n">
        <v>21082</v>
      </c>
      <c r="I129" s="4" t="n">
        <v>15055.61</v>
      </c>
      <c r="J129" s="2" t="inlineStr">
        <is>
          <t>No</t>
        </is>
      </c>
      <c r="K129" s="2" t="inlineStr">
        <is>
          <t>No</t>
        </is>
      </c>
      <c r="L129" s="2" t="inlineStr">
        <is>
          <t>Completed - Closed Out</t>
        </is>
      </c>
      <c r="M129" s="2" t="inlineStr">
        <is>
          <t>No</t>
        </is>
      </c>
      <c r="N129" s="11" t="inlineStr">
        <is>
          <t>Remove - already produced / shipped</t>
        </is>
      </c>
      <c r="O129" s="9" t="n">
        <v>46218</v>
      </c>
      <c r="P129" s="2" t="inlineStr">
        <is>
          <t>https://panda-windows-and-doors.monday.com/boards/7469134152/pulses/8241705968</t>
        </is>
      </c>
    </row>
    <row r="130">
      <c r="A130" s="2" t="inlineStr">
        <is>
          <t>Stefan Monetta</t>
        </is>
      </c>
      <c r="B130" s="2" t="inlineStr">
        <is>
          <t>Babl Company Inc.</t>
        </is>
      </c>
      <c r="C130" s="2" t="inlineStr">
        <is>
          <t>Weber</t>
        </is>
      </c>
      <c r="D130" s="2" t="inlineStr">
        <is>
          <t>83973</t>
        </is>
      </c>
      <c r="E130" s="2" t="inlineStr">
        <is>
          <t>Signed SO/Pending Drawings</t>
        </is>
      </c>
      <c r="F130" s="2" t="inlineStr">
        <is>
          <t>Yes</t>
        </is>
      </c>
      <c r="G130" s="9" t="n">
        <v>45953</v>
      </c>
      <c r="H130" s="4" t="n">
        <v>20164</v>
      </c>
      <c r="I130" s="4" t="n">
        <v>15666.56</v>
      </c>
      <c r="J130" s="2" t="inlineStr">
        <is>
          <t>Yes</t>
        </is>
      </c>
      <c r="K130" s="2" t="inlineStr">
        <is>
          <t>Yes</t>
        </is>
      </c>
      <c r="L130" s="2" t="inlineStr">
        <is>
          <t>Completed - Closed Out</t>
        </is>
      </c>
      <c r="M130" s="2" t="inlineStr">
        <is>
          <t>No</t>
        </is>
      </c>
      <c r="N130" s="11" t="inlineStr">
        <is>
          <t>Remove - already produced / shipped</t>
        </is>
      </c>
      <c r="O130" s="9" t="n">
        <v>46183</v>
      </c>
      <c r="P130" s="2" t="inlineStr">
        <is>
          <t>https://panda-windows-and-doors.monday.com/boards/7469134152/pulses/9051520626</t>
        </is>
      </c>
    </row>
    <row r="131">
      <c r="A131" s="2" t="inlineStr">
        <is>
          <t>Stefan Monetta</t>
        </is>
      </c>
      <c r="B131" s="2" t="inlineStr">
        <is>
          <t>Tom Benson</t>
        </is>
      </c>
      <c r="C131" s="2" t="inlineStr">
        <is>
          <t>Tom Benson</t>
        </is>
      </c>
      <c r="D131" s="2" t="inlineStr">
        <is>
          <t>82877</t>
        </is>
      </c>
      <c r="E131" s="2" t="inlineStr">
        <is>
          <t>Signed SO/Pending Drawings</t>
        </is>
      </c>
      <c r="F131" s="2" t="inlineStr">
        <is>
          <t>Yes</t>
        </is>
      </c>
      <c r="G131" s="9" t="n">
        <v>45671</v>
      </c>
      <c r="H131" s="4" t="n">
        <v>12900</v>
      </c>
      <c r="I131" s="4" t="n">
        <v>7884.73</v>
      </c>
      <c r="J131" s="2" t="inlineStr">
        <is>
          <t>Yes</t>
        </is>
      </c>
      <c r="K131" s="2" t="inlineStr">
        <is>
          <t>No</t>
        </is>
      </c>
      <c r="L131" s="2" t="inlineStr">
        <is>
          <t>Completed - Closed Out</t>
        </is>
      </c>
      <c r="M131" s="2" t="inlineStr">
        <is>
          <t>No</t>
        </is>
      </c>
      <c r="N131" s="11" t="inlineStr">
        <is>
          <t>Remove - already produced / shipped</t>
        </is>
      </c>
      <c r="O131" s="9" t="n">
        <v>46182</v>
      </c>
      <c r="P131" s="2" t="inlineStr">
        <is>
          <t>https://panda-windows-and-doors.monday.com/boards/7469134152/pulses/8238707925</t>
        </is>
      </c>
    </row>
    <row r="132">
      <c r="A132" s="2" t="inlineStr">
        <is>
          <t>Stefan Monetta</t>
        </is>
      </c>
      <c r="B132" s="2" t="inlineStr">
        <is>
          <t>Lou Frances Maschio</t>
        </is>
      </c>
      <c r="C132" s="2" t="inlineStr">
        <is>
          <t>Patio Folding</t>
        </is>
      </c>
      <c r="D132" s="2" t="inlineStr">
        <is>
          <t>76426</t>
        </is>
      </c>
      <c r="E132" s="2" t="inlineStr">
        <is>
          <t>Signed SO/Pending Drawings</t>
        </is>
      </c>
      <c r="F132" s="2" t="inlineStr">
        <is>
          <t>Yes</t>
        </is>
      </c>
      <c r="G132" s="9" t="n">
        <v>45671</v>
      </c>
      <c r="H132" s="4" t="n">
        <v>12732</v>
      </c>
      <c r="I132" s="4" t="n">
        <v>8644.440000000001</v>
      </c>
      <c r="J132" s="2" t="inlineStr">
        <is>
          <t>No</t>
        </is>
      </c>
      <c r="K132" s="2" t="inlineStr">
        <is>
          <t>No</t>
        </is>
      </c>
      <c r="L132" s="2" t="inlineStr">
        <is>
          <t>Completed - Closed Out</t>
        </is>
      </c>
      <c r="M132" s="2" t="inlineStr">
        <is>
          <t>No</t>
        </is>
      </c>
      <c r="N132" s="11" t="inlineStr">
        <is>
          <t>Remove - already produced / shipped</t>
        </is>
      </c>
      <c r="O132" s="9" t="n">
        <v>46174</v>
      </c>
      <c r="P132" s="2" t="inlineStr">
        <is>
          <t>https://panda-windows-and-doors.monday.com/boards/7469134152/pulses/8241705922</t>
        </is>
      </c>
    </row>
    <row r="133">
      <c r="A133" s="2" t="inlineStr">
        <is>
          <t>Stefan Monetta</t>
        </is>
      </c>
      <c r="B133" s="2" t="inlineStr">
        <is>
          <t>Orsello Family Project</t>
        </is>
      </c>
      <c r="C133" s="2" t="inlineStr">
        <is>
          <t>Crecia Orsello</t>
        </is>
      </c>
      <c r="D133" s="2" t="inlineStr">
        <is>
          <t>79942</t>
        </is>
      </c>
      <c r="E133" s="2" t="inlineStr">
        <is>
          <t>Signed SO/Pending Drawings</t>
        </is>
      </c>
      <c r="F133" s="2" t="inlineStr">
        <is>
          <t>Yes</t>
        </is>
      </c>
      <c r="G133" s="9" t="n">
        <v>45671</v>
      </c>
      <c r="H133" s="4" t="n">
        <v>10764</v>
      </c>
      <c r="I133" s="4" t="n">
        <v>6066.65</v>
      </c>
      <c r="J133" s="2" t="inlineStr">
        <is>
          <t>No</t>
        </is>
      </c>
      <c r="K133" s="2" t="inlineStr">
        <is>
          <t>No</t>
        </is>
      </c>
      <c r="L133" s="2" t="inlineStr">
        <is>
          <t>Completed - Closed Out</t>
        </is>
      </c>
      <c r="M133" s="2" t="inlineStr">
        <is>
          <t>No</t>
        </is>
      </c>
      <c r="N133" s="11" t="inlineStr">
        <is>
          <t>Remove - already produced / shipped</t>
        </is>
      </c>
      <c r="O133" s="9" t="n">
        <v>46174</v>
      </c>
      <c r="P133" s="2" t="inlineStr">
        <is>
          <t>https://panda-windows-and-doors.monday.com/boards/7469134152/pulses/8241705997</t>
        </is>
      </c>
    </row>
    <row r="134">
      <c r="A134" s="2" t="inlineStr">
        <is>
          <t>Stefan Monetta</t>
        </is>
      </c>
      <c r="B134" s="2" t="inlineStr">
        <is>
          <t>Window Classics</t>
        </is>
      </c>
      <c r="C134" s="2" t="inlineStr">
        <is>
          <t>9712 Kilgore Road</t>
        </is>
      </c>
      <c r="D134" s="2" t="inlineStr">
        <is>
          <t>84816</t>
        </is>
      </c>
      <c r="E134" s="2" t="inlineStr">
        <is>
          <t>Signed SO/Pending Drawings</t>
        </is>
      </c>
      <c r="F134" s="2" t="inlineStr">
        <is>
          <t>Yes</t>
        </is>
      </c>
      <c r="G134" s="9" t="n">
        <v>45790</v>
      </c>
      <c r="H134" s="4" t="n">
        <v>52385</v>
      </c>
      <c r="I134" s="4" t="n">
        <v>40918</v>
      </c>
      <c r="J134" s="2" t="inlineStr">
        <is>
          <t>Yes</t>
        </is>
      </c>
      <c r="K134" s="2" t="inlineStr">
        <is>
          <t>No</t>
        </is>
      </c>
      <c r="L134" s="2" t="inlineStr">
        <is>
          <t>Canceled Jobs</t>
        </is>
      </c>
      <c r="M134" s="2" t="inlineStr">
        <is>
          <t>Yes</t>
        </is>
      </c>
      <c r="N134" s="11" t="inlineStr">
        <is>
          <t>Remove - canceled on PM board</t>
        </is>
      </c>
      <c r="O134" s="9" t="n">
        <v>46120</v>
      </c>
      <c r="P134" s="2" t="inlineStr">
        <is>
          <t>https://panda-windows-and-doors.monday.com/boards/7469134152/pulses/9130940265</t>
        </is>
      </c>
    </row>
    <row r="135">
      <c r="A135" s="2" t="inlineStr">
        <is>
          <t>Stefan Monetta</t>
        </is>
      </c>
      <c r="B135" s="2" t="inlineStr">
        <is>
          <t>Mister Window Holding Corp.</t>
        </is>
      </c>
      <c r="C135" s="2" t="inlineStr">
        <is>
          <t>Camp</t>
        </is>
      </c>
      <c r="D135" s="2" t="inlineStr">
        <is>
          <t>78496</t>
        </is>
      </c>
      <c r="E135" s="2" t="inlineStr">
        <is>
          <t>Signed SO/Pending Drawings</t>
        </is>
      </c>
      <c r="F135" s="2" t="inlineStr">
        <is>
          <t>Yes</t>
        </is>
      </c>
      <c r="G135" s="9" t="n">
        <v>45681</v>
      </c>
      <c r="H135" s="4" t="n">
        <v>43678</v>
      </c>
      <c r="I135" s="4" t="n">
        <v>31848</v>
      </c>
      <c r="J135" s="2" t="inlineStr">
        <is>
          <t>Yes</t>
        </is>
      </c>
      <c r="K135" s="2" t="inlineStr">
        <is>
          <t>No</t>
        </is>
      </c>
      <c r="L135" s="2" t="inlineStr">
        <is>
          <t>Canceled Jobs</t>
        </is>
      </c>
      <c r="M135" s="2" t="inlineStr">
        <is>
          <t>No</t>
        </is>
      </c>
      <c r="N135" s="11" t="inlineStr">
        <is>
          <t>Remove - canceled on PM board</t>
        </is>
      </c>
      <c r="O135" s="9" t="n">
        <v>46120</v>
      </c>
      <c r="P135" s="2" t="inlineStr">
        <is>
          <t>https://panda-windows-and-doors.monday.com/boards/7469134152/pulses/8313362156</t>
        </is>
      </c>
    </row>
    <row r="136">
      <c r="A136" s="2" t="inlineStr">
        <is>
          <t>Stefan Monetta</t>
        </is>
      </c>
      <c r="B136" s="2" t="inlineStr">
        <is>
          <t>Action Store Fronts</t>
        </is>
      </c>
      <c r="C136" s="2" t="inlineStr">
        <is>
          <t>Target Bridgehampton</t>
        </is>
      </c>
      <c r="D136" s="2" t="inlineStr">
        <is>
          <t>87323</t>
        </is>
      </c>
      <c r="E136" s="2" t="inlineStr">
        <is>
          <t>Signed SO/Pending Drawings</t>
        </is>
      </c>
      <c r="F136" s="2" t="inlineStr">
        <is>
          <t>Yes</t>
        </is>
      </c>
      <c r="G136" s="9" t="n">
        <v>45915</v>
      </c>
      <c r="H136" s="4" t="n">
        <v>14004</v>
      </c>
      <c r="I136" s="4" t="n">
        <v>8365.799999999999</v>
      </c>
      <c r="J136" s="2" t="inlineStr">
        <is>
          <t>Yes</t>
        </is>
      </c>
      <c r="K136" s="2" t="inlineStr">
        <is>
          <t>No</t>
        </is>
      </c>
      <c r="L136" s="2" t="inlineStr">
        <is>
          <t>Canceled Jobs</t>
        </is>
      </c>
      <c r="M136" s="2" t="inlineStr">
        <is>
          <t>No</t>
        </is>
      </c>
      <c r="N136" s="11" t="inlineStr">
        <is>
          <t>Remove - canceled on PM board</t>
        </is>
      </c>
      <c r="O136" s="9" t="n">
        <v>46182</v>
      </c>
      <c r="P136" s="2" t="inlineStr">
        <is>
          <t>https://panda-windows-and-doors.monday.com/boards/7469134152/pulses/10053332448</t>
        </is>
      </c>
    </row>
    <row r="137">
      <c r="A137" s="2" t="inlineStr">
        <is>
          <t>Efrain Zarate</t>
        </is>
      </c>
      <c r="B137" s="2" t="inlineStr">
        <is>
          <t>Jacobs Entertainment Inc</t>
        </is>
      </c>
      <c r="C137" s="2" t="inlineStr">
        <is>
          <t>Jacobs Car Exhibit</t>
        </is>
      </c>
      <c r="D137" s="2" t="inlineStr">
        <is>
          <t>89857/2780</t>
        </is>
      </c>
      <c r="E137" s="2" t="inlineStr">
        <is>
          <t>Signed SO/Pending Drawings</t>
        </is>
      </c>
      <c r="F137" s="2" t="inlineStr">
        <is>
          <t>Yes</t>
        </is>
      </c>
      <c r="G137" s="9" t="n">
        <v>46296</v>
      </c>
      <c r="H137" s="4" t="n">
        <v>300753.77</v>
      </c>
      <c r="I137" s="4" t="n">
        <v>267498.82</v>
      </c>
      <c r="J137" s="2" t="inlineStr">
        <is>
          <t>No</t>
        </is>
      </c>
      <c r="K137" s="2" t="inlineStr">
        <is>
          <t>No</t>
        </is>
      </c>
      <c r="L137" s="2" t="inlineStr">
        <is>
          <t>Not on PM board</t>
        </is>
      </c>
      <c r="M137" s="2" t="inlineStr">
        <is>
          <t>No</t>
        </is>
      </c>
      <c r="N137" s="12" t="inlineStr">
        <is>
          <t>Won in October (after 10/1 snapshot)</t>
        </is>
      </c>
      <c r="O137" s="9" t="n">
        <v>46296</v>
      </c>
      <c r="P137" s="2" t="inlineStr">
        <is>
          <t>https://panda-windows-and-doors.monday.com/boards/7469134152/pulses/11546414255</t>
        </is>
      </c>
    </row>
    <row r="138">
      <c r="A138" s="2" t="inlineStr">
        <is>
          <t>Efrain Zarate</t>
        </is>
      </c>
      <c r="B138" s="2" t="inlineStr">
        <is>
          <t>DC Petersen</t>
        </is>
      </c>
      <c r="C138" s="2" t="inlineStr">
        <is>
          <t>7 Brandermill</t>
        </is>
      </c>
      <c r="D138" s="2" t="inlineStr">
        <is>
          <t>92398 / 4479</t>
        </is>
      </c>
      <c r="E138" s="2" t="inlineStr">
        <is>
          <t>Signed SO/Pending Drawings</t>
        </is>
      </c>
      <c r="F138" s="2" t="inlineStr">
        <is>
          <t>Yes</t>
        </is>
      </c>
      <c r="G138" s="9" t="n">
        <v>46296</v>
      </c>
      <c r="H138" s="4" t="n">
        <v>28415.78</v>
      </c>
      <c r="I138" s="4" t="n">
        <v>25664.04</v>
      </c>
      <c r="J138" s="2" t="inlineStr">
        <is>
          <t>No</t>
        </is>
      </c>
      <c r="K138" s="2" t="inlineStr">
        <is>
          <t>No</t>
        </is>
      </c>
      <c r="L138" s="2" t="inlineStr">
        <is>
          <t>Not on PM board</t>
        </is>
      </c>
      <c r="M138" s="2" t="inlineStr">
        <is>
          <t>No</t>
        </is>
      </c>
      <c r="N138" s="12" t="inlineStr">
        <is>
          <t>Won in October (after 10/1 snapshot)</t>
        </is>
      </c>
      <c r="O138" s="9" t="n">
        <v>46296</v>
      </c>
      <c r="P138" s="2" t="inlineStr">
        <is>
          <t>https://panda-windows-and-doors.monday.com/boards/7469134152/pulses/12858598587</t>
        </is>
      </c>
    </row>
    <row r="139">
      <c r="A139" s="2" t="inlineStr">
        <is>
          <t>Efrain Zarate</t>
        </is>
      </c>
      <c r="B139" s="2" t="inlineStr">
        <is>
          <t>Architectural Windows &amp; Doors</t>
        </is>
      </c>
      <c r="C139" s="2" t="inlineStr">
        <is>
          <t>68th Residence</t>
        </is>
      </c>
      <c r="D139" s="2" t="inlineStr">
        <is>
          <t>95408</t>
        </is>
      </c>
      <c r="E139" s="2" t="inlineStr">
        <is>
          <t>Signed SO/Pending Drawings</t>
        </is>
      </c>
      <c r="F139" s="2" t="inlineStr">
        <is>
          <t>Yes</t>
        </is>
      </c>
      <c r="G139" s="9" t="n">
        <v>46296</v>
      </c>
      <c r="H139" s="4" t="n">
        <v>14484.42</v>
      </c>
      <c r="I139" s="4" t="n">
        <v>12045.45</v>
      </c>
      <c r="J139" s="2" t="inlineStr">
        <is>
          <t>No</t>
        </is>
      </c>
      <c r="K139" s="2" t="inlineStr">
        <is>
          <t>No</t>
        </is>
      </c>
      <c r="L139" s="2" t="inlineStr">
        <is>
          <t>Not on PM board</t>
        </is>
      </c>
      <c r="M139" s="2" t="inlineStr">
        <is>
          <t>No</t>
        </is>
      </c>
      <c r="N139" s="12" t="inlineStr">
        <is>
          <t>Won in October (after 10/1 snapshot)</t>
        </is>
      </c>
      <c r="O139" s="9" t="n">
        <v>46296</v>
      </c>
      <c r="P139" s="2" t="inlineStr">
        <is>
          <t>https://panda-windows-and-doors.monday.com/boards/7469134152/pulses/13119424180</t>
        </is>
      </c>
    </row>
    <row r="140">
      <c r="A140" s="2" t="inlineStr">
        <is>
          <t>Efrain Zarate</t>
        </is>
      </c>
      <c r="B140" s="2" t="inlineStr">
        <is>
          <t>Universal Windows Direct Las Vegas</t>
        </is>
      </c>
      <c r="C140" s="2" t="inlineStr">
        <is>
          <t>L. Turner</t>
        </is>
      </c>
      <c r="D140" s="2" t="inlineStr">
        <is>
          <t>95407</t>
        </is>
      </c>
      <c r="E140" s="2" t="inlineStr">
        <is>
          <t>Signed SO/Pending Drawings</t>
        </is>
      </c>
      <c r="F140" s="2" t="inlineStr">
        <is>
          <t>Yes</t>
        </is>
      </c>
      <c r="G140" s="9" t="n">
        <v>46296</v>
      </c>
      <c r="H140" s="4" t="n">
        <v>5718.75</v>
      </c>
      <c r="I140" s="4" t="n">
        <v>5016.89</v>
      </c>
      <c r="J140" s="2" t="inlineStr">
        <is>
          <t>No</t>
        </is>
      </c>
      <c r="K140" s="2" t="inlineStr">
        <is>
          <t>No</t>
        </is>
      </c>
      <c r="L140" s="2" t="inlineStr">
        <is>
          <t>Not on PM board</t>
        </is>
      </c>
      <c r="M140" s="2" t="inlineStr">
        <is>
          <t>No</t>
        </is>
      </c>
      <c r="N140" s="12" t="inlineStr">
        <is>
          <t>Won in October (after 10/1 snapshot)</t>
        </is>
      </c>
      <c r="O140" s="9" t="n">
        <v>46296</v>
      </c>
      <c r="P140" s="2" t="inlineStr">
        <is>
          <t>https://panda-windows-and-doors.monday.com/boards/7469134152/pulses/12972990773</t>
        </is>
      </c>
    </row>
    <row r="141">
      <c r="A141" s="2" t="inlineStr">
        <is>
          <t>Trevor Benthagen</t>
        </is>
      </c>
      <c r="B141" s="2" t="inlineStr">
        <is>
          <t>Michael Graham, American First Builders</t>
        </is>
      </c>
      <c r="C141" s="2" t="inlineStr">
        <is>
          <t>94th and Bell Clubhouse</t>
        </is>
      </c>
      <c r="D141" s="2" t="inlineStr">
        <is>
          <t>91584 / 3047</t>
        </is>
      </c>
      <c r="E141" s="2" t="inlineStr">
        <is>
          <t>Signed SO/Pending Drawings</t>
        </is>
      </c>
      <c r="F141" s="2" t="inlineStr">
        <is>
          <t>Yes</t>
        </is>
      </c>
      <c r="G141" s="9" t="n">
        <v>46296</v>
      </c>
      <c r="H141" s="4" t="n">
        <v>292413.88</v>
      </c>
      <c r="I141" s="4" t="n">
        <v>262269.61</v>
      </c>
      <c r="J141" s="2" t="inlineStr">
        <is>
          <t>No</t>
        </is>
      </c>
      <c r="K141" s="2" t="inlineStr">
        <is>
          <t>No</t>
        </is>
      </c>
      <c r="L141" s="2" t="inlineStr">
        <is>
          <t>Not on PM board</t>
        </is>
      </c>
      <c r="M141" s="2" t="inlineStr">
        <is>
          <t>No</t>
        </is>
      </c>
      <c r="N141" s="12" t="inlineStr">
        <is>
          <t>Won in October (after 10/1 snapshot)</t>
        </is>
      </c>
      <c r="O141" s="9" t="n">
        <v>46296</v>
      </c>
      <c r="P141" s="2" t="inlineStr">
        <is>
          <t>https://panda-windows-and-doors.monday.com/boards/7469134152/pulses/12407530626</t>
        </is>
      </c>
    </row>
    <row r="143">
      <c r="A143" s="5" t="inlineStr">
        <is>
          <t>Total</t>
        </is>
      </c>
      <c r="B143" s="5" t="n"/>
      <c r="C143" s="5" t="n"/>
      <c r="D143" s="5" t="n"/>
      <c r="E143" s="5" t="n"/>
      <c r="F143" s="5" t="n"/>
      <c r="G143" s="5" t="n"/>
      <c r="H143" s="13">
        <f>SUBTOTAL(9,H2:H141)</f>
        <v/>
      </c>
      <c r="I143" s="13">
        <f>SUBTOTAL(9,I2:I141)</f>
        <v/>
      </c>
      <c r="J143" s="5" t="n"/>
      <c r="K143" s="5" t="n"/>
      <c r="L143" s="5" t="n"/>
      <c r="M143" s="5" t="n"/>
      <c r="N143" s="5" t="n"/>
      <c r="O143" s="5" t="n"/>
      <c r="P143" s="5" t="n"/>
    </row>
  </sheetData>
  <autoFilter ref="A1:P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2026-10-02T17:54:09Z</dcterms:created>
  <dcterms:modified xsi:type="dcterms:W3CDTF">2026-10-02T17:54:09Z</dcterms:modified>
</cp:coreProperties>
</file>