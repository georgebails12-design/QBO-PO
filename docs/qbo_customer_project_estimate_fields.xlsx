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ummary" sheetId="1" state="visible" r:id="rId1"/>
    <sheet name="Field List" sheetId="2" state="visible" r:id="rId2"/>
  </sheets>
  <definedNames>
    <definedName name="_xlnm._FilterDatabase" localSheetId="1" hidden="1">'Field List'!$A$4:$R$76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4"/>
    </font>
    <font>
      <name val="Arial"/>
      <i val="1"/>
      <sz val="9"/>
    </font>
    <font>
      <name val="Arial"/>
      <b val="1"/>
      <color rgb="00FFFFFF"/>
    </font>
    <font>
      <name val="Arial"/>
      <sz val="10"/>
    </font>
    <font>
      <name val="Arial"/>
      <b val="1"/>
      <sz val="10"/>
    </font>
    <font>
      <name val="Arial"/>
      <color rgb="000000FF"/>
      <sz val="10"/>
    </font>
    <font>
      <name val="Arial"/>
      <color rgb="00000000"/>
      <sz val="10"/>
    </font>
    <font>
      <name val="Arial"/>
    </font>
    <font>
      <name val="Arial"/>
      <b val="1"/>
    </font>
    <font>
      <name val="Arial"/>
      <b val="1"/>
      <sz val="12"/>
    </font>
    <font>
      <name val="Arial"/>
      <sz val="9"/>
    </font>
  </fonts>
  <fills count="11">
    <fill>
      <patternFill/>
    </fill>
    <fill>
      <patternFill patternType="gray125"/>
    </fill>
    <fill>
      <patternFill patternType="solid">
        <fgColor rgb="001F4E78"/>
      </patternFill>
    </fill>
    <fill>
      <patternFill patternType="solid">
        <fgColor rgb="00DDEBF7"/>
      </patternFill>
    </fill>
    <fill>
      <patternFill patternType="solid">
        <fgColor rgb="00FFFF00"/>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F8CBAD"/>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3" fillId="2" borderId="1" pivotButton="0" quotePrefix="0" xfId="0"/>
    <xf numFmtId="0" fontId="8" fillId="0" borderId="1" pivotButton="0" quotePrefix="0" xfId="0"/>
    <xf numFmtId="0" fontId="9" fillId="0" borderId="1" pivotButton="0" quotePrefix="0" xfId="0"/>
    <xf numFmtId="0" fontId="10" fillId="0" borderId="0" pivotButton="0" quotePrefix="0" xfId="0"/>
    <xf numFmtId="0" fontId="9" fillId="0" borderId="0" pivotButton="0" quotePrefix="0" xfId="0"/>
    <xf numFmtId="0" fontId="8" fillId="0" borderId="0" applyAlignment="1" pivotButton="0" quotePrefix="0" xfId="0">
      <alignment vertical="top" wrapText="1"/>
    </xf>
    <xf numFmtId="0" fontId="1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6" fillId="8" borderId="1" applyAlignment="1" pivotButton="0" quotePrefix="0" xfId="0">
      <alignment horizontal="center" vertical="top" wrapText="1"/>
    </xf>
    <xf numFmtId="0" fontId="6" fillId="8" borderId="1" applyAlignment="1" pivotButton="0" quotePrefix="0" xfId="0">
      <alignment horizontal="left" vertical="top" wrapText="1"/>
    </xf>
    <xf numFmtId="0" fontId="7" fillId="0" borderId="1" applyAlignment="1" pivotButton="0" quotePrefix="0" xfId="0">
      <alignment horizontal="left" vertical="top" wrapText="1"/>
    </xf>
  </cellXfs>
  <cellStyles count="1">
    <cellStyle name="Normal" xfId="0" builtinId="0" hidden="0"/>
  </cellStyles>
  <dxfs count="2">
    <dxf>
      <font>
        <name val="Arial"/>
        <b val="1"/>
        <color rgb="00006100"/>
      </font>
      <fill>
        <patternFill patternType="solid">
          <fgColor rgb="00C6EFCE"/>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44" customWidth="1" min="1" max="1"/>
    <col width="14" customWidth="1" min="2" max="2"/>
    <col width="70" customWidth="1" min="3" max="3"/>
  </cols>
  <sheetData>
    <row r="1">
      <c r="A1" s="1" t="inlineStr">
        <is>
          <t>Summary</t>
        </is>
      </c>
    </row>
    <row r="3">
      <c r="A3" s="2" t="inlineStr">
        <is>
          <t>Count</t>
        </is>
      </c>
      <c r="B3" s="2" t="inlineStr">
        <is>
          <t>Value</t>
        </is>
      </c>
    </row>
    <row r="4">
      <c r="A4" s="3" t="inlineStr">
        <is>
          <t>Data points listed</t>
        </is>
      </c>
      <c r="B4" s="4">
        <f>COUNTA('Field List'!C5:C76)</f>
        <v/>
      </c>
    </row>
    <row r="5">
      <c r="A5" s="3" t="inlineStr">
        <is>
          <t>Used on all three (Customer + Project + Estimate)</t>
        </is>
      </c>
      <c r="B5" s="4">
        <f>COUNTIF('Field List'!H5:H76,"All three")</f>
        <v/>
      </c>
    </row>
    <row r="6">
      <c r="A6" s="3" t="inlineStr">
        <is>
          <t>Shared by two records</t>
        </is>
      </c>
      <c r="B6" s="4">
        <f>COUNTIF('Field List'!H5:H76,"Shared*")</f>
        <v/>
      </c>
    </row>
    <row r="7">
      <c r="A7" s="3" t="inlineStr">
        <is>
          <t>Only on Customer</t>
        </is>
      </c>
      <c r="B7" s="4">
        <f>COUNTIF('Field List'!H5:H76,"Only Customer")</f>
        <v/>
      </c>
    </row>
    <row r="8">
      <c r="A8" s="3" t="inlineStr">
        <is>
          <t>Only on Project</t>
        </is>
      </c>
      <c r="B8" s="4">
        <f>COUNTIF('Field List'!H5:H76,"Only Project")</f>
        <v/>
      </c>
    </row>
    <row r="9">
      <c r="A9" s="3" t="inlineStr">
        <is>
          <t>Only on Estimate</t>
        </is>
      </c>
      <c r="B9" s="4">
        <f>COUNTIF('Field List'!H5:H76,"Only Estimate")</f>
        <v/>
      </c>
    </row>
    <row r="10">
      <c r="A10" s="3" t="inlineStr">
        <is>
          <t>Total used on Customer</t>
        </is>
      </c>
      <c r="B10" s="4">
        <f>COUNTIF('Field List'!E5:E76,"✓")</f>
        <v/>
      </c>
    </row>
    <row r="11">
      <c r="A11" s="3" t="inlineStr">
        <is>
          <t>Total used on Project</t>
        </is>
      </c>
      <c r="B11" s="4">
        <f>COUNTIF('Field List'!F5:F76,"✓")</f>
        <v/>
      </c>
    </row>
    <row r="12">
      <c r="A12" s="3" t="inlineStr">
        <is>
          <t>Total used on Estimate</t>
        </is>
      </c>
      <c r="B12" s="4">
        <f>COUNTIF('Field List'!G5:G76,"✓")</f>
        <v/>
      </c>
    </row>
    <row r="13">
      <c r="A13" s="3" t="inlineStr">
        <is>
          <t>Custom fields (estimate)</t>
        </is>
      </c>
      <c r="B13" s="4">
        <f>COUNTIF('Field List'!B5:B76,"Estimate custom field")</f>
        <v/>
      </c>
    </row>
    <row r="14">
      <c r="A14" s="3" t="inlineStr">
        <is>
          <t>Items you marked 'Add'</t>
        </is>
      </c>
      <c r="B14" s="4">
        <f>COUNTIF('Field List'!Q5:Q76,"Add")</f>
        <v/>
      </c>
    </row>
    <row r="15">
      <c r="A15" s="3" t="inlineStr">
        <is>
          <t>Items you marked 'Question'</t>
        </is>
      </c>
      <c r="B15" s="4">
        <f>COUNTIF('Field List'!Q5:Q76,"Question")</f>
        <v/>
      </c>
    </row>
    <row r="17">
      <c r="A17" s="5" t="inlineStr">
        <is>
          <t>How to use this file</t>
        </is>
      </c>
    </row>
    <row r="18" ht="30" customHeight="1">
      <c r="A18" s="6" t="inlineStr">
        <is>
          <t>Customer / Project / Estimate columns</t>
        </is>
      </c>
      <c r="C18" s="7" t="inlineStr">
        <is>
          <t>A ✓ means the data point is written to that QBO record. One input can feed more than one record, e.g. email goes to the customer, the project, and the estimate's To address.</t>
        </is>
      </c>
    </row>
    <row r="19" ht="30" customHeight="1">
      <c r="A19" s="6" t="inlineStr">
        <is>
          <t>Used in</t>
        </is>
      </c>
      <c r="C19" s="7" t="inlineStr">
        <is>
          <t>Filled in by a formula. Green = all three, blue = shared by two, blank = unique to one record.</t>
        </is>
      </c>
    </row>
    <row r="20" ht="30" customHeight="1">
      <c r="A20" s="6" t="inlineStr">
        <is>
          <t>QBO field columns</t>
        </is>
      </c>
      <c r="C20" s="7" t="inlineStr">
        <is>
          <t>The exact QBO API field the flow writes on each record type. The same input often goes into a different field on each record.</t>
        </is>
      </c>
    </row>
    <row r="21" ht="30" customHeight="1">
      <c r="A21" s="6" t="inlineStr">
        <is>
          <t>Required?</t>
        </is>
      </c>
      <c r="C21" s="7" t="inlineStr">
        <is>
          <t>Required = QBO won't save without it. Recommended = your team fills it in every time. Confirm = you need to decide.</t>
        </is>
      </c>
    </row>
    <row r="22" ht="30" customHeight="1">
      <c r="A22" s="6" t="inlineStr">
        <is>
          <t>Filled in (last 10 records)</t>
        </is>
      </c>
      <c r="C22" s="7" t="inlineStr">
        <is>
          <t>How often the field had a value on the 10 newest real customers and estimates.</t>
        </is>
      </c>
    </row>
    <row r="23" ht="30" customHeight="1">
      <c r="A23" s="6" t="inlineStr">
        <is>
          <t>Yellow cells</t>
        </is>
      </c>
      <c r="C23" s="7" t="inlineStr">
        <is>
          <t>Your input. Pick Keep / Add / Not needed / Question in 'Your review' and add comments in 'Your notes'.</t>
        </is>
      </c>
    </row>
    <row r="24" ht="30" customHeight="1">
      <c r="A24" s="6" t="inlineStr">
        <is>
          <t>Light-yellow blank rows</t>
        </is>
      </c>
      <c r="C24" s="7" t="inlineStr">
        <is>
          <t>Add any data point we missed. Tick the records it belongs to and 'Used in' fills in by itself.</t>
        </is>
      </c>
    </row>
    <row r="26">
      <c r="A26" s="5" t="inlineStr">
        <is>
          <t>Known API limitations</t>
        </is>
      </c>
    </row>
    <row r="27" ht="32" customHeight="1">
      <c r="A27" s="7" t="inlineStr">
        <is>
          <t>• True QBO Projects (IsProject=true, ProjectRef) can't be created by a flow. Our QBO access gets 403 Forbidden from Intuit's GraphQL API (n8n execution 102). A flow can create a sub-customer (Job=true + ParentRef, execution 68).</t>
        </is>
      </c>
    </row>
    <row r="28" ht="32" customHeight="1">
      <c r="A28" s="7" t="inlineStr">
        <is>
          <t>• The newer estimate custom fields (1000000019/20/22/27) weren't saved when written through the v3 API (executions 66–76). The legacy fields 1, 2 and 3 work.</t>
        </is>
      </c>
    </row>
    <row r="29" ht="32" customHeight="1">
      <c r="A29" s="7" t="inlineStr">
        <is>
          <t>• The v3 API only returns line dimension names as ID numbers. We need you to tell us the names, or get GraphQL access.</t>
        </is>
      </c>
    </row>
    <row r="31">
      <c r="A31" s="5" t="inlineStr">
        <is>
          <t>Sources</t>
        </is>
      </c>
    </row>
    <row r="32">
      <c r="A32" s="8" t="inlineStr">
        <is>
          <t>n8n 'QBO - Master Field List Probe (read-only)' (TcfDrNFUzcyf7vLa), execution 103: Preferences, 10 newest Estimates, 10 newest Customers</t>
        </is>
      </c>
    </row>
    <row r="33">
      <c r="A33" s="8" t="inlineStr">
        <is>
          <t>n8n 'TEST-001 Custom Field Write Test' (1tF9QG7psykePj1t); 'Test Project Sub-Customer Write Test' (86wUImQUMLfMBTPy); 'QBO GraphQL Access Test' (qLRudb67GS2ldSde)</t>
        </is>
      </c>
    </row>
    <row r="34">
      <c r="A34" s="8" t="inlineStr">
        <is>
          <t>n8n 'Automate Quickbook Customer &amp; Estimation Creation' (QXxPOCPnF5oAQPD1): starter template</t>
        </is>
      </c>
    </row>
  </sheetData>
  <mergeCells count="6">
    <mergeCell ref="A28:C28"/>
    <mergeCell ref="A33:C33"/>
    <mergeCell ref="A32:C32"/>
    <mergeCell ref="A27:C27"/>
    <mergeCell ref="A34:C34"/>
    <mergeCell ref="A29:C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76"/>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7" customWidth="1" min="2" max="2"/>
    <col width="28" customWidth="1" min="3" max="3"/>
    <col width="48" customWidth="1" min="4" max="4"/>
    <col width="10" customWidth="1" min="5" max="5"/>
    <col width="10" customWidth="1" min="6" max="6"/>
    <col width="10" customWidth="1" min="7" max="7"/>
    <col width="24" customWidth="1" min="8" max="8"/>
    <col width="30" customWidth="1" min="9" max="9"/>
    <col width="32" customWidth="1" min="10" max="10"/>
    <col width="38" customWidth="1" min="11" max="11"/>
    <col width="13" customWidth="1" min="12" max="12"/>
    <col width="17" customWidth="1" min="13" max="13"/>
    <col width="15" customWidth="1" min="14" max="14"/>
    <col width="26" customWidth="1" min="15" max="15"/>
    <col width="48" customWidth="1" min="16" max="16"/>
    <col width="14" customWidth="1" min="17" max="17"/>
    <col width="36" customWidth="1" min="18" max="18"/>
  </cols>
  <sheetData>
    <row r="1">
      <c r="A1" s="1" t="inlineStr">
        <is>
          <t>QBO master field list – Customer / Project / Estimate</t>
        </is>
      </c>
    </row>
    <row r="2" ht="30" customHeight="1">
      <c r="A2" s="9" t="inlineStr">
        <is>
          <t>Built on 2026-09-24 from live n8n probe runs against your QBO company. Put a ✓ in Customer / Project / Estimate for each record a data point is used on; 'Used in' fills in automatically. Yellow cells are for your review. Add any missing data points in the blank yellow rows at the bottom.</t>
        </is>
      </c>
    </row>
    <row r="4" ht="32" customHeight="1">
      <c r="A4" s="10" t="inlineStr">
        <is>
          <t>#</t>
        </is>
      </c>
      <c r="B4" s="10" t="inlineStr">
        <is>
          <t>Section</t>
        </is>
      </c>
      <c r="C4" s="10" t="inlineStr">
        <is>
          <t>Data point</t>
        </is>
      </c>
      <c r="D4" s="10" t="inlineStr">
        <is>
          <t>What it's used for</t>
        </is>
      </c>
      <c r="E4" s="10" t="inlineStr">
        <is>
          <t>Customer</t>
        </is>
      </c>
      <c r="F4" s="10" t="inlineStr">
        <is>
          <t>Project</t>
        </is>
      </c>
      <c r="G4" s="10" t="inlineStr">
        <is>
          <t>Estimate</t>
        </is>
      </c>
      <c r="H4" s="10" t="inlineStr">
        <is>
          <t>Used in</t>
        </is>
      </c>
      <c r="I4" s="10" t="inlineStr">
        <is>
          <t>QBO field – Customer</t>
        </is>
      </c>
      <c r="J4" s="10" t="inlineStr">
        <is>
          <t>QBO field – Project</t>
        </is>
      </c>
      <c r="K4" s="10" t="inlineStr">
        <is>
          <t>QBO field – Estimate</t>
        </is>
      </c>
      <c r="L4" s="10" t="inlineStr">
        <is>
          <t>Required?</t>
        </is>
      </c>
      <c r="M4" s="10" t="inlineStr">
        <is>
          <t>Custom field ID</t>
        </is>
      </c>
      <c r="N4" s="10" t="inlineStr">
        <is>
          <t>Filled in (last 10 records)</t>
        </is>
      </c>
      <c r="O4" s="10" t="inlineStr">
        <is>
          <t>Example value</t>
        </is>
      </c>
      <c r="P4" s="10" t="inlineStr">
        <is>
          <t>Notes / limitations</t>
        </is>
      </c>
      <c r="Q4" s="10" t="inlineStr">
        <is>
          <t>Your review</t>
        </is>
      </c>
      <c r="R4" s="10" t="inlineStr">
        <is>
          <t>Your notes</t>
        </is>
      </c>
    </row>
    <row r="5">
      <c r="A5" s="11" t="n">
        <v>1</v>
      </c>
      <c r="B5" s="12" t="inlineStr">
        <is>
          <t>Contact</t>
        </is>
      </c>
      <c r="C5" s="13" t="inlineStr">
        <is>
          <t>Customer name</t>
        </is>
      </c>
      <c r="D5" s="14" t="inlineStr">
        <is>
          <t>Name of the company or homeowner. Used as the customer's name, to link the project to its parent, and as the first bill-to line on the estimate.</t>
        </is>
      </c>
      <c r="E5" s="11" t="inlineStr">
        <is>
          <t>✓</t>
        </is>
      </c>
      <c r="F5" s="11" t="inlineStr">
        <is>
          <t>✓</t>
        </is>
      </c>
      <c r="G5" s="11" t="inlineStr">
        <is>
          <t>✓</t>
        </is>
      </c>
      <c r="H5" s="14">
        <f>IF(COUNTA(E5:G5)=0,"",IF(COUNTA(E5:G5)=3,"All three",IF(COUNTA(E5:G5)=2,"Shared: "&amp;IF(E5&lt;&gt;"","Cust ","")&amp;IF(F5&lt;&gt;"","Proj ","")&amp;IF(G5&lt;&gt;"","Est",""),"Only "&amp;IF(E5&lt;&gt;"","Customer",IF(F5&lt;&gt;"","Project","Estimate")))))</f>
        <v/>
      </c>
      <c r="I5" s="14" t="inlineStr">
        <is>
          <t>DisplayName</t>
        </is>
      </c>
      <c r="J5" s="14" t="inlineStr">
        <is>
          <t>ParentRef.value (Id of this customer)</t>
        </is>
      </c>
      <c r="K5" s="14" t="inlineStr">
        <is>
          <t>BillAddr.Line1 ; CustomerRef if there's no project</t>
        </is>
      </c>
      <c r="L5" s="14" t="inlineStr">
        <is>
          <t>Required</t>
        </is>
      </c>
      <c r="M5" s="14" t="inlineStr"/>
      <c r="N5" s="14" t="inlineStr">
        <is>
          <t>10/10</t>
        </is>
      </c>
      <c r="O5" s="14" t="inlineStr">
        <is>
          <t>Scanlon Construction</t>
        </is>
      </c>
      <c r="P5" s="14" t="inlineStr">
        <is>
          <t>Must be unique across all Customers, Vendors and Employees. The flow searches for this name before creating a new customer.</t>
        </is>
      </c>
      <c r="Q5" s="15" t="inlineStr"/>
      <c r="R5" s="15" t="inlineStr"/>
    </row>
    <row r="6">
      <c r="A6" s="11" t="n">
        <v>2</v>
      </c>
      <c r="B6" s="12" t="inlineStr">
        <is>
          <t>Contact</t>
        </is>
      </c>
      <c r="C6" s="13" t="inlineStr">
        <is>
          <t>Company name</t>
        </is>
      </c>
      <c r="D6" s="14" t="inlineStr">
        <is>
          <t>Legal or business name, if it's different from the display name.</t>
        </is>
      </c>
      <c r="E6" s="11" t="inlineStr">
        <is>
          <t>✓</t>
        </is>
      </c>
      <c r="F6" s="11" t="inlineStr"/>
      <c r="G6" s="11" t="inlineStr"/>
      <c r="H6" s="14">
        <f>IF(COUNTA(E6:G6)=0,"",IF(COUNTA(E6:G6)=3,"All three",IF(COUNTA(E6:G6)=2,"Shared: "&amp;IF(E6&lt;&gt;"","Cust ","")&amp;IF(F6&lt;&gt;"","Proj ","")&amp;IF(G6&lt;&gt;"","Est",""),"Only "&amp;IF(E6&lt;&gt;"","Customer",IF(F6&lt;&gt;"","Project","Estimate")))))</f>
        <v/>
      </c>
      <c r="I6" s="14" t="inlineStr">
        <is>
          <t>CompanyName</t>
        </is>
      </c>
      <c r="J6" s="14" t="inlineStr"/>
      <c r="K6" s="14" t="inlineStr"/>
      <c r="L6" s="14" t="inlineStr">
        <is>
          <t>Optional</t>
        </is>
      </c>
      <c r="M6" s="14" t="inlineStr"/>
      <c r="N6" s="14" t="inlineStr">
        <is>
          <t>0/10</t>
        </is>
      </c>
      <c r="O6" s="14" t="inlineStr">
        <is>
          <t>Scanlon Construction Inc.</t>
        </is>
      </c>
      <c r="P6" s="14" t="inlineStr">
        <is>
          <t>The template workflow maps it, but recent records leave it blank.</t>
        </is>
      </c>
      <c r="Q6" s="15" t="inlineStr"/>
      <c r="R6" s="15" t="inlineStr"/>
    </row>
    <row r="7">
      <c r="A7" s="11" t="n">
        <v>3</v>
      </c>
      <c r="B7" s="12" t="inlineStr">
        <is>
          <t>Contact</t>
        </is>
      </c>
      <c r="C7" s="13" t="inlineStr">
        <is>
          <t>Contact first name</t>
        </is>
      </c>
      <c r="D7" s="14" t="inlineStr">
        <is>
          <t>Contact person's first name.</t>
        </is>
      </c>
      <c r="E7" s="11" t="inlineStr">
        <is>
          <t>✓</t>
        </is>
      </c>
      <c r="F7" s="11" t="inlineStr"/>
      <c r="G7" s="11" t="inlineStr"/>
      <c r="H7" s="14">
        <f>IF(COUNTA(E7:G7)=0,"",IF(COUNTA(E7:G7)=3,"All three",IF(COUNTA(E7:G7)=2,"Shared: "&amp;IF(E7&lt;&gt;"","Cust ","")&amp;IF(F7&lt;&gt;"","Proj ","")&amp;IF(G7&lt;&gt;"","Est",""),"Only "&amp;IF(E7&lt;&gt;"","Customer",IF(F7&lt;&gt;"","Project","Estimate")))))</f>
        <v/>
      </c>
      <c r="I7" s="14" t="inlineStr">
        <is>
          <t>GivenName</t>
        </is>
      </c>
      <c r="J7" s="14" t="inlineStr"/>
      <c r="K7" s="14" t="inlineStr"/>
      <c r="L7" s="14" t="inlineStr">
        <is>
          <t>Optional</t>
        </is>
      </c>
      <c r="M7" s="14" t="inlineStr"/>
      <c r="N7" s="14" t="inlineStr">
        <is>
          <t>0/10</t>
        </is>
      </c>
      <c r="O7" s="14" t="inlineStr">
        <is>
          <t>Rick</t>
        </is>
      </c>
      <c r="P7" s="14" t="inlineStr"/>
      <c r="Q7" s="15" t="inlineStr"/>
      <c r="R7" s="15" t="inlineStr"/>
    </row>
    <row r="8">
      <c r="A8" s="11" t="n">
        <v>4</v>
      </c>
      <c r="B8" s="12" t="inlineStr">
        <is>
          <t>Contact</t>
        </is>
      </c>
      <c r="C8" s="13" t="inlineStr">
        <is>
          <t>Contact last name</t>
        </is>
      </c>
      <c r="D8" s="14" t="inlineStr">
        <is>
          <t>Contact person's last name.</t>
        </is>
      </c>
      <c r="E8" s="11" t="inlineStr">
        <is>
          <t>✓</t>
        </is>
      </c>
      <c r="F8" s="11" t="inlineStr"/>
      <c r="G8" s="11" t="inlineStr"/>
      <c r="H8" s="14">
        <f>IF(COUNTA(E8:G8)=0,"",IF(COUNTA(E8:G8)=3,"All three",IF(COUNTA(E8:G8)=2,"Shared: "&amp;IF(E8&lt;&gt;"","Cust ","")&amp;IF(F8&lt;&gt;"","Proj ","")&amp;IF(G8&lt;&gt;"","Est",""),"Only "&amp;IF(E8&lt;&gt;"","Customer",IF(F8&lt;&gt;"","Project","Estimate")))))</f>
        <v/>
      </c>
      <c r="I8" s="14" t="inlineStr">
        <is>
          <t>FamilyName</t>
        </is>
      </c>
      <c r="J8" s="14" t="inlineStr"/>
      <c r="K8" s="14" t="inlineStr"/>
      <c r="L8" s="14" t="inlineStr">
        <is>
          <t>Optional</t>
        </is>
      </c>
      <c r="M8" s="14" t="inlineStr"/>
      <c r="N8" s="14" t="inlineStr">
        <is>
          <t>0/10</t>
        </is>
      </c>
      <c r="O8" s="14" t="inlineStr">
        <is>
          <t>Scanlon</t>
        </is>
      </c>
      <c r="P8" s="14" t="inlineStr"/>
      <c r="Q8" s="15" t="inlineStr"/>
      <c r="R8" s="15" t="inlineStr"/>
    </row>
    <row r="9">
      <c r="A9" s="11" t="n">
        <v>5</v>
      </c>
      <c r="B9" s="12" t="inlineStr">
        <is>
          <t>Contact</t>
        </is>
      </c>
      <c r="C9" s="13" t="inlineStr">
        <is>
          <t>Primary email</t>
        </is>
      </c>
      <c r="D9" s="14" t="inlineStr">
        <is>
          <t>Where estimates and invoices are sent. Copied onto the project, and used as the estimate's To address.</t>
        </is>
      </c>
      <c r="E9" s="11" t="inlineStr">
        <is>
          <t>✓</t>
        </is>
      </c>
      <c r="F9" s="11" t="inlineStr">
        <is>
          <t>✓</t>
        </is>
      </c>
      <c r="G9" s="11" t="inlineStr">
        <is>
          <t>✓</t>
        </is>
      </c>
      <c r="H9" s="14">
        <f>IF(COUNTA(E9:G9)=0,"",IF(COUNTA(E9:G9)=3,"All three",IF(COUNTA(E9:G9)=2,"Shared: "&amp;IF(E9&lt;&gt;"","Cust ","")&amp;IF(F9&lt;&gt;"","Proj ","")&amp;IF(G9&lt;&gt;"","Est",""),"Only "&amp;IF(E9&lt;&gt;"","Customer",IF(F9&lt;&gt;"","Project","Estimate")))))</f>
        <v/>
      </c>
      <c r="I9" s="14" t="inlineStr">
        <is>
          <t>PrimaryEmailAddr.Address</t>
        </is>
      </c>
      <c r="J9" s="14" t="inlineStr">
        <is>
          <t>PrimaryEmailAddr.Address</t>
        </is>
      </c>
      <c r="K9" s="14" t="inlineStr">
        <is>
          <t>BillEmail.Address</t>
        </is>
      </c>
      <c r="L9" s="14" t="inlineStr">
        <is>
          <t>Recommended</t>
        </is>
      </c>
      <c r="M9" s="14" t="inlineStr"/>
      <c r="N9" s="14" t="inlineStr">
        <is>
          <t>10/10</t>
        </is>
      </c>
      <c r="O9" s="14" t="inlineStr">
        <is>
          <t>rick@scanlonconstruction.com</t>
        </is>
      </c>
      <c r="P9" s="14" t="inlineStr">
        <is>
          <t>Some records hold 2 comma-separated addresses (e.g. Sierra Pacific).</t>
        </is>
      </c>
      <c r="Q9" s="15" t="inlineStr"/>
      <c r="R9" s="15" t="inlineStr"/>
    </row>
    <row r="10">
      <c r="A10" s="11" t="n">
        <v>6</v>
      </c>
      <c r="B10" s="12" t="inlineStr">
        <is>
          <t>Contact</t>
        </is>
      </c>
      <c r="C10" s="13" t="inlineStr">
        <is>
          <t>Phone</t>
        </is>
      </c>
      <c r="D10" s="14" t="inlineStr">
        <is>
          <t>Main phone number.</t>
        </is>
      </c>
      <c r="E10" s="11" t="inlineStr">
        <is>
          <t>✓</t>
        </is>
      </c>
      <c r="F10" s="11" t="inlineStr">
        <is>
          <t>✓</t>
        </is>
      </c>
      <c r="G10" s="11" t="inlineStr"/>
      <c r="H10" s="14">
        <f>IF(COUNTA(E10:G10)=0,"",IF(COUNTA(E10:G10)=3,"All three",IF(COUNTA(E10:G10)=2,"Shared: "&amp;IF(E10&lt;&gt;"","Cust ","")&amp;IF(F10&lt;&gt;"","Proj ","")&amp;IF(G10&lt;&gt;"","Est",""),"Only "&amp;IF(E10&lt;&gt;"","Customer",IF(F10&lt;&gt;"","Project","Estimate")))))</f>
        <v/>
      </c>
      <c r="I10" s="14" t="inlineStr">
        <is>
          <t>PrimaryPhone.FreeFormNumber</t>
        </is>
      </c>
      <c r="J10" s="14" t="inlineStr">
        <is>
          <t>PrimaryPhone.FreeFormNumber</t>
        </is>
      </c>
      <c r="K10" s="14" t="inlineStr"/>
      <c r="L10" s="14" t="inlineStr">
        <is>
          <t>Optional</t>
        </is>
      </c>
      <c r="M10" s="14" t="inlineStr"/>
      <c r="N10" s="14" t="inlineStr">
        <is>
          <t>0/10</t>
        </is>
      </c>
      <c r="O10" s="14" t="inlineStr">
        <is>
          <t>(818) 555-0100</t>
        </is>
      </c>
      <c r="P10" s="14" t="inlineStr">
        <is>
          <t>Not filled in on any recent record.</t>
        </is>
      </c>
      <c r="Q10" s="15" t="inlineStr"/>
      <c r="R10" s="15" t="inlineStr"/>
    </row>
    <row r="11">
      <c r="A11" s="11" t="n">
        <v>7</v>
      </c>
      <c r="B11" s="12" t="inlineStr">
        <is>
          <t>Contact</t>
        </is>
      </c>
      <c r="C11" s="13" t="inlineStr">
        <is>
          <t>Mobile</t>
        </is>
      </c>
      <c r="D11" s="14" t="inlineStr">
        <is>
          <t>Mobile number.</t>
        </is>
      </c>
      <c r="E11" s="11" t="inlineStr">
        <is>
          <t>✓</t>
        </is>
      </c>
      <c r="F11" s="11" t="inlineStr"/>
      <c r="G11" s="11" t="inlineStr"/>
      <c r="H11" s="14">
        <f>IF(COUNTA(E11:G11)=0,"",IF(COUNTA(E11:G11)=3,"All three",IF(COUNTA(E11:G11)=2,"Shared: "&amp;IF(E11&lt;&gt;"","Cust ","")&amp;IF(F11&lt;&gt;"","Proj ","")&amp;IF(G11&lt;&gt;"","Est",""),"Only "&amp;IF(E11&lt;&gt;"","Customer",IF(F11&lt;&gt;"","Project","Estimate")))))</f>
        <v/>
      </c>
      <c r="I11" s="14" t="inlineStr">
        <is>
          <t>Mobile.FreeFormNumber</t>
        </is>
      </c>
      <c r="J11" s="14" t="inlineStr"/>
      <c r="K11" s="14" t="inlineStr"/>
      <c r="L11" s="14" t="inlineStr">
        <is>
          <t>Optional</t>
        </is>
      </c>
      <c r="M11" s="14" t="inlineStr"/>
      <c r="N11" s="14" t="inlineStr">
        <is>
          <t>0/10</t>
        </is>
      </c>
      <c r="O11" s="14" t="inlineStr">
        <is>
          <t>(818) 555-0199</t>
        </is>
      </c>
      <c r="P11" s="14" t="inlineStr"/>
      <c r="Q11" s="15" t="inlineStr"/>
      <c r="R11" s="15" t="inlineStr"/>
    </row>
    <row r="12">
      <c r="A12" s="11" t="n">
        <v>8</v>
      </c>
      <c r="B12" s="16" t="inlineStr">
        <is>
          <t>Address</t>
        </is>
      </c>
      <c r="C12" s="13" t="inlineStr">
        <is>
          <t>Billing street</t>
        </is>
      </c>
      <c r="D12" s="14" t="inlineStr">
        <is>
          <t>Customer's billing address, printed as bill-to line 2 on the estimate.</t>
        </is>
      </c>
      <c r="E12" s="11" t="inlineStr">
        <is>
          <t>✓</t>
        </is>
      </c>
      <c r="F12" s="11" t="inlineStr"/>
      <c r="G12" s="11" t="inlineStr">
        <is>
          <t>✓</t>
        </is>
      </c>
      <c r="H12" s="14">
        <f>IF(COUNTA(E12:G12)=0,"",IF(COUNTA(E12:G12)=3,"All three",IF(COUNTA(E12:G12)=2,"Shared: "&amp;IF(E12&lt;&gt;"","Cust ","")&amp;IF(F12&lt;&gt;"","Proj ","")&amp;IF(G12&lt;&gt;"","Est",""),"Only "&amp;IF(E12&lt;&gt;"","Customer",IF(F12&lt;&gt;"","Project","Estimate")))))</f>
        <v/>
      </c>
      <c r="I12" s="14" t="inlineStr">
        <is>
          <t>BillAddr.Line1</t>
        </is>
      </c>
      <c r="J12" s="14" t="inlineStr"/>
      <c r="K12" s="14" t="inlineStr">
        <is>
          <t>BillAddr.Line2</t>
        </is>
      </c>
      <c r="L12" s="14" t="inlineStr">
        <is>
          <t>Recommended</t>
        </is>
      </c>
      <c r="M12" s="14" t="inlineStr"/>
      <c r="N12" s="14" t="inlineStr">
        <is>
          <t>4/4 parents</t>
        </is>
      </c>
      <c r="O12" s="14" t="inlineStr">
        <is>
          <t>10650 Overman Avenue</t>
        </is>
      </c>
      <c r="P12" s="14" t="inlineStr">
        <is>
          <t>The estimate stores the address as free-form text lines.</t>
        </is>
      </c>
      <c r="Q12" s="15" t="inlineStr"/>
      <c r="R12" s="15" t="inlineStr"/>
    </row>
    <row r="13">
      <c r="A13" s="11" t="n">
        <v>9</v>
      </c>
      <c r="B13" s="16" t="inlineStr">
        <is>
          <t>Address</t>
        </is>
      </c>
      <c r="C13" s="13" t="inlineStr">
        <is>
          <t>Billing city</t>
        </is>
      </c>
      <c r="D13" s="14" t="inlineStr">
        <is>
          <t>Billing city.</t>
        </is>
      </c>
      <c r="E13" s="11" t="inlineStr">
        <is>
          <t>✓</t>
        </is>
      </c>
      <c r="F13" s="11" t="inlineStr"/>
      <c r="G13" s="11" t="inlineStr">
        <is>
          <t>✓</t>
        </is>
      </c>
      <c r="H13" s="14">
        <f>IF(COUNTA(E13:G13)=0,"",IF(COUNTA(E13:G13)=3,"All three",IF(COUNTA(E13:G13)=2,"Shared: "&amp;IF(E13&lt;&gt;"","Cust ","")&amp;IF(F13&lt;&gt;"","Proj ","")&amp;IF(G13&lt;&gt;"","Est",""),"Only "&amp;IF(E13&lt;&gt;"","Customer",IF(F13&lt;&gt;"","Project","Estimate")))))</f>
        <v/>
      </c>
      <c r="I13" s="14" t="inlineStr">
        <is>
          <t>BillAddr.City</t>
        </is>
      </c>
      <c r="J13" s="14" t="inlineStr"/>
      <c r="K13" s="14" t="inlineStr">
        <is>
          <t>BillAddr.Line3 ("City, ST Zip")</t>
        </is>
      </c>
      <c r="L13" s="14" t="inlineStr">
        <is>
          <t>Recommended</t>
        </is>
      </c>
      <c r="M13" s="14" t="inlineStr"/>
      <c r="N13" s="14" t="inlineStr">
        <is>
          <t>4/4 parents</t>
        </is>
      </c>
      <c r="O13" s="14" t="inlineStr">
        <is>
          <t>Chatsworth</t>
        </is>
      </c>
      <c r="P13" s="14" t="inlineStr"/>
      <c r="Q13" s="15" t="inlineStr"/>
      <c r="R13" s="15" t="inlineStr"/>
    </row>
    <row r="14">
      <c r="A14" s="11" t="n">
        <v>10</v>
      </c>
      <c r="B14" s="16" t="inlineStr">
        <is>
          <t>Address</t>
        </is>
      </c>
      <c r="C14" s="13" t="inlineStr">
        <is>
          <t>Billing state</t>
        </is>
      </c>
      <c r="D14" s="14" t="inlineStr">
        <is>
          <t>Billing state.</t>
        </is>
      </c>
      <c r="E14" s="11" t="inlineStr">
        <is>
          <t>✓</t>
        </is>
      </c>
      <c r="F14" s="11" t="inlineStr"/>
      <c r="G14" s="11" t="inlineStr">
        <is>
          <t>✓</t>
        </is>
      </c>
      <c r="H14" s="14">
        <f>IF(COUNTA(E14:G14)=0,"",IF(COUNTA(E14:G14)=3,"All three",IF(COUNTA(E14:G14)=2,"Shared: "&amp;IF(E14&lt;&gt;"","Cust ","")&amp;IF(F14&lt;&gt;"","Proj ","")&amp;IF(G14&lt;&gt;"","Est",""),"Only "&amp;IF(E14&lt;&gt;"","Customer",IF(F14&lt;&gt;"","Project","Estimate")))))</f>
        <v/>
      </c>
      <c r="I14" s="14" t="inlineStr">
        <is>
          <t>BillAddr.CountrySubDivisionCode</t>
        </is>
      </c>
      <c r="J14" s="14" t="inlineStr"/>
      <c r="K14" s="14" t="inlineStr">
        <is>
          <t>BillAddr.Line3</t>
        </is>
      </c>
      <c r="L14" s="14" t="inlineStr">
        <is>
          <t>Recommended</t>
        </is>
      </c>
      <c r="M14" s="14" t="inlineStr"/>
      <c r="N14" s="14" t="inlineStr">
        <is>
          <t>4/4 parents</t>
        </is>
      </c>
      <c r="O14" s="14" t="inlineStr">
        <is>
          <t>CA</t>
        </is>
      </c>
      <c r="P14" s="14" t="inlineStr"/>
      <c r="Q14" s="15" t="inlineStr"/>
      <c r="R14" s="15" t="inlineStr"/>
    </row>
    <row r="15">
      <c r="A15" s="11" t="n">
        <v>11</v>
      </c>
      <c r="B15" s="16" t="inlineStr">
        <is>
          <t>Address</t>
        </is>
      </c>
      <c r="C15" s="13" t="inlineStr">
        <is>
          <t>Billing ZIP</t>
        </is>
      </c>
      <c r="D15" s="14" t="inlineStr">
        <is>
          <t>Billing ZIP code.</t>
        </is>
      </c>
      <c r="E15" s="11" t="inlineStr">
        <is>
          <t>✓</t>
        </is>
      </c>
      <c r="F15" s="11" t="inlineStr"/>
      <c r="G15" s="11" t="inlineStr">
        <is>
          <t>✓</t>
        </is>
      </c>
      <c r="H15" s="14">
        <f>IF(COUNTA(E15:G15)=0,"",IF(COUNTA(E15:G15)=3,"All three",IF(COUNTA(E15:G15)=2,"Shared: "&amp;IF(E15&lt;&gt;"","Cust ","")&amp;IF(F15&lt;&gt;"","Proj ","")&amp;IF(G15&lt;&gt;"","Est",""),"Only "&amp;IF(E15&lt;&gt;"","Customer",IF(F15&lt;&gt;"","Project","Estimate")))))</f>
        <v/>
      </c>
      <c r="I15" s="14" t="inlineStr">
        <is>
          <t>BillAddr.PostalCode</t>
        </is>
      </c>
      <c r="J15" s="14" t="inlineStr"/>
      <c r="K15" s="14" t="inlineStr">
        <is>
          <t>BillAddr.Line3</t>
        </is>
      </c>
      <c r="L15" s="14" t="inlineStr">
        <is>
          <t>Recommended</t>
        </is>
      </c>
      <c r="M15" s="14" t="inlineStr"/>
      <c r="N15" s="14" t="inlineStr">
        <is>
          <t>4/4 parents</t>
        </is>
      </c>
      <c r="O15" s="14" t="inlineStr">
        <is>
          <t>91311</t>
        </is>
      </c>
      <c r="P15" s="14" t="inlineStr"/>
      <c r="Q15" s="15" t="inlineStr"/>
      <c r="R15" s="15" t="inlineStr"/>
    </row>
    <row r="16">
      <c r="A16" s="11" t="n">
        <v>12</v>
      </c>
      <c r="B16" s="16" t="inlineStr">
        <is>
          <t>Address</t>
        </is>
      </c>
      <c r="C16" s="13" t="inlineStr">
        <is>
          <t>Ship-to name</t>
        </is>
      </c>
      <c r="D16" s="14" t="inlineStr">
        <is>
          <t>First line of the ship-to address. This is the customer name, or 'Local Pickup'.</t>
        </is>
      </c>
      <c r="E16" s="11" t="inlineStr">
        <is>
          <t>✓</t>
        </is>
      </c>
      <c r="F16" s="11" t="inlineStr"/>
      <c r="G16" s="11" t="inlineStr">
        <is>
          <t>✓</t>
        </is>
      </c>
      <c r="H16" s="14">
        <f>IF(COUNTA(E16:G16)=0,"",IF(COUNTA(E16:G16)=3,"All three",IF(COUNTA(E16:G16)=2,"Shared: "&amp;IF(E16&lt;&gt;"","Cust ","")&amp;IF(F16&lt;&gt;"","Proj ","")&amp;IF(G16&lt;&gt;"","Est",""),"Only "&amp;IF(E16&lt;&gt;"","Customer",IF(F16&lt;&gt;"","Project","Estimate")))))</f>
        <v/>
      </c>
      <c r="I16" s="14" t="inlineStr">
        <is>
          <t>ShipAddr (default)</t>
        </is>
      </c>
      <c r="J16" s="14" t="inlineStr"/>
      <c r="K16" s="14" t="inlineStr">
        <is>
          <t>ShipAddr.Line1</t>
        </is>
      </c>
      <c r="L16" s="14" t="inlineStr">
        <is>
          <t>Recommended</t>
        </is>
      </c>
      <c r="M16" s="14" t="inlineStr"/>
      <c r="N16" s="14" t="inlineStr">
        <is>
          <t>10/10</t>
        </is>
      </c>
      <c r="O16" s="14" t="inlineStr">
        <is>
          <t>Local Pickup</t>
        </is>
      </c>
      <c r="P16" s="14" t="inlineStr"/>
      <c r="Q16" s="15" t="inlineStr"/>
      <c r="R16" s="15" t="inlineStr"/>
    </row>
    <row r="17">
      <c r="A17" s="11" t="n">
        <v>13</v>
      </c>
      <c r="B17" s="16" t="inlineStr">
        <is>
          <t>Address</t>
        </is>
      </c>
      <c r="C17" s="13" t="inlineStr">
        <is>
          <t>Job site / ship-to street</t>
        </is>
      </c>
      <c r="D17" s="14" t="inlineStr">
        <is>
          <t>Where the product is delivered.</t>
        </is>
      </c>
      <c r="E17" s="11" t="inlineStr">
        <is>
          <t>✓</t>
        </is>
      </c>
      <c r="F17" s="11" t="inlineStr">
        <is>
          <t>✓</t>
        </is>
      </c>
      <c r="G17" s="11" t="inlineStr">
        <is>
          <t>✓</t>
        </is>
      </c>
      <c r="H17" s="14">
        <f>IF(COUNTA(E17:G17)=0,"",IF(COUNTA(E17:G17)=3,"All three",IF(COUNTA(E17:G17)=2,"Shared: "&amp;IF(E17&lt;&gt;"","Cust ","")&amp;IF(F17&lt;&gt;"","Proj ","")&amp;IF(G17&lt;&gt;"","Est",""),"Only "&amp;IF(E17&lt;&gt;"","Customer",IF(F17&lt;&gt;"","Project","Estimate")))))</f>
        <v/>
      </c>
      <c r="I17" s="14" t="inlineStr">
        <is>
          <t>ShipAddr.Line1</t>
        </is>
      </c>
      <c r="J17" s="14" t="inlineStr">
        <is>
          <t>ShipAddr.Line1</t>
        </is>
      </c>
      <c r="K17" s="14" t="inlineStr">
        <is>
          <t>ShipAddr.Line2</t>
        </is>
      </c>
      <c r="L17" s="14" t="inlineStr">
        <is>
          <t>Recommended</t>
        </is>
      </c>
      <c r="M17" s="14" t="inlineStr"/>
      <c r="N17" s="14" t="inlineStr">
        <is>
          <t>10/10 est ; 0/6 proj</t>
        </is>
      </c>
      <c r="O17" s="14" t="inlineStr">
        <is>
          <t>3415 Bellington Rd.</t>
        </is>
      </c>
      <c r="P17" s="14" t="inlineStr">
        <is>
          <t>Projects don't have an address today. Decide whether to save the job site on the project too.</t>
        </is>
      </c>
      <c r="Q17" s="15" t="inlineStr"/>
      <c r="R17" s="15" t="inlineStr"/>
    </row>
    <row r="18">
      <c r="A18" s="11" t="n">
        <v>14</v>
      </c>
      <c r="B18" s="16" t="inlineStr">
        <is>
          <t>Address</t>
        </is>
      </c>
      <c r="C18" s="13" t="inlineStr">
        <is>
          <t>Job site / ship-to city, state, ZIP</t>
        </is>
      </c>
      <c r="D18" s="14" t="inlineStr">
        <is>
          <t>Rest of the delivery address.</t>
        </is>
      </c>
      <c r="E18" s="11" t="inlineStr">
        <is>
          <t>✓</t>
        </is>
      </c>
      <c r="F18" s="11" t="inlineStr">
        <is>
          <t>✓</t>
        </is>
      </c>
      <c r="G18" s="11" t="inlineStr">
        <is>
          <t>✓</t>
        </is>
      </c>
      <c r="H18" s="14">
        <f>IF(COUNTA(E18:G18)=0,"",IF(COUNTA(E18:G18)=3,"All three",IF(COUNTA(E18:G18)=2,"Shared: "&amp;IF(E18&lt;&gt;"","Cust ","")&amp;IF(F18&lt;&gt;"","Proj ","")&amp;IF(G18&lt;&gt;"","Est",""),"Only "&amp;IF(E18&lt;&gt;"","Customer",IF(F18&lt;&gt;"","Project","Estimate")))))</f>
        <v/>
      </c>
      <c r="I18" s="14" t="inlineStr">
        <is>
          <t>ShipAddr.City / CountrySubDivisionCode / PostalCode</t>
        </is>
      </c>
      <c r="J18" s="14" t="inlineStr">
        <is>
          <t>ShipAddr.City / CountrySubDivisionCode / PostalCode</t>
        </is>
      </c>
      <c r="K18" s="14" t="inlineStr">
        <is>
          <t>ShipAddr.Line3</t>
        </is>
      </c>
      <c r="L18" s="14" t="inlineStr">
        <is>
          <t>Recommended</t>
        </is>
      </c>
      <c r="M18" s="14" t="inlineStr"/>
      <c r="N18" s="14" t="inlineStr">
        <is>
          <t>10/10 est ; 0/6 proj</t>
        </is>
      </c>
      <c r="O18" s="14" t="inlineStr">
        <is>
          <t>Chatsworth, CA 91311</t>
        </is>
      </c>
      <c r="P18" s="14" t="inlineStr"/>
      <c r="Q18" s="15" t="inlineStr"/>
      <c r="R18" s="15" t="inlineStr"/>
    </row>
    <row r="19">
      <c r="A19" s="11" t="n">
        <v>15</v>
      </c>
      <c r="B19" s="16" t="inlineStr">
        <is>
          <t>Address</t>
        </is>
      </c>
      <c r="C19" s="13" t="inlineStr">
        <is>
          <t>Ship-from address</t>
        </is>
      </c>
      <c r="D19" s="14" t="inlineStr">
        <is>
          <t>Warehouse the order ships from.</t>
        </is>
      </c>
      <c r="E19" s="11" t="inlineStr"/>
      <c r="F19" s="11" t="inlineStr"/>
      <c r="G19" s="11" t="inlineStr">
        <is>
          <t>✓</t>
        </is>
      </c>
      <c r="H19" s="14">
        <f>IF(COUNTA(E19:G19)=0,"",IF(COUNTA(E19:G19)=3,"All three",IF(COUNTA(E19:G19)=2,"Shared: "&amp;IF(E19&lt;&gt;"","Cust ","")&amp;IF(F19&lt;&gt;"","Proj ","")&amp;IF(G19&lt;&gt;"","Est",""),"Only "&amp;IF(E19&lt;&gt;"","Customer",IF(F19&lt;&gt;"","Project","Estimate")))))</f>
        <v/>
      </c>
      <c r="I19" s="14" t="inlineStr"/>
      <c r="J19" s="14" t="inlineStr"/>
      <c r="K19" s="14" t="inlineStr">
        <is>
          <t>ShipFromAddr</t>
        </is>
      </c>
      <c r="L19" s="14" t="inlineStr">
        <is>
          <t>Optional</t>
        </is>
      </c>
      <c r="M19" s="14" t="inlineStr"/>
      <c r="N19" s="14" t="inlineStr">
        <is>
          <t>1/10</t>
        </is>
      </c>
      <c r="O19" s="14" t="inlineStr">
        <is>
          <t>3415 Bellington Rd.</t>
        </is>
      </c>
      <c r="P19" s="14" t="inlineStr"/>
      <c r="Q19" s="15" t="inlineStr"/>
      <c r="R19" s="15" t="inlineStr"/>
    </row>
    <row r="20">
      <c r="A20" s="11" t="n">
        <v>16</v>
      </c>
      <c r="B20" s="17" t="inlineStr">
        <is>
          <t>Tax &amp; billing</t>
        </is>
      </c>
      <c r="C20" s="13" t="inlineStr">
        <is>
          <t>Customer type</t>
        </is>
      </c>
      <c r="D20" s="14" t="inlineStr">
        <is>
          <t>Groups customers, e.g. dealers.</t>
        </is>
      </c>
      <c r="E20" s="11" t="inlineStr">
        <is>
          <t>✓</t>
        </is>
      </c>
      <c r="F20" s="11" t="inlineStr">
        <is>
          <t>✓</t>
        </is>
      </c>
      <c r="G20" s="11" t="inlineStr"/>
      <c r="H20" s="14">
        <f>IF(COUNTA(E20:G20)=0,"",IF(COUNTA(E20:G20)=3,"All three",IF(COUNTA(E20:G20)=2,"Shared: "&amp;IF(E20&lt;&gt;"","Cust ","")&amp;IF(F20&lt;&gt;"","Proj ","")&amp;IF(G20&lt;&gt;"","Est",""),"Only "&amp;IF(E20&lt;&gt;"","Customer",IF(F20&lt;&gt;"","Project","Estimate")))))</f>
        <v/>
      </c>
      <c r="I20" s="14" t="inlineStr">
        <is>
          <t>CustomerTypeRef.value</t>
        </is>
      </c>
      <c r="J20" s="14" t="inlineStr">
        <is>
          <t>CustomerTypeRef.value (inherited)</t>
        </is>
      </c>
      <c r="K20" s="14" t="inlineStr"/>
      <c r="L20" s="14" t="inlineStr">
        <is>
          <t>Optional</t>
        </is>
      </c>
      <c r="M20" s="14" t="inlineStr"/>
      <c r="N20" s="14" t="inlineStr">
        <is>
          <t>4/10</t>
        </is>
      </c>
      <c r="O20" s="14" t="inlineStr">
        <is>
          <t>573164 (dealer)</t>
        </is>
      </c>
      <c r="P20" s="14" t="inlineStr">
        <is>
          <t>Used on Woodgrain, Sierra Pacific and Tier One. Look up the type names in QBO.</t>
        </is>
      </c>
      <c r="Q20" s="15" t="inlineStr"/>
      <c r="R20" s="15" t="inlineStr"/>
    </row>
    <row r="21">
      <c r="A21" s="11" t="n">
        <v>17</v>
      </c>
      <c r="B21" s="17" t="inlineStr">
        <is>
          <t>Tax &amp; billing</t>
        </is>
      </c>
      <c r="C21" s="13" t="inlineStr">
        <is>
          <t>Taxable</t>
        </is>
      </c>
      <c r="D21" s="14" t="inlineStr">
        <is>
          <t>Whether sales tax applies.</t>
        </is>
      </c>
      <c r="E21" s="11" t="inlineStr">
        <is>
          <t>✓</t>
        </is>
      </c>
      <c r="F21" s="11" t="inlineStr">
        <is>
          <t>✓</t>
        </is>
      </c>
      <c r="G21" s="11" t="inlineStr">
        <is>
          <t>✓</t>
        </is>
      </c>
      <c r="H21" s="14">
        <f>IF(COUNTA(E21:G21)=0,"",IF(COUNTA(E21:G21)=3,"All three",IF(COUNTA(E21:G21)=2,"Shared: "&amp;IF(E21&lt;&gt;"","Cust ","")&amp;IF(F21&lt;&gt;"","Proj ","")&amp;IF(G21&lt;&gt;"","Est",""),"Only "&amp;IF(E21&lt;&gt;"","Customer",IF(F21&lt;&gt;"","Project","Estimate")))))</f>
        <v/>
      </c>
      <c r="I21" s="14" t="inlineStr">
        <is>
          <t>Taxable (true)</t>
        </is>
      </c>
      <c r="J21" s="14" t="inlineStr">
        <is>
          <t>Taxable (false)</t>
        </is>
      </c>
      <c r="K21" s="14" t="inlineStr">
        <is>
          <t>Line TaxCodeRef = TAX</t>
        </is>
      </c>
      <c r="L21" s="14" t="inlineStr">
        <is>
          <t>Recommended</t>
        </is>
      </c>
      <c r="M21" s="14" t="inlineStr"/>
      <c r="N21" s="14" t="inlineStr">
        <is>
          <t>10/10</t>
        </is>
      </c>
      <c r="O21" s="14" t="inlineStr">
        <is>
          <t>true / false</t>
        </is>
      </c>
      <c r="P21" s="14" t="inlineStr">
        <is>
          <t>Parent customers are taxable. Projects are not.</t>
        </is>
      </c>
      <c r="Q21" s="15" t="inlineStr"/>
      <c r="R21" s="15" t="inlineStr"/>
    </row>
    <row r="22">
      <c r="A22" s="11" t="n">
        <v>18</v>
      </c>
      <c r="B22" s="17" t="inlineStr">
        <is>
          <t>Tax &amp; billing</t>
        </is>
      </c>
      <c r="C22" s="13" t="inlineStr">
        <is>
          <t>Tax code</t>
        </is>
      </c>
      <c r="D22" s="14" t="inlineStr">
        <is>
          <t>Default sales tax code.</t>
        </is>
      </c>
      <c r="E22" s="11" t="inlineStr">
        <is>
          <t>✓</t>
        </is>
      </c>
      <c r="F22" s="11" t="inlineStr">
        <is>
          <t>✓</t>
        </is>
      </c>
      <c r="G22" s="11" t="inlineStr">
        <is>
          <t>✓</t>
        </is>
      </c>
      <c r="H22" s="14">
        <f>IF(COUNTA(E22:G22)=0,"",IF(COUNTA(E22:G22)=3,"All three",IF(COUNTA(E22:G22)=2,"Shared: "&amp;IF(E22&lt;&gt;"","Cust ","")&amp;IF(F22&lt;&gt;"","Proj ","")&amp;IF(G22&lt;&gt;"","Est",""),"Only "&amp;IF(E22&lt;&gt;"","Customer",IF(F22&lt;&gt;"","Project","Estimate")))))</f>
        <v/>
      </c>
      <c r="I22" s="14" t="inlineStr">
        <is>
          <t>DefaultTaxCodeRef</t>
        </is>
      </c>
      <c r="J22" s="14" t="inlineStr">
        <is>
          <t>DefaultTaxCodeRef</t>
        </is>
      </c>
      <c r="K22" s="14" t="inlineStr">
        <is>
          <t>TxnTaxDetail.TxnTaxCodeRef</t>
        </is>
      </c>
      <c r="L22" s="14" t="inlineStr">
        <is>
          <t>Recommended</t>
        </is>
      </c>
      <c r="M22" s="14" t="inlineStr"/>
      <c r="N22" s="14" t="inlineStr">
        <is>
          <t>10/10</t>
        </is>
      </c>
      <c r="O22" s="14" t="inlineStr">
        <is>
          <t>999</t>
        </is>
      </c>
      <c r="P22" s="14" t="inlineStr">
        <is>
          <t>Tax rate 1174 at 0%.</t>
        </is>
      </c>
      <c r="Q22" s="15" t="inlineStr"/>
      <c r="R22" s="15" t="inlineStr"/>
    </row>
    <row r="23">
      <c r="A23" s="11" t="n">
        <v>19</v>
      </c>
      <c r="B23" s="17" t="inlineStr">
        <is>
          <t>Tax &amp; billing</t>
        </is>
      </c>
      <c r="C23" s="13" t="inlineStr">
        <is>
          <t>Payment terms</t>
        </is>
      </c>
      <c r="D23" s="14" t="inlineStr">
        <is>
          <t>Payment terms (Net 30, etc.).</t>
        </is>
      </c>
      <c r="E23" s="11" t="inlineStr">
        <is>
          <t>✓</t>
        </is>
      </c>
      <c r="F23" s="11" t="inlineStr"/>
      <c r="G23" s="11" t="inlineStr">
        <is>
          <t>✓</t>
        </is>
      </c>
      <c r="H23" s="14">
        <f>IF(COUNTA(E23:G23)=0,"",IF(COUNTA(E23:G23)=3,"All three",IF(COUNTA(E23:G23)=2,"Shared: "&amp;IF(E23&lt;&gt;"","Cust ","")&amp;IF(F23&lt;&gt;"","Proj ","")&amp;IF(G23&lt;&gt;"","Est",""),"Only "&amp;IF(E23&lt;&gt;"","Customer",IF(F23&lt;&gt;"","Project","Estimate")))))</f>
        <v/>
      </c>
      <c r="I23" s="14" t="inlineStr">
        <is>
          <t>SalesTermRef</t>
        </is>
      </c>
      <c r="J23" s="14" t="inlineStr"/>
      <c r="K23" s="14" t="inlineStr">
        <is>
          <t>SalesTermRef</t>
        </is>
      </c>
      <c r="L23" s="14" t="inlineStr">
        <is>
          <t>Optional</t>
        </is>
      </c>
      <c r="M23" s="14" t="inlineStr"/>
      <c r="N23" s="14" t="inlineStr">
        <is>
          <t>0/10</t>
        </is>
      </c>
      <c r="O23" s="14" t="inlineStr">
        <is>
          <t>41 (company default)</t>
        </is>
      </c>
      <c r="P23" s="14" t="inlineStr"/>
      <c r="Q23" s="15" t="inlineStr"/>
      <c r="R23" s="15" t="inlineStr"/>
    </row>
    <row r="24">
      <c r="A24" s="11" t="n">
        <v>20</v>
      </c>
      <c r="B24" s="17" t="inlineStr">
        <is>
          <t>Tax &amp; billing</t>
        </is>
      </c>
      <c r="C24" s="13" t="inlineStr">
        <is>
          <t>Preferred delivery method</t>
        </is>
      </c>
      <c r="D24" s="14" t="inlineStr">
        <is>
          <t>How forms are sent by default.</t>
        </is>
      </c>
      <c r="E24" s="11" t="inlineStr">
        <is>
          <t>✓</t>
        </is>
      </c>
      <c r="F24" s="11" t="inlineStr">
        <is>
          <t>✓</t>
        </is>
      </c>
      <c r="G24" s="11" t="inlineStr"/>
      <c r="H24" s="14">
        <f>IF(COUNTA(E24:G24)=0,"",IF(COUNTA(E24:G24)=3,"All three",IF(COUNTA(E24:G24)=2,"Shared: "&amp;IF(E24&lt;&gt;"","Cust ","")&amp;IF(F24&lt;&gt;"","Proj ","")&amp;IF(G24&lt;&gt;"","Est",""),"Only "&amp;IF(E24&lt;&gt;"","Customer",IF(F24&lt;&gt;"","Project","Estimate")))))</f>
        <v/>
      </c>
      <c r="I24" s="14" t="inlineStr">
        <is>
          <t>PreferredDeliveryMethod</t>
        </is>
      </c>
      <c r="J24" s="14" t="inlineStr">
        <is>
          <t>PreferredDeliveryMethod</t>
        </is>
      </c>
      <c r="K24" s="14" t="inlineStr"/>
      <c r="L24" s="14" t="inlineStr">
        <is>
          <t>Optional</t>
        </is>
      </c>
      <c r="M24" s="14" t="inlineStr"/>
      <c r="N24" s="14" t="inlineStr">
        <is>
          <t>10/10</t>
        </is>
      </c>
      <c r="O24" s="14" t="inlineStr">
        <is>
          <t>Print</t>
        </is>
      </c>
      <c r="P24" s="14" t="inlineStr"/>
      <c r="Q24" s="15" t="inlineStr"/>
      <c r="R24" s="15" t="inlineStr"/>
    </row>
    <row r="25">
      <c r="A25" s="11" t="n">
        <v>21</v>
      </c>
      <c r="B25" s="17" t="inlineStr">
        <is>
          <t>Tax &amp; billing</t>
        </is>
      </c>
      <c r="C25" s="13" t="inlineStr">
        <is>
          <t>Resale number</t>
        </is>
      </c>
      <c r="D25" s="14" t="inlineStr">
        <is>
          <t>Resale certificate number for tax-exempt dealers.</t>
        </is>
      </c>
      <c r="E25" s="11" t="inlineStr">
        <is>
          <t>✓</t>
        </is>
      </c>
      <c r="F25" s="11" t="inlineStr"/>
      <c r="G25" s="11" t="inlineStr"/>
      <c r="H25" s="14">
        <f>IF(COUNTA(E25:G25)=0,"",IF(COUNTA(E25:G25)=3,"All three",IF(COUNTA(E25:G25)=2,"Shared: "&amp;IF(E25&lt;&gt;"","Cust ","")&amp;IF(F25&lt;&gt;"","Proj ","")&amp;IF(G25&lt;&gt;"","Est",""),"Only "&amp;IF(E25&lt;&gt;"","Customer",IF(F25&lt;&gt;"","Project","Estimate")))))</f>
        <v/>
      </c>
      <c r="I25" s="14" t="inlineStr">
        <is>
          <t>ResaleNum</t>
        </is>
      </c>
      <c r="J25" s="14" t="inlineStr"/>
      <c r="K25" s="14" t="inlineStr"/>
      <c r="L25" s="14" t="inlineStr">
        <is>
          <t>Optional</t>
        </is>
      </c>
      <c r="M25" s="14" t="inlineStr"/>
      <c r="N25" s="14" t="inlineStr">
        <is>
          <t>0/10</t>
        </is>
      </c>
      <c r="O25" s="14" t="inlineStr">
        <is>
          <t>SR-123456</t>
        </is>
      </c>
      <c r="P25" s="14" t="inlineStr"/>
      <c r="Q25" s="15" t="inlineStr"/>
      <c r="R25" s="15" t="inlineStr"/>
    </row>
    <row r="26">
      <c r="A26" s="11" t="n">
        <v>22</v>
      </c>
      <c r="B26" s="17" t="inlineStr">
        <is>
          <t>Tax &amp; billing</t>
        </is>
      </c>
      <c r="C26" s="13" t="inlineStr">
        <is>
          <t>Customer / project notes</t>
        </is>
      </c>
      <c r="D26" s="14" t="inlineStr">
        <is>
          <t>Internal notes on the record.</t>
        </is>
      </c>
      <c r="E26" s="11" t="inlineStr">
        <is>
          <t>✓</t>
        </is>
      </c>
      <c r="F26" s="11" t="inlineStr">
        <is>
          <t>✓</t>
        </is>
      </c>
      <c r="G26" s="11" t="inlineStr"/>
      <c r="H26" s="14">
        <f>IF(COUNTA(E26:G26)=0,"",IF(COUNTA(E26:G26)=3,"All three",IF(COUNTA(E26:G26)=2,"Shared: "&amp;IF(E26&lt;&gt;"","Cust ","")&amp;IF(F26&lt;&gt;"","Proj ","")&amp;IF(G26&lt;&gt;"","Est",""),"Only "&amp;IF(E26&lt;&gt;"","Customer",IF(F26&lt;&gt;"","Project","Estimate")))))</f>
        <v/>
      </c>
      <c r="I26" s="14" t="inlineStr">
        <is>
          <t>Notes</t>
        </is>
      </c>
      <c r="J26" s="14" t="inlineStr">
        <is>
          <t>Notes</t>
        </is>
      </c>
      <c r="K26" s="14" t="inlineStr"/>
      <c r="L26" s="14" t="inlineStr">
        <is>
          <t>Optional</t>
        </is>
      </c>
      <c r="M26" s="14" t="inlineStr"/>
      <c r="N26" s="14" t="inlineStr">
        <is>
          <t>0/10</t>
        </is>
      </c>
      <c r="O26" s="14" t="inlineStr">
        <is>
          <t>Prefers delivery AM</t>
        </is>
      </c>
      <c r="P26" s="14" t="inlineStr"/>
      <c r="Q26" s="15" t="inlineStr"/>
      <c r="R26" s="15" t="inlineStr"/>
    </row>
    <row r="27">
      <c r="A27" s="11" t="n">
        <v>23</v>
      </c>
      <c r="B27" s="18" t="inlineStr">
        <is>
          <t>Project setup</t>
        </is>
      </c>
      <c r="C27" s="13" t="inlineStr">
        <is>
          <t>Project name</t>
        </is>
      </c>
      <c r="D27" s="14" t="inlineStr">
        <is>
          <t>Name of the job, usually the site address or the dealer's PO #. The estimate is assigned to this project.</t>
        </is>
      </c>
      <c r="E27" s="11" t="inlineStr"/>
      <c r="F27" s="11" t="inlineStr">
        <is>
          <t>✓</t>
        </is>
      </c>
      <c r="G27" s="11" t="inlineStr">
        <is>
          <t>✓</t>
        </is>
      </c>
      <c r="H27" s="14">
        <f>IF(COUNTA(E27:G27)=0,"",IF(COUNTA(E27:G27)=3,"All three",IF(COUNTA(E27:G27)=2,"Shared: "&amp;IF(E27&lt;&gt;"","Cust ","")&amp;IF(F27&lt;&gt;"","Proj ","")&amp;IF(G27&lt;&gt;"","Est",""),"Only "&amp;IF(E27&lt;&gt;"","Customer",IF(F27&lt;&gt;"","Project","Estimate")))))</f>
        <v/>
      </c>
      <c r="I27" s="14" t="inlineStr"/>
      <c r="J27" s="14" t="inlineStr">
        <is>
          <t>DisplayName</t>
        </is>
      </c>
      <c r="K27" s="14" t="inlineStr">
        <is>
          <t>CustomerRef.value (the project Id)</t>
        </is>
      </c>
      <c r="L27" s="14" t="inlineStr">
        <is>
          <t>Required</t>
        </is>
      </c>
      <c r="M27" s="14" t="inlineStr"/>
      <c r="N27" s="14" t="inlineStr">
        <is>
          <t>6/6</t>
        </is>
      </c>
      <c r="O27" s="14" t="inlineStr">
        <is>
          <t>736 El Medio</t>
        </is>
      </c>
      <c r="P27" s="14" t="inlineStr">
        <is>
          <t>The full name shows as 'Parent:Project'.</t>
        </is>
      </c>
      <c r="Q27" s="15" t="inlineStr"/>
      <c r="R27" s="15" t="inlineStr"/>
    </row>
    <row r="28">
      <c r="A28" s="11" t="n">
        <v>24</v>
      </c>
      <c r="B28" s="18" t="inlineStr">
        <is>
          <t>Project setup</t>
        </is>
      </c>
      <c r="C28" s="13" t="inlineStr">
        <is>
          <t>Is sub-customer</t>
        </is>
      </c>
      <c r="D28" s="14" t="inlineStr">
        <is>
          <t>Marks the record as a job under a customer.</t>
        </is>
      </c>
      <c r="E28" s="11" t="inlineStr"/>
      <c r="F28" s="11" t="inlineStr">
        <is>
          <t>✓</t>
        </is>
      </c>
      <c r="G28" s="11" t="inlineStr"/>
      <c r="H28" s="14">
        <f>IF(COUNTA(E28:G28)=0,"",IF(COUNTA(E28:G28)=3,"All three",IF(COUNTA(E28:G28)=2,"Shared: "&amp;IF(E28&lt;&gt;"","Cust ","")&amp;IF(F28&lt;&gt;"","Proj ","")&amp;IF(G28&lt;&gt;"","Est",""),"Only "&amp;IF(E28&lt;&gt;"","Customer",IF(F28&lt;&gt;"","Project","Estimate")))))</f>
        <v/>
      </c>
      <c r="I28" s="14" t="inlineStr"/>
      <c r="J28" s="14" t="inlineStr">
        <is>
          <t>Job = true</t>
        </is>
      </c>
      <c r="K28" s="14" t="inlineStr"/>
      <c r="L28" s="14" t="inlineStr">
        <is>
          <t>Required</t>
        </is>
      </c>
      <c r="M28" s="14" t="inlineStr"/>
      <c r="N28" s="14" t="inlineStr">
        <is>
          <t>6/6</t>
        </is>
      </c>
      <c r="O28" s="14" t="inlineStr">
        <is>
          <t>true</t>
        </is>
      </c>
      <c r="P28" s="14" t="inlineStr"/>
      <c r="Q28" s="15" t="inlineStr"/>
      <c r="R28" s="15" t="inlineStr"/>
    </row>
    <row r="29">
      <c r="A29" s="11" t="n">
        <v>25</v>
      </c>
      <c r="B29" s="18" t="inlineStr">
        <is>
          <t>Project setup</t>
        </is>
      </c>
      <c r="C29" s="13" t="inlineStr">
        <is>
          <t>Bill with parent</t>
        </is>
      </c>
      <c r="D29" s="14" t="inlineStr">
        <is>
          <t>Sends the project's bills to the parent customer.</t>
        </is>
      </c>
      <c r="E29" s="11" t="inlineStr"/>
      <c r="F29" s="11" t="inlineStr">
        <is>
          <t>✓</t>
        </is>
      </c>
      <c r="G29" s="11" t="inlineStr"/>
      <c r="H29" s="14">
        <f>IF(COUNTA(E29:G29)=0,"",IF(COUNTA(E29:G29)=3,"All three",IF(COUNTA(E29:G29)=2,"Shared: "&amp;IF(E29&lt;&gt;"","Cust ","")&amp;IF(F29&lt;&gt;"","Proj ","")&amp;IF(G29&lt;&gt;"","Est",""),"Only "&amp;IF(E29&lt;&gt;"","Customer",IF(F29&lt;&gt;"","Project","Estimate")))))</f>
        <v/>
      </c>
      <c r="I29" s="14" t="inlineStr"/>
      <c r="J29" s="14" t="inlineStr">
        <is>
          <t>BillWithParent = true</t>
        </is>
      </c>
      <c r="K29" s="14" t="inlineStr"/>
      <c r="L29" s="14" t="inlineStr">
        <is>
          <t>Recommended</t>
        </is>
      </c>
      <c r="M29" s="14" t="inlineStr"/>
      <c r="N29" s="14" t="inlineStr">
        <is>
          <t>6/6</t>
        </is>
      </c>
      <c r="O29" s="14" t="inlineStr">
        <is>
          <t>true</t>
        </is>
      </c>
      <c r="P29" s="14" t="inlineStr"/>
      <c r="Q29" s="15" t="inlineStr"/>
      <c r="R29" s="15" t="inlineStr"/>
    </row>
    <row r="30">
      <c r="A30" s="11" t="n">
        <v>26</v>
      </c>
      <c r="B30" s="18" t="inlineStr">
        <is>
          <t>Project setup</t>
        </is>
      </c>
      <c r="C30" s="13" t="inlineStr">
        <is>
          <t>Project link (true QBO Project)</t>
        </is>
      </c>
      <c r="D30" s="14" t="inlineStr">
        <is>
          <t>Links the estimate to a real QBO Project.</t>
        </is>
      </c>
      <c r="E30" s="11" t="inlineStr"/>
      <c r="F30" s="11" t="inlineStr">
        <is>
          <t>✓</t>
        </is>
      </c>
      <c r="G30" s="11" t="inlineStr">
        <is>
          <t>✓</t>
        </is>
      </c>
      <c r="H30" s="14">
        <f>IF(COUNTA(E30:G30)=0,"",IF(COUNTA(E30:G30)=3,"All three",IF(COUNTA(E30:G30)=2,"Shared: "&amp;IF(E30&lt;&gt;"","Cust ","")&amp;IF(F30&lt;&gt;"","Proj ","")&amp;IF(G30&lt;&gt;"","Est",""),"Only "&amp;IF(E30&lt;&gt;"","Customer",IF(F30&lt;&gt;"","Project","Estimate")))))</f>
        <v/>
      </c>
      <c r="I30" s="14" t="inlineStr"/>
      <c r="J30" s="14" t="inlineStr">
        <is>
          <t>IsProject = true (only from QBO screen)</t>
        </is>
      </c>
      <c r="K30" s="14" t="inlineStr">
        <is>
          <t>ProjectRef.value</t>
        </is>
      </c>
      <c r="L30" s="14" t="inlineStr">
        <is>
          <t>Recommended</t>
        </is>
      </c>
      <c r="M30" s="14" t="inlineStr"/>
      <c r="N30" s="14" t="inlineStr">
        <is>
          <t>5/10</t>
        </is>
      </c>
      <c r="O30" s="14" t="inlineStr">
        <is>
          <t>814486038</t>
        </is>
      </c>
      <c r="P30" s="14" t="inlineStr">
        <is>
          <t>A flow can't create a true Project with our current QBO access (403 Forbidden). A flow can create a sub-customer instead.</t>
        </is>
      </c>
      <c r="Q30" s="15" t="inlineStr"/>
      <c r="R30" s="15" t="inlineStr"/>
    </row>
    <row r="31">
      <c r="A31" s="11" t="n">
        <v>27</v>
      </c>
      <c r="B31" s="18" t="inlineStr">
        <is>
          <t>Project setup</t>
        </is>
      </c>
      <c r="C31" s="13" t="inlineStr">
        <is>
          <t>Project start / end date, status</t>
        </is>
      </c>
      <c r="D31" s="14" t="inlineStr">
        <is>
          <t>Project tracking dates and status.</t>
        </is>
      </c>
      <c r="E31" s="11" t="inlineStr"/>
      <c r="F31" s="11" t="inlineStr">
        <is>
          <t>✓</t>
        </is>
      </c>
      <c r="G31" s="11" t="inlineStr"/>
      <c r="H31" s="14">
        <f>IF(COUNTA(E31:G31)=0,"",IF(COUNTA(E31:G31)=3,"All three",IF(COUNTA(E31:G31)=2,"Shared: "&amp;IF(E31&lt;&gt;"","Cust ","")&amp;IF(F31&lt;&gt;"","Proj ","")&amp;IF(G31&lt;&gt;"","Est",""),"Only "&amp;IF(E31&lt;&gt;"","Customer",IF(F31&lt;&gt;"","Project","Estimate")))))</f>
        <v/>
      </c>
      <c r="I31" s="14" t="inlineStr"/>
      <c r="J31" s="14" t="inlineStr">
        <is>
          <t>(QBO screen only)</t>
        </is>
      </c>
      <c r="K31" s="14" t="inlineStr"/>
      <c r="L31" s="14" t="inlineStr">
        <is>
          <t>Optional</t>
        </is>
      </c>
      <c r="M31" s="14" t="inlineStr"/>
      <c r="N31" s="14" t="inlineStr">
        <is>
          <t>–</t>
        </is>
      </c>
      <c r="O31" s="14" t="inlineStr"/>
      <c r="P31" s="14" t="inlineStr">
        <is>
          <t>The REST API can't set these.</t>
        </is>
      </c>
      <c r="Q31" s="15" t="inlineStr"/>
      <c r="R31" s="15" t="inlineStr"/>
    </row>
    <row r="32">
      <c r="A32" s="11" t="n">
        <v>28</v>
      </c>
      <c r="B32" s="19" t="inlineStr">
        <is>
          <t>Estimate header</t>
        </is>
      </c>
      <c r="C32" s="13" t="inlineStr">
        <is>
          <t>Estimate #</t>
        </is>
      </c>
      <c r="D32" s="14" t="inlineStr">
        <is>
          <t>Estimate number.</t>
        </is>
      </c>
      <c r="E32" s="11" t="inlineStr"/>
      <c r="F32" s="11" t="inlineStr"/>
      <c r="G32" s="11" t="inlineStr">
        <is>
          <t>✓</t>
        </is>
      </c>
      <c r="H32" s="14">
        <f>IF(COUNTA(E32:G32)=0,"",IF(COUNTA(E32:G32)=3,"All three",IF(COUNTA(E32:G32)=2,"Shared: "&amp;IF(E32&lt;&gt;"","Cust ","")&amp;IF(F32&lt;&gt;"","Proj ","")&amp;IF(G32&lt;&gt;"","Est",""),"Only "&amp;IF(E32&lt;&gt;"","Customer",IF(F32&lt;&gt;"","Project","Estimate")))))</f>
        <v/>
      </c>
      <c r="I32" s="14" t="inlineStr"/>
      <c r="J32" s="14" t="inlineStr"/>
      <c r="K32" s="14" t="inlineStr">
        <is>
          <t>DocNumber</t>
        </is>
      </c>
      <c r="L32" s="14" t="inlineStr">
        <is>
          <t>Recommended</t>
        </is>
      </c>
      <c r="M32" s="14" t="inlineStr"/>
      <c r="N32" s="14" t="inlineStr">
        <is>
          <t>10/10</t>
        </is>
      </c>
      <c r="O32" s="14" t="inlineStr">
        <is>
          <t>11199</t>
        </is>
      </c>
      <c r="P32" s="14" t="inlineStr">
        <is>
          <t>Custom numbers are on. Current sequence is about 11198.</t>
        </is>
      </c>
      <c r="Q32" s="15" t="inlineStr"/>
      <c r="R32" s="15" t="inlineStr"/>
    </row>
    <row r="33">
      <c r="A33" s="11" t="n">
        <v>29</v>
      </c>
      <c r="B33" s="19" t="inlineStr">
        <is>
          <t>Estimate header</t>
        </is>
      </c>
      <c r="C33" s="13" t="inlineStr">
        <is>
          <t>Estimate date</t>
        </is>
      </c>
      <c r="D33" s="14" t="inlineStr">
        <is>
          <t>Date the estimate was issued.</t>
        </is>
      </c>
      <c r="E33" s="11" t="inlineStr"/>
      <c r="F33" s="11" t="inlineStr"/>
      <c r="G33" s="11" t="inlineStr">
        <is>
          <t>✓</t>
        </is>
      </c>
      <c r="H33" s="14">
        <f>IF(COUNTA(E33:G33)=0,"",IF(COUNTA(E33:G33)=3,"All three",IF(COUNTA(E33:G33)=2,"Shared: "&amp;IF(E33&lt;&gt;"","Cust ","")&amp;IF(F33&lt;&gt;"","Proj ","")&amp;IF(G33&lt;&gt;"","Est",""),"Only "&amp;IF(E33&lt;&gt;"","Customer",IF(F33&lt;&gt;"","Project","Estimate")))))</f>
        <v/>
      </c>
      <c r="I33" s="14" t="inlineStr"/>
      <c r="J33" s="14" t="inlineStr"/>
      <c r="K33" s="14" t="inlineStr">
        <is>
          <t>TxnDate</t>
        </is>
      </c>
      <c r="L33" s="14" t="inlineStr">
        <is>
          <t>Recommended</t>
        </is>
      </c>
      <c r="M33" s="14" t="inlineStr"/>
      <c r="N33" s="14" t="inlineStr">
        <is>
          <t>10/10</t>
        </is>
      </c>
      <c r="O33" s="14" t="inlineStr">
        <is>
          <t>2026-09-23</t>
        </is>
      </c>
      <c r="P33" s="14" t="inlineStr"/>
      <c r="Q33" s="15" t="inlineStr"/>
      <c r="R33" s="15" t="inlineStr"/>
    </row>
    <row r="34">
      <c r="A34" s="11" t="n">
        <v>30</v>
      </c>
      <c r="B34" s="19" t="inlineStr">
        <is>
          <t>Estimate header</t>
        </is>
      </c>
      <c r="C34" s="13" t="inlineStr">
        <is>
          <t>Expiration date</t>
        </is>
      </c>
      <c r="D34" s="14" t="inlineStr">
        <is>
          <t>Date the quote expires.</t>
        </is>
      </c>
      <c r="E34" s="11" t="inlineStr"/>
      <c r="F34" s="11" t="inlineStr"/>
      <c r="G34" s="11" t="inlineStr">
        <is>
          <t>✓</t>
        </is>
      </c>
      <c r="H34" s="14">
        <f>IF(COUNTA(E34:G34)=0,"",IF(COUNTA(E34:G34)=3,"All three",IF(COUNTA(E34:G34)=2,"Shared: "&amp;IF(E34&lt;&gt;"","Cust ","")&amp;IF(F34&lt;&gt;"","Proj ","")&amp;IF(G34&lt;&gt;"","Est",""),"Only "&amp;IF(E34&lt;&gt;"","Customer",IF(F34&lt;&gt;"","Project","Estimate")))))</f>
        <v/>
      </c>
      <c r="I34" s="14" t="inlineStr"/>
      <c r="J34" s="14" t="inlineStr"/>
      <c r="K34" s="14" t="inlineStr">
        <is>
          <t>ExpirationDate</t>
        </is>
      </c>
      <c r="L34" s="14" t="inlineStr">
        <is>
          <t>Optional</t>
        </is>
      </c>
      <c r="M34" s="14" t="inlineStr"/>
      <c r="N34" s="14" t="inlineStr">
        <is>
          <t>0/10</t>
        </is>
      </c>
      <c r="O34" s="14" t="inlineStr">
        <is>
          <t>2026-10-23</t>
        </is>
      </c>
      <c r="P34" s="14" t="inlineStr"/>
      <c r="Q34" s="15" t="inlineStr"/>
      <c r="R34" s="15" t="inlineStr"/>
    </row>
    <row r="35">
      <c r="A35" s="11" t="n">
        <v>31</v>
      </c>
      <c r="B35" s="19" t="inlineStr">
        <is>
          <t>Estimate header</t>
        </is>
      </c>
      <c r="C35" s="13" t="inlineStr">
        <is>
          <t>Status / accepted date / accepted by</t>
        </is>
      </c>
      <c r="D35" s="14" t="inlineStr">
        <is>
          <t>Tracks whether the customer accepted.</t>
        </is>
      </c>
      <c r="E35" s="11" t="inlineStr"/>
      <c r="F35" s="11" t="inlineStr"/>
      <c r="G35" s="11" t="inlineStr">
        <is>
          <t>✓</t>
        </is>
      </c>
      <c r="H35" s="14">
        <f>IF(COUNTA(E35:G35)=0,"",IF(COUNTA(E35:G35)=3,"All three",IF(COUNTA(E35:G35)=2,"Shared: "&amp;IF(E35&lt;&gt;"","Cust ","")&amp;IF(F35&lt;&gt;"","Proj ","")&amp;IF(G35&lt;&gt;"","Est",""),"Only "&amp;IF(E35&lt;&gt;"","Customer",IF(F35&lt;&gt;"","Project","Estimate")))))</f>
        <v/>
      </c>
      <c r="I35" s="14" t="inlineStr"/>
      <c r="J35" s="14" t="inlineStr"/>
      <c r="K35" s="14" t="inlineStr">
        <is>
          <t>TxnStatus, AcceptedDate, AcceptedBy</t>
        </is>
      </c>
      <c r="L35" s="14" t="inlineStr">
        <is>
          <t>Auto</t>
        </is>
      </c>
      <c r="M35" s="14" t="inlineStr"/>
      <c r="N35" s="14" t="inlineStr">
        <is>
          <t>3/10 accepted</t>
        </is>
      </c>
      <c r="O35" s="14" t="inlineStr">
        <is>
          <t>Accepted</t>
        </is>
      </c>
      <c r="P35" s="14" t="inlineStr"/>
      <c r="Q35" s="15" t="inlineStr"/>
      <c r="R35" s="15" t="inlineStr"/>
    </row>
    <row r="36">
      <c r="A36" s="11" t="n">
        <v>32</v>
      </c>
      <c r="B36" s="19" t="inlineStr">
        <is>
          <t>Estimate header</t>
        </is>
      </c>
      <c r="C36" s="13" t="inlineStr">
        <is>
          <t>Sales rep email (Cc)</t>
        </is>
      </c>
      <c r="D36" s="14" t="inlineStr">
        <is>
          <t>Copies the rep on the estimate email.</t>
        </is>
      </c>
      <c r="E36" s="11" t="inlineStr"/>
      <c r="F36" s="11" t="inlineStr"/>
      <c r="G36" s="11" t="inlineStr">
        <is>
          <t>✓</t>
        </is>
      </c>
      <c r="H36" s="14">
        <f>IF(COUNTA(E36:G36)=0,"",IF(COUNTA(E36:G36)=3,"All three",IF(COUNTA(E36:G36)=2,"Shared: "&amp;IF(E36&lt;&gt;"","Cust ","")&amp;IF(F36&lt;&gt;"","Proj ","")&amp;IF(G36&lt;&gt;"","Est",""),"Only "&amp;IF(E36&lt;&gt;"","Customer",IF(F36&lt;&gt;"","Project","Estimate")))))</f>
        <v/>
      </c>
      <c r="I36" s="14" t="inlineStr"/>
      <c r="J36" s="14" t="inlineStr"/>
      <c r="K36" s="14" t="inlineStr">
        <is>
          <t>BillEmailCc.Address</t>
        </is>
      </c>
      <c r="L36" s="14" t="inlineStr">
        <is>
          <t>Recommended</t>
        </is>
      </c>
      <c r="M36" s="14" t="inlineStr"/>
      <c r="N36" s="14" t="inlineStr">
        <is>
          <t>9/10</t>
        </is>
      </c>
      <c r="O36" s="14" t="inlineStr">
        <is>
          <t>tyler@panda-windows.com</t>
        </is>
      </c>
      <c r="P36" s="14" t="inlineStr"/>
      <c r="Q36" s="15" t="inlineStr"/>
      <c r="R36" s="15" t="inlineStr"/>
    </row>
    <row r="37">
      <c r="A37" s="11" t="n">
        <v>33</v>
      </c>
      <c r="B37" s="19" t="inlineStr">
        <is>
          <t>Estimate header</t>
        </is>
      </c>
      <c r="C37" s="13" t="inlineStr">
        <is>
          <t>Accounting email (Bcc)</t>
        </is>
      </c>
      <c r="D37" s="14" t="inlineStr">
        <is>
          <t>Copies accounting on the estimate email.</t>
        </is>
      </c>
      <c r="E37" s="11" t="inlineStr"/>
      <c r="F37" s="11" t="inlineStr"/>
      <c r="G37" s="11" t="inlineStr">
        <is>
          <t>✓</t>
        </is>
      </c>
      <c r="H37" s="14">
        <f>IF(COUNTA(E37:G37)=0,"",IF(COUNTA(E37:G37)=3,"All three",IF(COUNTA(E37:G37)=2,"Shared: "&amp;IF(E37&lt;&gt;"","Cust ","")&amp;IF(F37&lt;&gt;"","Proj ","")&amp;IF(G37&lt;&gt;"","Est",""),"Only "&amp;IF(E37&lt;&gt;"","Customer",IF(F37&lt;&gt;"","Project","Estimate")))))</f>
        <v/>
      </c>
      <c r="I37" s="14" t="inlineStr"/>
      <c r="J37" s="14" t="inlineStr"/>
      <c r="K37" s="14" t="inlineStr">
        <is>
          <t>BillEmailBcc.Address</t>
        </is>
      </c>
      <c r="L37" s="14" t="inlineStr">
        <is>
          <t>Recommended</t>
        </is>
      </c>
      <c r="M37" s="14" t="inlineStr"/>
      <c r="N37" s="14" t="inlineStr">
        <is>
          <t>9/10</t>
        </is>
      </c>
      <c r="O37" s="14" t="inlineStr">
        <is>
          <t>Accounting@panda-windows.com</t>
        </is>
      </c>
      <c r="P37" s="14" t="inlineStr">
        <is>
          <t>The same address every time.</t>
        </is>
      </c>
      <c r="Q37" s="15" t="inlineStr"/>
      <c r="R37" s="15" t="inlineStr"/>
    </row>
    <row r="38">
      <c r="A38" s="11" t="n">
        <v>34</v>
      </c>
      <c r="B38" s="19" t="inlineStr">
        <is>
          <t>Estimate header</t>
        </is>
      </c>
      <c r="C38" s="13" t="inlineStr">
        <is>
          <t>Customer message</t>
        </is>
      </c>
      <c r="D38" s="14" t="inlineStr">
        <is>
          <t>Message printed on the estimate (payment terms text).</t>
        </is>
      </c>
      <c r="E38" s="11" t="inlineStr"/>
      <c r="F38" s="11" t="inlineStr"/>
      <c r="G38" s="11" t="inlineStr">
        <is>
          <t>✓</t>
        </is>
      </c>
      <c r="H38" s="14">
        <f>IF(COUNTA(E38:G38)=0,"",IF(COUNTA(E38:G38)=3,"All three",IF(COUNTA(E38:G38)=2,"Shared: "&amp;IF(E38&lt;&gt;"","Cust ","")&amp;IF(F38&lt;&gt;"","Proj ","")&amp;IF(G38&lt;&gt;"","Est",""),"Only "&amp;IF(E38&lt;&gt;"","Customer",IF(F38&lt;&gt;"","Project","Estimate")))))</f>
        <v/>
      </c>
      <c r="I38" s="14" t="inlineStr"/>
      <c r="J38" s="14" t="inlineStr"/>
      <c r="K38" s="14" t="inlineStr">
        <is>
          <t>CustomerMemo.value</t>
        </is>
      </c>
      <c r="L38" s="14" t="inlineStr">
        <is>
          <t>Recommended</t>
        </is>
      </c>
      <c r="M38" s="14" t="inlineStr"/>
      <c r="N38" s="14" t="inlineStr">
        <is>
          <t>10/10</t>
        </is>
      </c>
      <c r="O38" s="14" t="inlineStr">
        <is>
          <t>Our acceptable forms of payments are: ...</t>
        </is>
      </c>
      <c r="P38" s="14" t="inlineStr">
        <is>
          <t>QBO fills in the company default.</t>
        </is>
      </c>
      <c r="Q38" s="15" t="inlineStr"/>
      <c r="R38" s="15" t="inlineStr"/>
    </row>
    <row r="39">
      <c r="A39" s="11" t="n">
        <v>35</v>
      </c>
      <c r="B39" s="19" t="inlineStr">
        <is>
          <t>Estimate header</t>
        </is>
      </c>
      <c r="C39" s="13" t="inlineStr">
        <is>
          <t>Internal memo</t>
        </is>
      </c>
      <c r="D39" s="14" t="inlineStr">
        <is>
          <t>Private note, not shown to the customer.</t>
        </is>
      </c>
      <c r="E39" s="11" t="inlineStr"/>
      <c r="F39" s="11" t="inlineStr"/>
      <c r="G39" s="11" t="inlineStr">
        <is>
          <t>✓</t>
        </is>
      </c>
      <c r="H39" s="14">
        <f>IF(COUNTA(E39:G39)=0,"",IF(COUNTA(E39:G39)=3,"All three",IF(COUNTA(E39:G39)=2,"Shared: "&amp;IF(E39&lt;&gt;"","Cust ","")&amp;IF(F39&lt;&gt;"","Proj ","")&amp;IF(G39&lt;&gt;"","Est",""),"Only "&amp;IF(E39&lt;&gt;"","Customer",IF(F39&lt;&gt;"","Project","Estimate")))))</f>
        <v/>
      </c>
      <c r="I39" s="14" t="inlineStr"/>
      <c r="J39" s="14" t="inlineStr"/>
      <c r="K39" s="14" t="inlineStr">
        <is>
          <t>PrivateNote</t>
        </is>
      </c>
      <c r="L39" s="14" t="inlineStr">
        <is>
          <t>Optional</t>
        </is>
      </c>
      <c r="M39" s="14" t="inlineStr"/>
      <c r="N39" s="14" t="inlineStr">
        <is>
          <t>1/10</t>
        </is>
      </c>
      <c r="O39" s="14" t="inlineStr"/>
      <c r="P39" s="14" t="inlineStr"/>
      <c r="Q39" s="15" t="inlineStr"/>
      <c r="R39" s="15" t="inlineStr"/>
    </row>
    <row r="40">
      <c r="A40" s="11" t="n">
        <v>36</v>
      </c>
      <c r="B40" s="19" t="inlineStr">
        <is>
          <t>Estimate header</t>
        </is>
      </c>
      <c r="C40" s="13" t="inlineStr">
        <is>
          <t>Class / Location</t>
        </is>
      </c>
      <c r="D40" s="14" t="inlineStr">
        <is>
          <t>Categories for reporting.</t>
        </is>
      </c>
      <c r="E40" s="11" t="inlineStr"/>
      <c r="F40" s="11" t="inlineStr"/>
      <c r="G40" s="11" t="inlineStr">
        <is>
          <t>✓</t>
        </is>
      </c>
      <c r="H40" s="14">
        <f>IF(COUNTA(E40:G40)=0,"",IF(COUNTA(E40:G40)=3,"All three",IF(COUNTA(E40:G40)=2,"Shared: "&amp;IF(E40&lt;&gt;"","Cust ","")&amp;IF(F40&lt;&gt;"","Proj ","")&amp;IF(G40&lt;&gt;"","Est",""),"Only "&amp;IF(E40&lt;&gt;"","Customer",IF(F40&lt;&gt;"","Project","Estimate")))))</f>
        <v/>
      </c>
      <c r="I40" s="14" t="inlineStr"/>
      <c r="J40" s="14" t="inlineStr"/>
      <c r="K40" s="14" t="inlineStr">
        <is>
          <t>ClassRef / DepartmentRef</t>
        </is>
      </c>
      <c r="L40" s="14" t="inlineStr">
        <is>
          <t>Not used</t>
        </is>
      </c>
      <c r="M40" s="14" t="inlineStr"/>
      <c r="N40" s="14" t="inlineStr">
        <is>
          <t>0/10</t>
        </is>
      </c>
      <c r="O40" s="14" t="inlineStr"/>
      <c r="P40" s="14" t="inlineStr"/>
      <c r="Q40" s="15" t="inlineStr"/>
      <c r="R40" s="15" t="inlineStr"/>
    </row>
    <row r="41">
      <c r="A41" s="11" t="n">
        <v>37</v>
      </c>
      <c r="B41" s="19" t="inlineStr">
        <is>
          <t>Estimate header</t>
        </is>
      </c>
      <c r="C41" s="13" t="inlineStr">
        <is>
          <t>Shipping charge</t>
        </is>
      </c>
      <c r="D41" s="14" t="inlineStr">
        <is>
          <t>Freight amount.</t>
        </is>
      </c>
      <c r="E41" s="11" t="inlineStr"/>
      <c r="F41" s="11" t="inlineStr"/>
      <c r="G41" s="11" t="inlineStr">
        <is>
          <t>✓</t>
        </is>
      </c>
      <c r="H41" s="14">
        <f>IF(COUNTA(E41:G41)=0,"",IF(COUNTA(E41:G41)=3,"All three",IF(COUNTA(E41:G41)=2,"Shared: "&amp;IF(E41&lt;&gt;"","Cust ","")&amp;IF(F41&lt;&gt;"","Proj ","")&amp;IF(G41&lt;&gt;"","Est",""),"Only "&amp;IF(E41&lt;&gt;"","Customer",IF(F41&lt;&gt;"","Project","Estimate")))))</f>
        <v/>
      </c>
      <c r="I41" s="14" t="inlineStr"/>
      <c r="J41" s="14" t="inlineStr"/>
      <c r="K41" s="14" t="inlineStr">
        <is>
          <t>ShipAmt / shipping line</t>
        </is>
      </c>
      <c r="L41" s="14" t="inlineStr">
        <is>
          <t>Optional</t>
        </is>
      </c>
      <c r="M41" s="14" t="inlineStr"/>
      <c r="N41" s="14" t="inlineStr">
        <is>
          <t>–</t>
        </is>
      </c>
      <c r="O41" s="14" t="inlineStr"/>
      <c r="P41" s="14" t="inlineStr">
        <is>
          <t>Shipping account 1303.</t>
        </is>
      </c>
      <c r="Q41" s="15" t="inlineStr"/>
      <c r="R41" s="15" t="inlineStr"/>
    </row>
    <row r="42">
      <c r="A42" s="11" t="n">
        <v>38</v>
      </c>
      <c r="B42" s="19" t="inlineStr">
        <is>
          <t>Estimate header</t>
        </is>
      </c>
      <c r="C42" s="13" t="inlineStr">
        <is>
          <t>Deposit amount (QBO field)</t>
        </is>
      </c>
      <c r="D42" s="14" t="inlineStr">
        <is>
          <t>The deposit field built into QBO.</t>
        </is>
      </c>
      <c r="E42" s="11" t="inlineStr"/>
      <c r="F42" s="11" t="inlineStr"/>
      <c r="G42" s="11" t="inlineStr">
        <is>
          <t>✓</t>
        </is>
      </c>
      <c r="H42" s="14">
        <f>IF(COUNTA(E42:G42)=0,"",IF(COUNTA(E42:G42)=3,"All three",IF(COUNTA(E42:G42)=2,"Shared: "&amp;IF(E42&lt;&gt;"","Cust ","")&amp;IF(F42&lt;&gt;"","Proj ","")&amp;IF(G42&lt;&gt;"","Est",""),"Only "&amp;IF(E42&lt;&gt;"","Customer",IF(F42&lt;&gt;"","Project","Estimate")))))</f>
        <v/>
      </c>
      <c r="I42" s="14" t="inlineStr"/>
      <c r="J42" s="14" t="inlineStr"/>
      <c r="K42" s="14" t="inlineStr">
        <is>
          <t>Deposit</t>
        </is>
      </c>
      <c r="L42" s="14" t="inlineStr">
        <is>
          <t>Optional</t>
        </is>
      </c>
      <c r="M42" s="14" t="inlineStr"/>
      <c r="N42" s="14" t="inlineStr">
        <is>
          <t>–</t>
        </is>
      </c>
      <c r="O42" s="14" t="inlineStr"/>
      <c r="P42" s="14" t="inlineStr">
        <is>
          <t>Your team uses the 'Deposit Due' custom field instead.</t>
        </is>
      </c>
      <c r="Q42" s="15" t="inlineStr"/>
      <c r="R42" s="15" t="inlineStr"/>
    </row>
    <row r="43">
      <c r="A43" s="11" t="n">
        <v>39</v>
      </c>
      <c r="B43" s="20" t="inlineStr">
        <is>
          <t>Estimate custom field</t>
        </is>
      </c>
      <c r="C43" s="13" t="inlineStr">
        <is>
          <t>Q Number / PO #</t>
        </is>
      </c>
      <c r="D43" s="14" t="inlineStr">
        <is>
          <t>The company's Q number or the customer's PO number. For dealer jobs the PO # is also the project name.</t>
        </is>
      </c>
      <c r="E43" s="11" t="inlineStr"/>
      <c r="F43" s="11" t="inlineStr">
        <is>
          <t>✓</t>
        </is>
      </c>
      <c r="G43" s="11" t="inlineStr">
        <is>
          <t>✓</t>
        </is>
      </c>
      <c r="H43" s="14">
        <f>IF(COUNTA(E43:G43)=0,"",IF(COUNTA(E43:G43)=3,"All three",IF(COUNTA(E43:G43)=2,"Shared: "&amp;IF(E43&lt;&gt;"","Cust ","")&amp;IF(F43&lt;&gt;"","Proj ","")&amp;IF(G43&lt;&gt;"","Est",""),"Only "&amp;IF(E43&lt;&gt;"","Customer",IF(F43&lt;&gt;"","Project","Estimate")))))</f>
        <v/>
      </c>
      <c r="I43" s="14" t="inlineStr"/>
      <c r="J43" s="14" t="inlineStr">
        <is>
          <t>DisplayName (dealer jobs, e.g. 4500843235)</t>
        </is>
      </c>
      <c r="K43" s="14" t="inlineStr">
        <is>
          <t>CustomField DefinitionId 1</t>
        </is>
      </c>
      <c r="L43" s="14" t="inlineStr">
        <is>
          <t>Recommended</t>
        </is>
      </c>
      <c r="M43" s="14" t="inlineStr">
        <is>
          <t>1 (legacy)</t>
        </is>
      </c>
      <c r="N43" s="14" t="inlineStr">
        <is>
          <t>1/10</t>
        </is>
      </c>
      <c r="O43" s="14" t="inlineStr">
        <is>
          <t>91556</t>
        </is>
      </c>
      <c r="P43" s="14" t="inlineStr">
        <is>
          <t>The v3 API can write this. On Purchase Orders the matching field is DefinitionId 2 'Q#/Project'.</t>
        </is>
      </c>
      <c r="Q43" s="15" t="inlineStr"/>
      <c r="R43" s="15" t="inlineStr"/>
    </row>
    <row r="44">
      <c r="A44" s="11" t="n">
        <v>40</v>
      </c>
      <c r="B44" s="20" t="inlineStr">
        <is>
          <t>Estimate custom field</t>
        </is>
      </c>
      <c r="C44" s="13" t="inlineStr">
        <is>
          <t>Sales Rep (legacy)</t>
        </is>
      </c>
      <c r="D44" s="14" t="inlineStr">
        <is>
          <t>Sales rep name, using the older custom field.</t>
        </is>
      </c>
      <c r="E44" s="11" t="inlineStr"/>
      <c r="F44" s="11" t="inlineStr"/>
      <c r="G44" s="11" t="inlineStr">
        <is>
          <t>✓</t>
        </is>
      </c>
      <c r="H44" s="14">
        <f>IF(COUNTA(E44:G44)=0,"",IF(COUNTA(E44:G44)=3,"All three",IF(COUNTA(E44:G44)=2,"Shared: "&amp;IF(E44&lt;&gt;"","Cust ","")&amp;IF(F44&lt;&gt;"","Proj ","")&amp;IF(G44&lt;&gt;"","Est",""),"Only "&amp;IF(E44&lt;&gt;"","Customer",IF(F44&lt;&gt;"","Project","Estimate")))))</f>
        <v/>
      </c>
      <c r="I44" s="14" t="inlineStr"/>
      <c r="J44" s="14" t="inlineStr"/>
      <c r="K44" s="14" t="inlineStr">
        <is>
          <t>CustomField DefinitionId 2</t>
        </is>
      </c>
      <c r="L44" s="14" t="inlineStr">
        <is>
          <t>Optional</t>
        </is>
      </c>
      <c r="M44" s="14" t="inlineStr">
        <is>
          <t>2 (legacy)</t>
        </is>
      </c>
      <c r="N44" s="14" t="inlineStr">
        <is>
          <t>0/10</t>
        </is>
      </c>
      <c r="O44" s="14" t="inlineStr"/>
      <c r="P44" s="14" t="inlineStr">
        <is>
          <t>Set up in QBO but never filled in. Keep it, or use RSM / Outside Sales Rep?</t>
        </is>
      </c>
      <c r="Q44" s="15" t="inlineStr"/>
      <c r="R44" s="15" t="inlineStr"/>
    </row>
    <row r="45">
      <c r="A45" s="11" t="n">
        <v>41</v>
      </c>
      <c r="B45" s="20" t="inlineStr">
        <is>
          <t>Estimate custom field</t>
        </is>
      </c>
      <c r="C45" s="13" t="inlineStr">
        <is>
          <t>Deposit Due</t>
        </is>
      </c>
      <c r="D45" s="14" t="inlineStr">
        <is>
          <t>Deposit amount the customer owes.</t>
        </is>
      </c>
      <c r="E45" s="11" t="inlineStr"/>
      <c r="F45" s="11" t="inlineStr"/>
      <c r="G45" s="11" t="inlineStr">
        <is>
          <t>✓</t>
        </is>
      </c>
      <c r="H45" s="14">
        <f>IF(COUNTA(E45:G45)=0,"",IF(COUNTA(E45:G45)=3,"All three",IF(COUNTA(E45:G45)=2,"Shared: "&amp;IF(E45&lt;&gt;"","Cust ","")&amp;IF(F45&lt;&gt;"","Proj ","")&amp;IF(G45&lt;&gt;"","Est",""),"Only "&amp;IF(E45&lt;&gt;"","Customer",IF(F45&lt;&gt;"","Project","Estimate")))))</f>
        <v/>
      </c>
      <c r="I45" s="14" t="inlineStr"/>
      <c r="J45" s="14" t="inlineStr"/>
      <c r="K45" s="14" t="inlineStr">
        <is>
          <t>CustomField DefinitionId 3</t>
        </is>
      </c>
      <c r="L45" s="14" t="inlineStr">
        <is>
          <t>Recommended</t>
        </is>
      </c>
      <c r="M45" s="14" t="inlineStr">
        <is>
          <t>3 (legacy)</t>
        </is>
      </c>
      <c r="N45" s="14" t="inlineStr">
        <is>
          <t>10/10 (value on 3)</t>
        </is>
      </c>
      <c r="O45" s="14" t="inlineStr">
        <is>
          <t>$166,515.42</t>
        </is>
      </c>
      <c r="P45" s="14" t="inlineStr">
        <is>
          <t>Stored as text.</t>
        </is>
      </c>
      <c r="Q45" s="15" t="inlineStr"/>
      <c r="R45" s="15" t="inlineStr"/>
    </row>
    <row r="46">
      <c r="A46" s="11" t="n">
        <v>42</v>
      </c>
      <c r="B46" s="20" t="inlineStr">
        <is>
          <t>Estimate custom field</t>
        </is>
      </c>
      <c r="C46" s="13" t="inlineStr">
        <is>
          <t>Residential or Commercial</t>
        </is>
      </c>
      <c r="D46" s="14" t="inlineStr">
        <is>
          <t>Type of job.</t>
        </is>
      </c>
      <c r="E46" s="11" t="inlineStr"/>
      <c r="F46" s="11" t="inlineStr"/>
      <c r="G46" s="11" t="inlineStr">
        <is>
          <t>✓</t>
        </is>
      </c>
      <c r="H46" s="14">
        <f>IF(COUNTA(E46:G46)=0,"",IF(COUNTA(E46:G46)=3,"All three",IF(COUNTA(E46:G46)=2,"Shared: "&amp;IF(E46&lt;&gt;"","Cust ","")&amp;IF(F46&lt;&gt;"","Proj ","")&amp;IF(G46&lt;&gt;"","Est",""),"Only "&amp;IF(E46&lt;&gt;"","Customer",IF(F46&lt;&gt;"","Project","Estimate")))))</f>
        <v/>
      </c>
      <c r="I46" s="14" t="inlineStr"/>
      <c r="J46" s="14" t="inlineStr"/>
      <c r="K46" s="14" t="inlineStr">
        <is>
          <t>Custom field 1000000019</t>
        </is>
      </c>
      <c r="L46" s="14" t="inlineStr">
        <is>
          <t>Confirm</t>
        </is>
      </c>
      <c r="M46" s="14" t="inlineStr">
        <is>
          <t>1000000019 (new)</t>
        </is>
      </c>
      <c r="N46" s="14" t="inlineStr">
        <is>
          <t>–</t>
        </is>
      </c>
      <c r="O46" s="14" t="inlineStr">
        <is>
          <t>Residential -Single Family</t>
        </is>
      </c>
      <c r="P46" s="14" t="inlineStr">
        <is>
          <t>The v3 API didn't save it. Writing it from a flow needs GraphQL access (currently 403).</t>
        </is>
      </c>
      <c r="Q46" s="15" t="inlineStr"/>
      <c r="R46" s="15" t="inlineStr"/>
    </row>
    <row r="47">
      <c r="A47" s="11" t="n">
        <v>43</v>
      </c>
      <c r="B47" s="20" t="inlineStr">
        <is>
          <t>Estimate custom field</t>
        </is>
      </c>
      <c r="C47" s="13" t="inlineStr">
        <is>
          <t>Dealer</t>
        </is>
      </c>
      <c r="D47" s="14" t="inlineStr">
        <is>
          <t>Whether the sale goes through a dealer.</t>
        </is>
      </c>
      <c r="E47" s="11" t="inlineStr"/>
      <c r="F47" s="11" t="inlineStr"/>
      <c r="G47" s="11" t="inlineStr">
        <is>
          <t>✓</t>
        </is>
      </c>
      <c r="H47" s="14">
        <f>IF(COUNTA(E47:G47)=0,"",IF(COUNTA(E47:G47)=3,"All three",IF(COUNTA(E47:G47)=2,"Shared: "&amp;IF(E47&lt;&gt;"","Cust ","")&amp;IF(F47&lt;&gt;"","Proj ","")&amp;IF(G47&lt;&gt;"","Est",""),"Only "&amp;IF(E47&lt;&gt;"","Customer",IF(F47&lt;&gt;"","Project","Estimate")))))</f>
        <v/>
      </c>
      <c r="I47" s="14" t="inlineStr"/>
      <c r="J47" s="14" t="inlineStr"/>
      <c r="K47" s="14" t="inlineStr">
        <is>
          <t>Custom field 1000000020</t>
        </is>
      </c>
      <c r="L47" s="14" t="inlineStr">
        <is>
          <t>Confirm</t>
        </is>
      </c>
      <c r="M47" s="14" t="inlineStr">
        <is>
          <t>1000000020 (new)</t>
        </is>
      </c>
      <c r="N47" s="14" t="inlineStr">
        <is>
          <t>–</t>
        </is>
      </c>
      <c r="O47" s="14" t="inlineStr">
        <is>
          <t>NO</t>
        </is>
      </c>
      <c r="P47" s="14" t="inlineStr">
        <is>
          <t>Same as above. Could also come from Customer type.</t>
        </is>
      </c>
      <c r="Q47" s="15" t="inlineStr"/>
      <c r="R47" s="15" t="inlineStr"/>
    </row>
    <row r="48">
      <c r="A48" s="11" t="n">
        <v>44</v>
      </c>
      <c r="B48" s="20" t="inlineStr">
        <is>
          <t>Estimate custom field</t>
        </is>
      </c>
      <c r="C48" s="13" t="inlineStr">
        <is>
          <t>Outside Sales Rep</t>
        </is>
      </c>
      <c r="D48" s="14" t="inlineStr">
        <is>
          <t>Outside sales rep on the job.</t>
        </is>
      </c>
      <c r="E48" s="11" t="inlineStr"/>
      <c r="F48" s="11" t="inlineStr"/>
      <c r="G48" s="11" t="inlineStr">
        <is>
          <t>✓</t>
        </is>
      </c>
      <c r="H48" s="14">
        <f>IF(COUNTA(E48:G48)=0,"",IF(COUNTA(E48:G48)=3,"All three",IF(COUNTA(E48:G48)=2,"Shared: "&amp;IF(E48&lt;&gt;"","Cust ","")&amp;IF(F48&lt;&gt;"","Proj ","")&amp;IF(G48&lt;&gt;"","Est",""),"Only "&amp;IF(E48&lt;&gt;"","Customer",IF(F48&lt;&gt;"","Project","Estimate")))))</f>
        <v/>
      </c>
      <c r="I48" s="14" t="inlineStr"/>
      <c r="J48" s="14" t="inlineStr"/>
      <c r="K48" s="14" t="inlineStr">
        <is>
          <t>Custom field 1000000022</t>
        </is>
      </c>
      <c r="L48" s="14" t="inlineStr">
        <is>
          <t>Confirm</t>
        </is>
      </c>
      <c r="M48" s="14" t="inlineStr">
        <is>
          <t>1000000022 (new)</t>
        </is>
      </c>
      <c r="N48" s="14" t="inlineStr">
        <is>
          <t>–</t>
        </is>
      </c>
      <c r="O48" s="14" t="inlineStr">
        <is>
          <t>NO</t>
        </is>
      </c>
      <c r="P48" s="14" t="inlineStr">
        <is>
          <t>Same as above.</t>
        </is>
      </c>
      <c r="Q48" s="15" t="inlineStr"/>
      <c r="R48" s="15" t="inlineStr"/>
    </row>
    <row r="49">
      <c r="A49" s="11" t="n">
        <v>45</v>
      </c>
      <c r="B49" s="20" t="inlineStr">
        <is>
          <t>Estimate custom field</t>
        </is>
      </c>
      <c r="C49" s="13" t="inlineStr">
        <is>
          <t>RSM</t>
        </is>
      </c>
      <c r="D49" s="14" t="inlineStr">
        <is>
          <t>Regional sales manager.</t>
        </is>
      </c>
      <c r="E49" s="11" t="inlineStr"/>
      <c r="F49" s="11" t="inlineStr"/>
      <c r="G49" s="11" t="inlineStr">
        <is>
          <t>✓</t>
        </is>
      </c>
      <c r="H49" s="14">
        <f>IF(COUNTA(E49:G49)=0,"",IF(COUNTA(E49:G49)=3,"All three",IF(COUNTA(E49:G49)=2,"Shared: "&amp;IF(E49&lt;&gt;"","Cust ","")&amp;IF(F49&lt;&gt;"","Proj ","")&amp;IF(G49&lt;&gt;"","Est",""),"Only "&amp;IF(E49&lt;&gt;"","Customer",IF(F49&lt;&gt;"","Project","Estimate")))))</f>
        <v/>
      </c>
      <c r="I49" s="14" t="inlineStr"/>
      <c r="J49" s="14" t="inlineStr"/>
      <c r="K49" s="14" t="inlineStr">
        <is>
          <t>Custom field 1000000027</t>
        </is>
      </c>
      <c r="L49" s="14" t="inlineStr">
        <is>
          <t>Confirm</t>
        </is>
      </c>
      <c r="M49" s="14" t="inlineStr">
        <is>
          <t>1000000027 (new)</t>
        </is>
      </c>
      <c r="N49" s="14" t="inlineStr">
        <is>
          <t>–</t>
        </is>
      </c>
      <c r="O49" s="14" t="inlineStr">
        <is>
          <t>Trever</t>
        </is>
      </c>
      <c r="P49" s="14" t="inlineStr">
        <is>
          <t>Same as above.</t>
        </is>
      </c>
      <c r="Q49" s="15" t="inlineStr"/>
      <c r="R49" s="15" t="inlineStr"/>
    </row>
    <row r="50">
      <c r="A50" s="11" t="n">
        <v>46</v>
      </c>
      <c r="B50" s="21" t="inlineStr">
        <is>
          <t>Estimate line</t>
        </is>
      </c>
      <c r="C50" s="13" t="inlineStr">
        <is>
          <t>Product / Service</t>
        </is>
      </c>
      <c r="D50" s="14" t="inlineStr">
        <is>
          <t>The item being sold.</t>
        </is>
      </c>
      <c r="E50" s="11" t="inlineStr"/>
      <c r="F50" s="11" t="inlineStr"/>
      <c r="G50" s="11" t="inlineStr">
        <is>
          <t>✓</t>
        </is>
      </c>
      <c r="H50" s="14">
        <f>IF(COUNTA(E50:G50)=0,"",IF(COUNTA(E50:G50)=3,"All three",IF(COUNTA(E50:G50)=2,"Shared: "&amp;IF(E50&lt;&gt;"","Cust ","")&amp;IF(F50&lt;&gt;"","Proj ","")&amp;IF(G50&lt;&gt;"","Est",""),"Only "&amp;IF(E50&lt;&gt;"","Customer",IF(F50&lt;&gt;"","Project","Estimate")))))</f>
        <v/>
      </c>
      <c r="I50" s="14" t="inlineStr"/>
      <c r="J50" s="14" t="inlineStr"/>
      <c r="K50" s="14" t="inlineStr">
        <is>
          <t>Line.SalesItemLineDetail.ItemRef.value</t>
        </is>
      </c>
      <c r="L50" s="14" t="inlineStr">
        <is>
          <t>Required</t>
        </is>
      </c>
      <c r="M50" s="14" t="inlineStr"/>
      <c r="N50" s="14" t="inlineStr">
        <is>
          <t>every line</t>
        </is>
      </c>
      <c r="O50" s="14" t="inlineStr">
        <is>
          <t>1813 PandaSelect Multi-Slides:TS.30</t>
        </is>
      </c>
      <c r="P50" s="14" t="inlineStr"/>
      <c r="Q50" s="15" t="inlineStr"/>
      <c r="R50" s="15" t="inlineStr"/>
    </row>
    <row r="51">
      <c r="A51" s="11" t="n">
        <v>47</v>
      </c>
      <c r="B51" s="21" t="inlineStr">
        <is>
          <t>Estimate line</t>
        </is>
      </c>
      <c r="C51" s="13" t="inlineStr">
        <is>
          <t>Line description</t>
        </is>
      </c>
      <c r="D51" s="14" t="inlineStr">
        <is>
          <t>Text describing the item.</t>
        </is>
      </c>
      <c r="E51" s="11" t="inlineStr"/>
      <c r="F51" s="11" t="inlineStr"/>
      <c r="G51" s="11" t="inlineStr">
        <is>
          <t>✓</t>
        </is>
      </c>
      <c r="H51" s="14">
        <f>IF(COUNTA(E51:G51)=0,"",IF(COUNTA(E51:G51)=3,"All three",IF(COUNTA(E51:G51)=2,"Shared: "&amp;IF(E51&lt;&gt;"","Cust ","")&amp;IF(F51&lt;&gt;"","Proj ","")&amp;IF(G51&lt;&gt;"","Est",""),"Only "&amp;IF(E51&lt;&gt;"","Customer",IF(F51&lt;&gt;"","Project","Estimate")))))</f>
        <v/>
      </c>
      <c r="I51" s="14" t="inlineStr"/>
      <c r="J51" s="14" t="inlineStr"/>
      <c r="K51" s="14" t="inlineStr">
        <is>
          <t>Line.Description</t>
        </is>
      </c>
      <c r="L51" s="14" t="inlineStr">
        <is>
          <t>Recommended</t>
        </is>
      </c>
      <c r="M51" s="14" t="inlineStr"/>
      <c r="N51" s="14" t="inlineStr">
        <is>
          <t>every line</t>
        </is>
      </c>
      <c r="O51" s="14" t="inlineStr">
        <is>
          <t>All Aluminum Thermally Broken Panda Select Multi-Slide</t>
        </is>
      </c>
      <c r="P51" s="14" t="inlineStr"/>
      <c r="Q51" s="15" t="inlineStr"/>
      <c r="R51" s="15" t="inlineStr"/>
    </row>
    <row r="52">
      <c r="A52" s="11" t="n">
        <v>48</v>
      </c>
      <c r="B52" s="21" t="inlineStr">
        <is>
          <t>Estimate line</t>
        </is>
      </c>
      <c r="C52" s="13" t="inlineStr">
        <is>
          <t>Quantity</t>
        </is>
      </c>
      <c r="D52" s="14" t="inlineStr">
        <is>
          <t>Number of units.</t>
        </is>
      </c>
      <c r="E52" s="11" t="inlineStr"/>
      <c r="F52" s="11" t="inlineStr"/>
      <c r="G52" s="11" t="inlineStr">
        <is>
          <t>✓</t>
        </is>
      </c>
      <c r="H52" s="14">
        <f>IF(COUNTA(E52:G52)=0,"",IF(COUNTA(E52:G52)=3,"All three",IF(COUNTA(E52:G52)=2,"Shared: "&amp;IF(E52&lt;&gt;"","Cust ","")&amp;IF(F52&lt;&gt;"","Proj ","")&amp;IF(G52&lt;&gt;"","Est",""),"Only "&amp;IF(E52&lt;&gt;"","Customer",IF(F52&lt;&gt;"","Project","Estimate")))))</f>
        <v/>
      </c>
      <c r="I52" s="14" t="inlineStr"/>
      <c r="J52" s="14" t="inlineStr"/>
      <c r="K52" s="14" t="inlineStr">
        <is>
          <t>Line.SalesItemLineDetail.Qty</t>
        </is>
      </c>
      <c r="L52" s="14" t="inlineStr">
        <is>
          <t>Recommended</t>
        </is>
      </c>
      <c r="M52" s="14" t="inlineStr"/>
      <c r="N52" s="14" t="inlineStr">
        <is>
          <t>every line</t>
        </is>
      </c>
      <c r="O52" s="14" t="inlineStr">
        <is>
          <t>1</t>
        </is>
      </c>
      <c r="P52" s="14" t="inlineStr"/>
      <c r="Q52" s="15" t="inlineStr"/>
      <c r="R52" s="15" t="inlineStr"/>
    </row>
    <row r="53">
      <c r="A53" s="11" t="n">
        <v>49</v>
      </c>
      <c r="B53" s="21" t="inlineStr">
        <is>
          <t>Estimate line</t>
        </is>
      </c>
      <c r="C53" s="13" t="inlineStr">
        <is>
          <t>Rate</t>
        </is>
      </c>
      <c r="D53" s="14" t="inlineStr">
        <is>
          <t>Price per unit.</t>
        </is>
      </c>
      <c r="E53" s="11" t="inlineStr"/>
      <c r="F53" s="11" t="inlineStr"/>
      <c r="G53" s="11" t="inlineStr">
        <is>
          <t>✓</t>
        </is>
      </c>
      <c r="H53" s="14">
        <f>IF(COUNTA(E53:G53)=0,"",IF(COUNTA(E53:G53)=3,"All three",IF(COUNTA(E53:G53)=2,"Shared: "&amp;IF(E53&lt;&gt;"","Cust ","")&amp;IF(F53&lt;&gt;"","Proj ","")&amp;IF(G53&lt;&gt;"","Est",""),"Only "&amp;IF(E53&lt;&gt;"","Customer",IF(F53&lt;&gt;"","Project","Estimate")))))</f>
        <v/>
      </c>
      <c r="I53" s="14" t="inlineStr"/>
      <c r="J53" s="14" t="inlineStr"/>
      <c r="K53" s="14" t="inlineStr">
        <is>
          <t>Line.SalesItemLineDetail.UnitPrice</t>
        </is>
      </c>
      <c r="L53" s="14" t="inlineStr">
        <is>
          <t>Recommended</t>
        </is>
      </c>
      <c r="M53" s="14" t="inlineStr"/>
      <c r="N53" s="14" t="inlineStr">
        <is>
          <t>every line</t>
        </is>
      </c>
      <c r="O53" s="14" t="inlineStr">
        <is>
          <t>9854.40</t>
        </is>
      </c>
      <c r="P53" s="14" t="inlineStr"/>
      <c r="Q53" s="15" t="inlineStr"/>
      <c r="R53" s="15" t="inlineStr"/>
    </row>
    <row r="54">
      <c r="A54" s="11" t="n">
        <v>50</v>
      </c>
      <c r="B54" s="21" t="inlineStr">
        <is>
          <t>Estimate line</t>
        </is>
      </c>
      <c r="C54" s="13" t="inlineStr">
        <is>
          <t>Amount</t>
        </is>
      </c>
      <c r="D54" s="14" t="inlineStr">
        <is>
          <t>Line total. Must equal Qty × Rate.</t>
        </is>
      </c>
      <c r="E54" s="11" t="inlineStr"/>
      <c r="F54" s="11" t="inlineStr"/>
      <c r="G54" s="11" t="inlineStr">
        <is>
          <t>✓</t>
        </is>
      </c>
      <c r="H54" s="14">
        <f>IF(COUNTA(E54:G54)=0,"",IF(COUNTA(E54:G54)=3,"All three",IF(COUNTA(E54:G54)=2,"Shared: "&amp;IF(E54&lt;&gt;"","Cust ","")&amp;IF(F54&lt;&gt;"","Proj ","")&amp;IF(G54&lt;&gt;"","Est",""),"Only "&amp;IF(E54&lt;&gt;"","Customer",IF(F54&lt;&gt;"","Project","Estimate")))))</f>
        <v/>
      </c>
      <c r="I54" s="14" t="inlineStr"/>
      <c r="J54" s="14" t="inlineStr"/>
      <c r="K54" s="14" t="inlineStr">
        <is>
          <t>Line.Amount</t>
        </is>
      </c>
      <c r="L54" s="14" t="inlineStr">
        <is>
          <t>Required</t>
        </is>
      </c>
      <c r="M54" s="14" t="inlineStr"/>
      <c r="N54" s="14" t="inlineStr">
        <is>
          <t>every line</t>
        </is>
      </c>
      <c r="O54" s="14" t="inlineStr">
        <is>
          <t>9854.40</t>
        </is>
      </c>
      <c r="P54" s="14" t="inlineStr"/>
      <c r="Q54" s="15" t="inlineStr"/>
      <c r="R54" s="15" t="inlineStr"/>
    </row>
    <row r="55">
      <c r="A55" s="11" t="n">
        <v>51</v>
      </c>
      <c r="B55" s="21" t="inlineStr">
        <is>
          <t>Estimate line</t>
        </is>
      </c>
      <c r="C55" s="13" t="inlineStr">
        <is>
          <t>Line tax code</t>
        </is>
      </c>
      <c r="D55" s="14" t="inlineStr">
        <is>
          <t>Whether this line is taxed.</t>
        </is>
      </c>
      <c r="E55" s="11" t="inlineStr"/>
      <c r="F55" s="11" t="inlineStr"/>
      <c r="G55" s="11" t="inlineStr">
        <is>
          <t>✓</t>
        </is>
      </c>
      <c r="H55" s="14">
        <f>IF(COUNTA(E55:G55)=0,"",IF(COUNTA(E55:G55)=3,"All three",IF(COUNTA(E55:G55)=2,"Shared: "&amp;IF(E55&lt;&gt;"","Cust ","")&amp;IF(F55&lt;&gt;"","Proj ","")&amp;IF(G55&lt;&gt;"","Est",""),"Only "&amp;IF(E55&lt;&gt;"","Customer",IF(F55&lt;&gt;"","Project","Estimate")))))</f>
        <v/>
      </c>
      <c r="I55" s="14" t="inlineStr"/>
      <c r="J55" s="14" t="inlineStr"/>
      <c r="K55" s="14" t="inlineStr">
        <is>
          <t>Line.SalesItemLineDetail.TaxCodeRef</t>
        </is>
      </c>
      <c r="L55" s="14" t="inlineStr">
        <is>
          <t>Recommended</t>
        </is>
      </c>
      <c r="M55" s="14" t="inlineStr"/>
      <c r="N55" s="14" t="inlineStr">
        <is>
          <t>every line</t>
        </is>
      </c>
      <c r="O55" s="14" t="inlineStr">
        <is>
          <t>TAX</t>
        </is>
      </c>
      <c r="P55" s="14" t="inlineStr"/>
      <c r="Q55" s="15" t="inlineStr"/>
      <c r="R55" s="15" t="inlineStr"/>
    </row>
    <row r="56">
      <c r="A56" s="11" t="n">
        <v>52</v>
      </c>
      <c r="B56" s="21" t="inlineStr">
        <is>
          <t>Estimate line</t>
        </is>
      </c>
      <c r="C56" s="13" t="inlineStr">
        <is>
          <t>Service date</t>
        </is>
      </c>
      <c r="D56" s="14" t="inlineStr">
        <is>
          <t>Delivery or install date for the line.</t>
        </is>
      </c>
      <c r="E56" s="11" t="inlineStr"/>
      <c r="F56" s="11" t="inlineStr"/>
      <c r="G56" s="11" t="inlineStr">
        <is>
          <t>✓</t>
        </is>
      </c>
      <c r="H56" s="14">
        <f>IF(COUNTA(E56:G56)=0,"",IF(COUNTA(E56:G56)=3,"All three",IF(COUNTA(E56:G56)=2,"Shared: "&amp;IF(E56&lt;&gt;"","Cust ","")&amp;IF(F56&lt;&gt;"","Proj ","")&amp;IF(G56&lt;&gt;"","Est",""),"Only "&amp;IF(E56&lt;&gt;"","Customer",IF(F56&lt;&gt;"","Project","Estimate")))))</f>
        <v/>
      </c>
      <c r="I56" s="14" t="inlineStr"/>
      <c r="J56" s="14" t="inlineStr"/>
      <c r="K56" s="14" t="inlineStr">
        <is>
          <t>Line.SalesItemLineDetail.ServiceDate</t>
        </is>
      </c>
      <c r="L56" s="14" t="inlineStr">
        <is>
          <t>Optional</t>
        </is>
      </c>
      <c r="M56" s="14" t="inlineStr"/>
      <c r="N56" s="14" t="inlineStr">
        <is>
          <t>0 lines</t>
        </is>
      </c>
      <c r="O56" s="14" t="inlineStr"/>
      <c r="P56" s="14" t="inlineStr"/>
      <c r="Q56" s="15" t="inlineStr"/>
      <c r="R56" s="15" t="inlineStr"/>
    </row>
    <row r="57">
      <c r="A57" s="11" t="n">
        <v>53</v>
      </c>
      <c r="B57" s="21" t="inlineStr">
        <is>
          <t>Estimate line</t>
        </is>
      </c>
      <c r="C57" s="13" t="inlineStr">
        <is>
          <t>Line dimension 1000000039</t>
        </is>
      </c>
      <c r="D57" s="14" t="inlineStr">
        <is>
          <t>Unknown category tag (probably product line or series). 22 values seen.</t>
        </is>
      </c>
      <c r="E57" s="11" t="inlineStr"/>
      <c r="F57" s="11" t="inlineStr"/>
      <c r="G57" s="11" t="inlineStr">
        <is>
          <t>✓</t>
        </is>
      </c>
      <c r="H57" s="14">
        <f>IF(COUNTA(E57:G57)=0,"",IF(COUNTA(E57:G57)=3,"All three",IF(COUNTA(E57:G57)=2,"Shared: "&amp;IF(E57&lt;&gt;"","Cust ","")&amp;IF(F57&lt;&gt;"","Proj ","")&amp;IF(G57&lt;&gt;"","Est",""),"Only "&amp;IF(E57&lt;&gt;"","Customer",IF(F57&lt;&gt;"","Project","Estimate")))))</f>
        <v/>
      </c>
      <c r="I57" s="14" t="inlineStr"/>
      <c r="J57" s="14" t="inlineStr"/>
      <c r="K57" s="14" t="inlineStr">
        <is>
          <t>Line.CustomExtensions DIMENSION key 1000000039</t>
        </is>
      </c>
      <c r="L57" s="14" t="inlineStr">
        <is>
          <t>Confirm</t>
        </is>
      </c>
      <c r="M57" s="14" t="inlineStr"/>
      <c r="N57" s="14" t="inlineStr">
        <is>
          <t>every line</t>
        </is>
      </c>
      <c r="O57" s="14" t="inlineStr">
        <is>
          <t>1000000226</t>
        </is>
      </c>
      <c r="P57" s="14" t="inlineStr">
        <is>
          <t>The API only gives IDs. Please tell us the name.</t>
        </is>
      </c>
      <c r="Q57" s="15" t="inlineStr"/>
      <c r="R57" s="15" t="inlineStr"/>
    </row>
    <row r="58">
      <c r="A58" s="11" t="n">
        <v>54</v>
      </c>
      <c r="B58" s="21" t="inlineStr">
        <is>
          <t>Estimate line</t>
        </is>
      </c>
      <c r="C58" s="13" t="inlineStr">
        <is>
          <t>Line dimension 1000000051</t>
        </is>
      </c>
      <c r="D58" s="14" t="inlineStr">
        <is>
          <t>Unknown category tag (probably finish or color). 20 values seen.</t>
        </is>
      </c>
      <c r="E58" s="11" t="inlineStr"/>
      <c r="F58" s="11" t="inlineStr"/>
      <c r="G58" s="11" t="inlineStr">
        <is>
          <t>✓</t>
        </is>
      </c>
      <c r="H58" s="14">
        <f>IF(COUNTA(E58:G58)=0,"",IF(COUNTA(E58:G58)=3,"All three",IF(COUNTA(E58:G58)=2,"Shared: "&amp;IF(E58&lt;&gt;"","Cust ","")&amp;IF(F58&lt;&gt;"","Proj ","")&amp;IF(G58&lt;&gt;"","Est",""),"Only "&amp;IF(E58&lt;&gt;"","Customer",IF(F58&lt;&gt;"","Project","Estimate")))))</f>
        <v/>
      </c>
      <c r="I58" s="14" t="inlineStr"/>
      <c r="J58" s="14" t="inlineStr"/>
      <c r="K58" s="14" t="inlineStr">
        <is>
          <t>Line.CustomExtensions DIMENSION key 1000000051</t>
        </is>
      </c>
      <c r="L58" s="14" t="inlineStr">
        <is>
          <t>Confirm</t>
        </is>
      </c>
      <c r="M58" s="14" t="inlineStr"/>
      <c r="N58" s="14" t="inlineStr">
        <is>
          <t>every line</t>
        </is>
      </c>
      <c r="O58" s="14" t="inlineStr">
        <is>
          <t>1000000383</t>
        </is>
      </c>
      <c r="P58" s="14" t="inlineStr">
        <is>
          <t>The API only gives IDs. Please tell us the name.</t>
        </is>
      </c>
      <c r="Q58" s="15" t="inlineStr"/>
      <c r="R58" s="15" t="inlineStr"/>
    </row>
    <row r="59">
      <c r="A59" s="11" t="n">
        <v>55</v>
      </c>
      <c r="B59" s="21" t="inlineStr">
        <is>
          <t>Estimate line</t>
        </is>
      </c>
      <c r="C59" s="13" t="inlineStr">
        <is>
          <t>Line dimension 1000000172</t>
        </is>
      </c>
      <c r="D59" s="14" t="inlineStr">
        <is>
          <t>Unknown category tag (small list, 5 values seen).</t>
        </is>
      </c>
      <c r="E59" s="11" t="inlineStr"/>
      <c r="F59" s="11" t="inlineStr"/>
      <c r="G59" s="11" t="inlineStr">
        <is>
          <t>✓</t>
        </is>
      </c>
      <c r="H59" s="14">
        <f>IF(COUNTA(E59:G59)=0,"",IF(COUNTA(E59:G59)=3,"All three",IF(COUNTA(E59:G59)=2,"Shared: "&amp;IF(E59&lt;&gt;"","Cust ","")&amp;IF(F59&lt;&gt;"","Proj ","")&amp;IF(G59&lt;&gt;"","Est",""),"Only "&amp;IF(E59&lt;&gt;"","Customer",IF(F59&lt;&gt;"","Project","Estimate")))))</f>
        <v/>
      </c>
      <c r="I59" s="14" t="inlineStr"/>
      <c r="J59" s="14" t="inlineStr"/>
      <c r="K59" s="14" t="inlineStr">
        <is>
          <t>Line.CustomExtensions DIMENSION key 1000000172</t>
        </is>
      </c>
      <c r="L59" s="14" t="inlineStr">
        <is>
          <t>Confirm</t>
        </is>
      </c>
      <c r="M59" s="14" t="inlineStr"/>
      <c r="N59" s="14" t="inlineStr">
        <is>
          <t>every line</t>
        </is>
      </c>
      <c r="O59" s="14" t="inlineStr">
        <is>
          <t>1000000175</t>
        </is>
      </c>
      <c r="P59" s="14" t="inlineStr">
        <is>
          <t>The API only gives IDs. Please tell us the name.</t>
        </is>
      </c>
      <c r="Q59" s="15" t="inlineStr"/>
      <c r="R59" s="15" t="inlineStr"/>
    </row>
    <row r="60">
      <c r="A60" s="11" t="n">
        <v>56</v>
      </c>
      <c r="B60" s="21" t="inlineStr">
        <is>
          <t>Estimate line</t>
        </is>
      </c>
      <c r="C60" s="13" t="inlineStr">
        <is>
          <t>Subtotal line</t>
        </is>
      </c>
      <c r="D60" s="14" t="inlineStr">
        <is>
          <t>Subtotal row on the estimate.</t>
        </is>
      </c>
      <c r="E60" s="11" t="inlineStr"/>
      <c r="F60" s="11" t="inlineStr"/>
      <c r="G60" s="11" t="inlineStr">
        <is>
          <t>✓</t>
        </is>
      </c>
      <c r="H60" s="14">
        <f>IF(COUNTA(E60:G60)=0,"",IF(COUNTA(E60:G60)=3,"All three",IF(COUNTA(E60:G60)=2,"Shared: "&amp;IF(E60&lt;&gt;"","Cust ","")&amp;IF(F60&lt;&gt;"","Proj ","")&amp;IF(G60&lt;&gt;"","Est",""),"Only "&amp;IF(E60&lt;&gt;"","Customer",IF(F60&lt;&gt;"","Project","Estimate")))))</f>
        <v/>
      </c>
      <c r="I60" s="14" t="inlineStr"/>
      <c r="J60" s="14" t="inlineStr"/>
      <c r="K60" s="14" t="inlineStr">
        <is>
          <t>Line DetailType = SubTotalLineDetail</t>
        </is>
      </c>
      <c r="L60" s="14" t="inlineStr">
        <is>
          <t>Optional</t>
        </is>
      </c>
      <c r="M60" s="14" t="inlineStr"/>
      <c r="N60" s="14" t="inlineStr">
        <is>
          <t>10/10</t>
        </is>
      </c>
      <c r="O60" s="14" t="inlineStr"/>
      <c r="P60" s="14" t="inlineStr"/>
      <c r="Q60" s="15" t="inlineStr"/>
      <c r="R60" s="15" t="inlineStr"/>
    </row>
    <row r="61">
      <c r="A61" s="11" t="n">
        <v>57</v>
      </c>
      <c r="B61" s="21" t="inlineStr">
        <is>
          <t>Estimate line</t>
        </is>
      </c>
      <c r="C61" s="13" t="inlineStr">
        <is>
          <t>Discount</t>
        </is>
      </c>
      <c r="D61" s="14" t="inlineStr">
        <is>
          <t>Flat or percent discount.</t>
        </is>
      </c>
      <c r="E61" s="11" t="inlineStr"/>
      <c r="F61" s="11" t="inlineStr"/>
      <c r="G61" s="11" t="inlineStr">
        <is>
          <t>✓</t>
        </is>
      </c>
      <c r="H61" s="14">
        <f>IF(COUNTA(E61:G61)=0,"",IF(COUNTA(E61:G61)=3,"All three",IF(COUNTA(E61:G61)=2,"Shared: "&amp;IF(E61&lt;&gt;"","Cust ","")&amp;IF(F61&lt;&gt;"","Proj ","")&amp;IF(G61&lt;&gt;"","Est",""),"Only "&amp;IF(E61&lt;&gt;"","Customer",IF(F61&lt;&gt;"","Project","Estimate")))))</f>
        <v/>
      </c>
      <c r="I61" s="14" t="inlineStr"/>
      <c r="J61" s="14" t="inlineStr"/>
      <c r="K61" s="14" t="inlineStr">
        <is>
          <t>Line DetailType = DiscountLineDetail (acct 1308)</t>
        </is>
      </c>
      <c r="L61" s="14" t="inlineStr">
        <is>
          <t>Optional</t>
        </is>
      </c>
      <c r="M61" s="14" t="inlineStr"/>
      <c r="N61" s="14" t="inlineStr">
        <is>
          <t>1/10</t>
        </is>
      </c>
      <c r="O61" s="14" t="inlineStr">
        <is>
          <t>789.57</t>
        </is>
      </c>
      <c r="P61" s="14" t="inlineStr"/>
      <c r="Q61" s="15" t="inlineStr"/>
      <c r="R61" s="15" t="inlineStr"/>
    </row>
    <row r="62">
      <c r="A62" s="22">
        <f>IF(C62="","",ROW()-4)</f>
        <v/>
      </c>
      <c r="B62" s="23" t="inlineStr">
        <is>
          <t>(add missing items below)</t>
        </is>
      </c>
      <c r="C62" s="23" t="n"/>
      <c r="D62" s="23" t="n"/>
      <c r="E62" s="22" t="n"/>
      <c r="F62" s="22" t="n"/>
      <c r="G62" s="22" t="n"/>
      <c r="H62" s="24">
        <f>IF(COUNTA(E62:G62)=0,"",IF(COUNTA(E62:G62)=3,"All three",IF(COUNTA(E62:G62)=2,"Shared: "&amp;IF(E62&lt;&gt;"","Cust ","")&amp;IF(F62&lt;&gt;"","Proj ","")&amp;IF(G62&lt;&gt;"","Est",""),"Only "&amp;IF(E62&lt;&gt;"","Customer",IF(F62&lt;&gt;"","Project","Estimate")))))</f>
        <v/>
      </c>
      <c r="I62" s="23" t="n"/>
      <c r="J62" s="23" t="n"/>
      <c r="K62" s="23" t="n"/>
      <c r="L62" s="23" t="n"/>
      <c r="M62" s="23" t="n"/>
      <c r="N62" s="23" t="n"/>
      <c r="O62" s="23" t="n"/>
      <c r="P62" s="23" t="n"/>
      <c r="Q62" s="23" t="n"/>
      <c r="R62" s="23" t="n"/>
    </row>
    <row r="63">
      <c r="A63" s="22">
        <f>IF(C63="","",ROW()-4)</f>
        <v/>
      </c>
      <c r="B63" s="23" t="n"/>
      <c r="C63" s="23" t="n"/>
      <c r="D63" s="23" t="n"/>
      <c r="E63" s="22" t="n"/>
      <c r="F63" s="22" t="n"/>
      <c r="G63" s="22" t="n"/>
      <c r="H63" s="24">
        <f>IF(COUNTA(E63:G63)=0,"",IF(COUNTA(E63:G63)=3,"All three",IF(COUNTA(E63:G63)=2,"Shared: "&amp;IF(E63&lt;&gt;"","Cust ","")&amp;IF(F63&lt;&gt;"","Proj ","")&amp;IF(G63&lt;&gt;"","Est",""),"Only "&amp;IF(E63&lt;&gt;"","Customer",IF(F63&lt;&gt;"","Project","Estimate")))))</f>
        <v/>
      </c>
      <c r="I63" s="23" t="n"/>
      <c r="J63" s="23" t="n"/>
      <c r="K63" s="23" t="n"/>
      <c r="L63" s="23" t="n"/>
      <c r="M63" s="23" t="n"/>
      <c r="N63" s="23" t="n"/>
      <c r="O63" s="23" t="n"/>
      <c r="P63" s="23" t="n"/>
      <c r="Q63" s="23" t="n"/>
      <c r="R63" s="23" t="n"/>
    </row>
    <row r="64">
      <c r="A64" s="22">
        <f>IF(C64="","",ROW()-4)</f>
        <v/>
      </c>
      <c r="B64" s="23" t="n"/>
      <c r="C64" s="23" t="n"/>
      <c r="D64" s="23" t="n"/>
      <c r="E64" s="22" t="n"/>
      <c r="F64" s="22" t="n"/>
      <c r="G64" s="22" t="n"/>
      <c r="H64" s="24">
        <f>IF(COUNTA(E64:G64)=0,"",IF(COUNTA(E64:G64)=3,"All three",IF(COUNTA(E64:G64)=2,"Shared: "&amp;IF(E64&lt;&gt;"","Cust ","")&amp;IF(F64&lt;&gt;"","Proj ","")&amp;IF(G64&lt;&gt;"","Est",""),"Only "&amp;IF(E64&lt;&gt;"","Customer",IF(F64&lt;&gt;"","Project","Estimate")))))</f>
        <v/>
      </c>
      <c r="I64" s="23" t="n"/>
      <c r="J64" s="23" t="n"/>
      <c r="K64" s="23" t="n"/>
      <c r="L64" s="23" t="n"/>
      <c r="M64" s="23" t="n"/>
      <c r="N64" s="23" t="n"/>
      <c r="O64" s="23" t="n"/>
      <c r="P64" s="23" t="n"/>
      <c r="Q64" s="23" t="n"/>
      <c r="R64" s="23" t="n"/>
    </row>
    <row r="65">
      <c r="A65" s="22">
        <f>IF(C65="","",ROW()-4)</f>
        <v/>
      </c>
      <c r="B65" s="23" t="n"/>
      <c r="C65" s="23" t="n"/>
      <c r="D65" s="23" t="n"/>
      <c r="E65" s="22" t="n"/>
      <c r="F65" s="22" t="n"/>
      <c r="G65" s="22" t="n"/>
      <c r="H65" s="24">
        <f>IF(COUNTA(E65:G65)=0,"",IF(COUNTA(E65:G65)=3,"All three",IF(COUNTA(E65:G65)=2,"Shared: "&amp;IF(E65&lt;&gt;"","Cust ","")&amp;IF(F65&lt;&gt;"","Proj ","")&amp;IF(G65&lt;&gt;"","Est",""),"Only "&amp;IF(E65&lt;&gt;"","Customer",IF(F65&lt;&gt;"","Project","Estimate")))))</f>
        <v/>
      </c>
      <c r="I65" s="23" t="n"/>
      <c r="J65" s="23" t="n"/>
      <c r="K65" s="23" t="n"/>
      <c r="L65" s="23" t="n"/>
      <c r="M65" s="23" t="n"/>
      <c r="N65" s="23" t="n"/>
      <c r="O65" s="23" t="n"/>
      <c r="P65" s="23" t="n"/>
      <c r="Q65" s="23" t="n"/>
      <c r="R65" s="23" t="n"/>
    </row>
    <row r="66">
      <c r="A66" s="22">
        <f>IF(C66="","",ROW()-4)</f>
        <v/>
      </c>
      <c r="B66" s="23" t="n"/>
      <c r="C66" s="23" t="n"/>
      <c r="D66" s="23" t="n"/>
      <c r="E66" s="22" t="n"/>
      <c r="F66" s="22" t="n"/>
      <c r="G66" s="22" t="n"/>
      <c r="H66" s="24">
        <f>IF(COUNTA(E66:G66)=0,"",IF(COUNTA(E66:G66)=3,"All three",IF(COUNTA(E66:G66)=2,"Shared: "&amp;IF(E66&lt;&gt;"","Cust ","")&amp;IF(F66&lt;&gt;"","Proj ","")&amp;IF(G66&lt;&gt;"","Est",""),"Only "&amp;IF(E66&lt;&gt;"","Customer",IF(F66&lt;&gt;"","Project","Estimate")))))</f>
        <v/>
      </c>
      <c r="I66" s="23" t="n"/>
      <c r="J66" s="23" t="n"/>
      <c r="K66" s="23" t="n"/>
      <c r="L66" s="23" t="n"/>
      <c r="M66" s="23" t="n"/>
      <c r="N66" s="23" t="n"/>
      <c r="O66" s="23" t="n"/>
      <c r="P66" s="23" t="n"/>
      <c r="Q66" s="23" t="n"/>
      <c r="R66" s="23" t="n"/>
    </row>
    <row r="67">
      <c r="A67" s="22">
        <f>IF(C67="","",ROW()-4)</f>
        <v/>
      </c>
      <c r="B67" s="23" t="n"/>
      <c r="C67" s="23" t="n"/>
      <c r="D67" s="23" t="n"/>
      <c r="E67" s="22" t="n"/>
      <c r="F67" s="22" t="n"/>
      <c r="G67" s="22" t="n"/>
      <c r="H67" s="24">
        <f>IF(COUNTA(E67:G67)=0,"",IF(COUNTA(E67:G67)=3,"All three",IF(COUNTA(E67:G67)=2,"Shared: "&amp;IF(E67&lt;&gt;"","Cust ","")&amp;IF(F67&lt;&gt;"","Proj ","")&amp;IF(G67&lt;&gt;"","Est",""),"Only "&amp;IF(E67&lt;&gt;"","Customer",IF(F67&lt;&gt;"","Project","Estimate")))))</f>
        <v/>
      </c>
      <c r="I67" s="23" t="n"/>
      <c r="J67" s="23" t="n"/>
      <c r="K67" s="23" t="n"/>
      <c r="L67" s="23" t="n"/>
      <c r="M67" s="23" t="n"/>
      <c r="N67" s="23" t="n"/>
      <c r="O67" s="23" t="n"/>
      <c r="P67" s="23" t="n"/>
      <c r="Q67" s="23" t="n"/>
      <c r="R67" s="23" t="n"/>
    </row>
    <row r="68">
      <c r="A68" s="22">
        <f>IF(C68="","",ROW()-4)</f>
        <v/>
      </c>
      <c r="B68" s="23" t="n"/>
      <c r="C68" s="23" t="n"/>
      <c r="D68" s="23" t="n"/>
      <c r="E68" s="22" t="n"/>
      <c r="F68" s="22" t="n"/>
      <c r="G68" s="22" t="n"/>
      <c r="H68" s="24">
        <f>IF(COUNTA(E68:G68)=0,"",IF(COUNTA(E68:G68)=3,"All three",IF(COUNTA(E68:G68)=2,"Shared: "&amp;IF(E68&lt;&gt;"","Cust ","")&amp;IF(F68&lt;&gt;"","Proj ","")&amp;IF(G68&lt;&gt;"","Est",""),"Only "&amp;IF(E68&lt;&gt;"","Customer",IF(F68&lt;&gt;"","Project","Estimate")))))</f>
        <v/>
      </c>
      <c r="I68" s="23" t="n"/>
      <c r="J68" s="23" t="n"/>
      <c r="K68" s="23" t="n"/>
      <c r="L68" s="23" t="n"/>
      <c r="M68" s="23" t="n"/>
      <c r="N68" s="23" t="n"/>
      <c r="O68" s="23" t="n"/>
      <c r="P68" s="23" t="n"/>
      <c r="Q68" s="23" t="n"/>
      <c r="R68" s="23" t="n"/>
    </row>
    <row r="69">
      <c r="A69" s="22">
        <f>IF(C69="","",ROW()-4)</f>
        <v/>
      </c>
      <c r="B69" s="23" t="n"/>
      <c r="C69" s="23" t="n"/>
      <c r="D69" s="23" t="n"/>
      <c r="E69" s="22" t="n"/>
      <c r="F69" s="22" t="n"/>
      <c r="G69" s="22" t="n"/>
      <c r="H69" s="24">
        <f>IF(COUNTA(E69:G69)=0,"",IF(COUNTA(E69:G69)=3,"All three",IF(COUNTA(E69:G69)=2,"Shared: "&amp;IF(E69&lt;&gt;"","Cust ","")&amp;IF(F69&lt;&gt;"","Proj ","")&amp;IF(G69&lt;&gt;"","Est",""),"Only "&amp;IF(E69&lt;&gt;"","Customer",IF(F69&lt;&gt;"","Project","Estimate")))))</f>
        <v/>
      </c>
      <c r="I69" s="23" t="n"/>
      <c r="J69" s="23" t="n"/>
      <c r="K69" s="23" t="n"/>
      <c r="L69" s="23" t="n"/>
      <c r="M69" s="23" t="n"/>
      <c r="N69" s="23" t="n"/>
      <c r="O69" s="23" t="n"/>
      <c r="P69" s="23" t="n"/>
      <c r="Q69" s="23" t="n"/>
      <c r="R69" s="23" t="n"/>
    </row>
    <row r="70">
      <c r="A70" s="22">
        <f>IF(C70="","",ROW()-4)</f>
        <v/>
      </c>
      <c r="B70" s="23" t="n"/>
      <c r="C70" s="23" t="n"/>
      <c r="D70" s="23" t="n"/>
      <c r="E70" s="22" t="n"/>
      <c r="F70" s="22" t="n"/>
      <c r="G70" s="22" t="n"/>
      <c r="H70" s="24">
        <f>IF(COUNTA(E70:G70)=0,"",IF(COUNTA(E70:G70)=3,"All three",IF(COUNTA(E70:G70)=2,"Shared: "&amp;IF(E70&lt;&gt;"","Cust ","")&amp;IF(F70&lt;&gt;"","Proj ","")&amp;IF(G70&lt;&gt;"","Est",""),"Only "&amp;IF(E70&lt;&gt;"","Customer",IF(F70&lt;&gt;"","Project","Estimate")))))</f>
        <v/>
      </c>
      <c r="I70" s="23" t="n"/>
      <c r="J70" s="23" t="n"/>
      <c r="K70" s="23" t="n"/>
      <c r="L70" s="23" t="n"/>
      <c r="M70" s="23" t="n"/>
      <c r="N70" s="23" t="n"/>
      <c r="O70" s="23" t="n"/>
      <c r="P70" s="23" t="n"/>
      <c r="Q70" s="23" t="n"/>
      <c r="R70" s="23" t="n"/>
    </row>
    <row r="71">
      <c r="A71" s="22">
        <f>IF(C71="","",ROW()-4)</f>
        <v/>
      </c>
      <c r="B71" s="23" t="n"/>
      <c r="C71" s="23" t="n"/>
      <c r="D71" s="23" t="n"/>
      <c r="E71" s="22" t="n"/>
      <c r="F71" s="22" t="n"/>
      <c r="G71" s="22" t="n"/>
      <c r="H71" s="24">
        <f>IF(COUNTA(E71:G71)=0,"",IF(COUNTA(E71:G71)=3,"All three",IF(COUNTA(E71:G71)=2,"Shared: "&amp;IF(E71&lt;&gt;"","Cust ","")&amp;IF(F71&lt;&gt;"","Proj ","")&amp;IF(G71&lt;&gt;"","Est",""),"Only "&amp;IF(E71&lt;&gt;"","Customer",IF(F71&lt;&gt;"","Project","Estimate")))))</f>
        <v/>
      </c>
      <c r="I71" s="23" t="n"/>
      <c r="J71" s="23" t="n"/>
      <c r="K71" s="23" t="n"/>
      <c r="L71" s="23" t="n"/>
      <c r="M71" s="23" t="n"/>
      <c r="N71" s="23" t="n"/>
      <c r="O71" s="23" t="n"/>
      <c r="P71" s="23" t="n"/>
      <c r="Q71" s="23" t="n"/>
      <c r="R71" s="23" t="n"/>
    </row>
    <row r="72">
      <c r="A72" s="22">
        <f>IF(C72="","",ROW()-4)</f>
        <v/>
      </c>
      <c r="B72" s="23" t="n"/>
      <c r="C72" s="23" t="n"/>
      <c r="D72" s="23" t="n"/>
      <c r="E72" s="22" t="n"/>
      <c r="F72" s="22" t="n"/>
      <c r="G72" s="22" t="n"/>
      <c r="H72" s="24">
        <f>IF(COUNTA(E72:G72)=0,"",IF(COUNTA(E72:G72)=3,"All three",IF(COUNTA(E72:G72)=2,"Shared: "&amp;IF(E72&lt;&gt;"","Cust ","")&amp;IF(F72&lt;&gt;"","Proj ","")&amp;IF(G72&lt;&gt;"","Est",""),"Only "&amp;IF(E72&lt;&gt;"","Customer",IF(F72&lt;&gt;"","Project","Estimate")))))</f>
        <v/>
      </c>
      <c r="I72" s="23" t="n"/>
      <c r="J72" s="23" t="n"/>
      <c r="K72" s="23" t="n"/>
      <c r="L72" s="23" t="n"/>
      <c r="M72" s="23" t="n"/>
      <c r="N72" s="23" t="n"/>
      <c r="O72" s="23" t="n"/>
      <c r="P72" s="23" t="n"/>
      <c r="Q72" s="23" t="n"/>
      <c r="R72" s="23" t="n"/>
    </row>
    <row r="73">
      <c r="A73" s="22">
        <f>IF(C73="","",ROW()-4)</f>
        <v/>
      </c>
      <c r="B73" s="23" t="n"/>
      <c r="C73" s="23" t="n"/>
      <c r="D73" s="23" t="n"/>
      <c r="E73" s="22" t="n"/>
      <c r="F73" s="22" t="n"/>
      <c r="G73" s="22" t="n"/>
      <c r="H73" s="24">
        <f>IF(COUNTA(E73:G73)=0,"",IF(COUNTA(E73:G73)=3,"All three",IF(COUNTA(E73:G73)=2,"Shared: "&amp;IF(E73&lt;&gt;"","Cust ","")&amp;IF(F73&lt;&gt;"","Proj ","")&amp;IF(G73&lt;&gt;"","Est",""),"Only "&amp;IF(E73&lt;&gt;"","Customer",IF(F73&lt;&gt;"","Project","Estimate")))))</f>
        <v/>
      </c>
      <c r="I73" s="23" t="n"/>
      <c r="J73" s="23" t="n"/>
      <c r="K73" s="23" t="n"/>
      <c r="L73" s="23" t="n"/>
      <c r="M73" s="23" t="n"/>
      <c r="N73" s="23" t="n"/>
      <c r="O73" s="23" t="n"/>
      <c r="P73" s="23" t="n"/>
      <c r="Q73" s="23" t="n"/>
      <c r="R73" s="23" t="n"/>
    </row>
    <row r="74">
      <c r="A74" s="22">
        <f>IF(C74="","",ROW()-4)</f>
        <v/>
      </c>
      <c r="B74" s="23" t="n"/>
      <c r="C74" s="23" t="n"/>
      <c r="D74" s="23" t="n"/>
      <c r="E74" s="22" t="n"/>
      <c r="F74" s="22" t="n"/>
      <c r="G74" s="22" t="n"/>
      <c r="H74" s="24">
        <f>IF(COUNTA(E74:G74)=0,"",IF(COUNTA(E74:G74)=3,"All three",IF(COUNTA(E74:G74)=2,"Shared: "&amp;IF(E74&lt;&gt;"","Cust ","")&amp;IF(F74&lt;&gt;"","Proj ","")&amp;IF(G74&lt;&gt;"","Est",""),"Only "&amp;IF(E74&lt;&gt;"","Customer",IF(F74&lt;&gt;"","Project","Estimate")))))</f>
        <v/>
      </c>
      <c r="I74" s="23" t="n"/>
      <c r="J74" s="23" t="n"/>
      <c r="K74" s="23" t="n"/>
      <c r="L74" s="23" t="n"/>
      <c r="M74" s="23" t="n"/>
      <c r="N74" s="23" t="n"/>
      <c r="O74" s="23" t="n"/>
      <c r="P74" s="23" t="n"/>
      <c r="Q74" s="23" t="n"/>
      <c r="R74" s="23" t="n"/>
    </row>
    <row r="75">
      <c r="A75" s="22">
        <f>IF(C75="","",ROW()-4)</f>
        <v/>
      </c>
      <c r="B75" s="23" t="n"/>
      <c r="C75" s="23" t="n"/>
      <c r="D75" s="23" t="n"/>
      <c r="E75" s="22" t="n"/>
      <c r="F75" s="22" t="n"/>
      <c r="G75" s="22" t="n"/>
      <c r="H75" s="24">
        <f>IF(COUNTA(E75:G75)=0,"",IF(COUNTA(E75:G75)=3,"All three",IF(COUNTA(E75:G75)=2,"Shared: "&amp;IF(E75&lt;&gt;"","Cust ","")&amp;IF(F75&lt;&gt;"","Proj ","")&amp;IF(G75&lt;&gt;"","Est",""),"Only "&amp;IF(E75&lt;&gt;"","Customer",IF(F75&lt;&gt;"","Project","Estimate")))))</f>
        <v/>
      </c>
      <c r="I75" s="23" t="n"/>
      <c r="J75" s="23" t="n"/>
      <c r="K75" s="23" t="n"/>
      <c r="L75" s="23" t="n"/>
      <c r="M75" s="23" t="n"/>
      <c r="N75" s="23" t="n"/>
      <c r="O75" s="23" t="n"/>
      <c r="P75" s="23" t="n"/>
      <c r="Q75" s="23" t="n"/>
      <c r="R75" s="23" t="n"/>
    </row>
    <row r="76">
      <c r="A76" s="22">
        <f>IF(C76="","",ROW()-4)</f>
        <v/>
      </c>
      <c r="B76" s="23" t="n"/>
      <c r="C76" s="23" t="n"/>
      <c r="D76" s="23" t="n"/>
      <c r="E76" s="22" t="n"/>
      <c r="F76" s="22" t="n"/>
      <c r="G76" s="22" t="n"/>
      <c r="H76" s="24">
        <f>IF(COUNTA(E76:G76)=0,"",IF(COUNTA(E76:G76)=3,"All three",IF(COUNTA(E76:G76)=2,"Shared: "&amp;IF(E76&lt;&gt;"","Cust ","")&amp;IF(F76&lt;&gt;"","Proj ","")&amp;IF(G76&lt;&gt;"","Est",""),"Only "&amp;IF(E76&lt;&gt;"","Customer",IF(F76&lt;&gt;"","Project","Estimate")))))</f>
        <v/>
      </c>
      <c r="I76" s="23" t="n"/>
      <c r="J76" s="23" t="n"/>
      <c r="K76" s="23" t="n"/>
      <c r="L76" s="23" t="n"/>
      <c r="M76" s="23" t="n"/>
      <c r="N76" s="23" t="n"/>
      <c r="O76" s="23" t="n"/>
      <c r="P76" s="23" t="n"/>
      <c r="Q76" s="23" t="n"/>
      <c r="R76" s="23" t="n"/>
    </row>
  </sheetData>
  <autoFilter ref="A4:R76"/>
  <mergeCells count="1">
    <mergeCell ref="A2:R2"/>
  </mergeCells>
  <conditionalFormatting sqref="H5:H76">
    <cfRule type="expression" priority="1" dxfId="0">
      <formula>$H5="All three"</formula>
    </cfRule>
    <cfRule type="expression" priority="2" dxfId="1">
      <formula>LEFT($H5,6)="Shared"</formula>
    </cfRule>
  </conditionalFormatting>
  <dataValidations count="3">
    <dataValidation sqref="E5:G76" showDropDown="0" showInputMessage="0" showErrorMessage="0" allowBlank="1" type="list">
      <formula1>"✓"</formula1>
    </dataValidation>
    <dataValidation sqref="Q5:Q76" showDropDown="0" showInputMessage="0" showErrorMessage="0" allowBlank="1" type="list">
      <formula1>"Keep,Add,Not needed,Question"</formula1>
    </dataValidation>
    <dataValidation sqref="L62:L76" showDropDown="0" showInputMessage="0" showErrorMessage="0" allowBlank="1" type="list">
      <formula1>"Required,Recommended,Optional,Confirm,Auto,Not used"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2026-09-24T15:20:26Z</dcterms:created>
  <dcterms:modified xsi:type="dcterms:W3CDTF">2026-09-24T15:20:26Z</dcterms:modified>
</cp:coreProperties>
</file>