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ummary" sheetId="1" state="visible" r:id="rId1"/>
    <sheet name="Field List" sheetId="2" state="visible" r:id="rId2"/>
    <sheet name="Estimate Comparison" sheetId="3" state="visible" r:id="rId3"/>
    <sheet name="Intake Table Gap" sheetId="4" state="visible" r:id="rId4"/>
    <sheet name="Excluded" sheetId="5" state="visible" r:id="rId5"/>
  </sheets>
  <definedNames>
    <definedName name="_xlnm._FilterDatabase" localSheetId="1" hidden="1">'Field List'!$A$4:$S$65</definedName>
  </definedNames>
  <calcPr calcId="124519" fullCalcOnLoad="1"/>
</workbook>
</file>

<file path=xl/styles.xml><?xml version="1.0" encoding="utf-8"?>
<styleSheet xmlns="http://schemas.openxmlformats.org/spreadsheetml/2006/main">
  <numFmts count="1">
    <numFmt numFmtId="164" formatCode="$#,##0.00"/>
  </numFmts>
  <fonts count="13">
    <font>
      <name val="Calibri"/>
      <family val="2"/>
      <color theme="1"/>
      <sz val="11"/>
      <scheme val="minor"/>
    </font>
    <font>
      <name val="Arial"/>
      <b val="1"/>
      <sz val="14"/>
    </font>
    <font>
      <name val="Arial"/>
      <i val="1"/>
      <sz val="9"/>
    </font>
    <font>
      <name val="Arial"/>
      <b val="1"/>
      <color rgb="00FFFFFF"/>
    </font>
    <font>
      <name val="Arial"/>
      <sz val="10"/>
    </font>
    <font>
      <name val="Arial"/>
      <b val="1"/>
      <sz val="10"/>
    </font>
    <font>
      <name val="Arial"/>
      <color rgb="000000FF"/>
      <sz val="10"/>
    </font>
    <font>
      <name val="Arial"/>
      <color rgb="00000000"/>
      <sz val="10"/>
    </font>
    <font>
      <name val="Arial"/>
    </font>
    <font>
      <name val="Arial"/>
      <b val="1"/>
    </font>
    <font>
      <name val="Arial"/>
      <b val="1"/>
      <sz val="12"/>
    </font>
    <font>
      <name val="Arial"/>
      <sz val="9"/>
    </font>
    <font>
      <name val="Arial"/>
      <b val="1"/>
      <color rgb="001F4E78"/>
    </font>
  </fonts>
  <fills count="17">
    <fill>
      <patternFill/>
    </fill>
    <fill>
      <patternFill patternType="gray125"/>
    </fill>
    <fill>
      <patternFill patternType="solid">
        <fgColor rgb="001F4E78"/>
      </patternFill>
    </fill>
    <fill>
      <patternFill patternType="solid">
        <fgColor rgb="00DDEBF7"/>
      </patternFill>
    </fill>
    <fill>
      <patternFill patternType="solid">
        <fgColor rgb="00FFFF00"/>
      </patternFill>
    </fill>
    <fill>
      <patternFill patternType="solid">
        <fgColor rgb="00E2EFDA"/>
      </patternFill>
    </fill>
    <fill>
      <patternFill patternType="solid">
        <fgColor rgb="00C6E0B4"/>
      </patternFill>
    </fill>
    <fill>
      <patternFill patternType="solid">
        <fgColor rgb="00FCE4D6"/>
      </patternFill>
    </fill>
    <fill>
      <patternFill patternType="solid">
        <fgColor rgb="00EDEDED"/>
      </patternFill>
    </fill>
    <fill>
      <patternFill patternType="solid">
        <fgColor rgb="00EDE2F6"/>
      </patternFill>
    </fill>
    <fill>
      <patternFill patternType="solid">
        <fgColor rgb="00FFF2CC"/>
      </patternFill>
    </fill>
    <fill>
      <patternFill patternType="solid">
        <fgColor rgb="00F8CBAD"/>
      </patternFill>
    </fill>
    <fill>
      <patternFill patternType="solid">
        <fgColor rgb="00D9E1F2"/>
      </patternFill>
    </fill>
    <fill>
      <patternFill patternType="solid">
        <fgColor rgb="00D9D9D9"/>
      </patternFill>
    </fill>
    <fill>
      <patternFill patternType="solid">
        <fgColor rgb="00C6EFCE"/>
      </patternFill>
    </fill>
    <fill>
      <patternFill patternType="solid">
        <fgColor rgb="00F4CCCC"/>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0" borderId="0" pivotButton="0" quotePrefix="0" xfId="0"/>
    <xf numFmtId="0" fontId="3" fillId="2" borderId="1" pivotButton="0" quotePrefix="0" xfId="0"/>
    <xf numFmtId="0" fontId="8" fillId="0" borderId="1" pivotButton="0" quotePrefix="0" xfId="0"/>
    <xf numFmtId="0" fontId="9" fillId="0" borderId="1" pivotButton="0" quotePrefix="0" xfId="0"/>
    <xf numFmtId="0" fontId="10" fillId="0" borderId="0" pivotButton="0" quotePrefix="0" xfId="0"/>
    <xf numFmtId="0" fontId="9" fillId="0" borderId="0" pivotButton="0" quotePrefix="0" xfId="0"/>
    <xf numFmtId="0" fontId="8" fillId="0" borderId="0" applyAlignment="1" pivotButton="0" quotePrefix="0" xfId="0">
      <alignment vertical="top" wrapText="1"/>
    </xf>
    <xf numFmtId="0" fontId="1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6" fillId="10" borderId="1" applyAlignment="1" pivotButton="0" quotePrefix="0" xfId="0">
      <alignment horizontal="center" vertical="top" wrapText="1"/>
    </xf>
    <xf numFmtId="0" fontId="6" fillId="10" borderId="1" applyAlignment="1" pivotButton="0" quotePrefix="0" xfId="0">
      <alignment horizontal="left" vertical="top" wrapText="1"/>
    </xf>
    <xf numFmtId="0" fontId="7" fillId="0" borderId="1" applyAlignment="1" pivotButton="0" quotePrefix="0" xfId="0">
      <alignment horizontal="left" vertical="top" wrapText="1"/>
    </xf>
    <xf numFmtId="0" fontId="2" fillId="0" borderId="0" pivotButton="0" quotePrefix="0" xfId="0"/>
    <xf numFmtId="0" fontId="12" fillId="3" borderId="0" pivotButton="0" quotePrefix="0" xfId="0"/>
    <xf numFmtId="0" fontId="0" fillId="3" borderId="0" pivotButton="0" quotePrefix="0" xfId="0"/>
    <xf numFmtId="0" fontId="5" fillId="0" borderId="1" pivotButton="0" quotePrefix="0" xfId="0"/>
    <xf numFmtId="0" fontId="4" fillId="0" borderId="1" applyAlignment="1" pivotButton="0" quotePrefix="0" xfId="0">
      <alignment vertical="top" wrapText="1"/>
    </xf>
    <xf numFmtId="0" fontId="9" fillId="0" borderId="1" applyAlignment="1" pivotButton="0" quotePrefix="0" xfId="0">
      <alignment horizontal="center" vertical="top"/>
    </xf>
    <xf numFmtId="164" fontId="4" fillId="0" borderId="1" applyAlignment="1" pivotButton="0" quotePrefix="0" xfId="0">
      <alignment vertical="top" wrapText="1"/>
    </xf>
    <xf numFmtId="0" fontId="5" fillId="0" borderId="1" applyAlignment="1" pivotButton="0" quotePrefix="0" xfId="0">
      <alignment vertical="top" wrapText="1"/>
    </xf>
    <xf numFmtId="0" fontId="4" fillId="14" borderId="1" applyAlignment="1" pivotButton="0" quotePrefix="0" xfId="0">
      <alignment vertical="top" wrapText="1"/>
    </xf>
    <xf numFmtId="0" fontId="4" fillId="4" borderId="1" applyAlignment="1" pivotButton="0" quotePrefix="0" xfId="0">
      <alignment vertical="top" wrapText="1"/>
    </xf>
    <xf numFmtId="0" fontId="4" fillId="15" borderId="1" applyAlignment="1" pivotButton="0" quotePrefix="0" xfId="0">
      <alignment vertical="top" wrapText="1"/>
    </xf>
    <xf numFmtId="0" fontId="4" fillId="8" borderId="1" applyAlignment="1" pivotButton="0" quotePrefix="0" xfId="0">
      <alignment vertical="top" wrapText="1"/>
    </xf>
    <xf numFmtId="0" fontId="4" fillId="16"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dxfs count="4">
    <dxf>
      <font>
        <name val="Arial"/>
        <b val="1"/>
        <color rgb="00006100"/>
      </font>
      <fill>
        <patternFill patternType="solid">
          <fgColor rgb="00C6EFCE"/>
        </patternFill>
      </fill>
    </dxf>
    <dxf>
      <fill>
        <patternFill patternType="solid">
          <fgColor rgb="00DDEBF7"/>
        </patternFill>
      </fill>
    </dxf>
    <dxf>
      <fill>
        <patternFill patternType="solid">
          <fgColor rgb="00C6EFCE"/>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44" customWidth="1" min="1" max="1"/>
    <col width="14" customWidth="1" min="2" max="2"/>
    <col width="70" customWidth="1" min="3" max="3"/>
  </cols>
  <sheetData>
    <row r="1">
      <c r="A1" s="1" t="inlineStr">
        <is>
          <t>Summary</t>
        </is>
      </c>
    </row>
    <row r="3">
      <c r="A3" s="2" t="inlineStr">
        <is>
          <t>Count</t>
        </is>
      </c>
      <c r="B3" s="2" t="inlineStr">
        <is>
          <t>Value</t>
        </is>
      </c>
    </row>
    <row r="4">
      <c r="A4" s="3" t="inlineStr">
        <is>
          <t>Data points listed</t>
        </is>
      </c>
      <c r="B4" s="4">
        <f>COUNTA('Field List'!C5:C65)</f>
        <v/>
      </c>
    </row>
    <row r="5">
      <c r="A5" s="3" t="inlineStr">
        <is>
          <t>Used on all three (Customer + Project + Estimate)</t>
        </is>
      </c>
      <c r="B5" s="4">
        <f>COUNTIF('Field List'!H5:H65,"All three")</f>
        <v/>
      </c>
    </row>
    <row r="6">
      <c r="A6" s="3" t="inlineStr">
        <is>
          <t>Shared by two records</t>
        </is>
      </c>
      <c r="B6" s="4">
        <f>COUNTIF('Field List'!H5:H65,"Shared*")</f>
        <v/>
      </c>
    </row>
    <row r="7">
      <c r="A7" s="3" t="inlineStr">
        <is>
          <t>Only on Customer</t>
        </is>
      </c>
      <c r="B7" s="4">
        <f>COUNTIF('Field List'!H5:H65,"Only Customer")</f>
        <v/>
      </c>
    </row>
    <row r="8">
      <c r="A8" s="3" t="inlineStr">
        <is>
          <t>Only on Project</t>
        </is>
      </c>
      <c r="B8" s="4">
        <f>COUNTIF('Field List'!H5:H65,"Only Project")</f>
        <v/>
      </c>
    </row>
    <row r="9">
      <c r="A9" s="3" t="inlineStr">
        <is>
          <t>Only on Estimate</t>
        </is>
      </c>
      <c r="B9" s="4">
        <f>COUNTIF('Field List'!H5:H65,"Only Estimate")</f>
        <v/>
      </c>
    </row>
    <row r="10">
      <c r="A10" s="3" t="inlineStr">
        <is>
          <t>Total used on Customer</t>
        </is>
      </c>
      <c r="B10" s="4">
        <f>COUNTIF('Field List'!E5:E65,"✓")</f>
        <v/>
      </c>
    </row>
    <row r="11">
      <c r="A11" s="3" t="inlineStr">
        <is>
          <t>Total used on Project</t>
        </is>
      </c>
      <c r="B11" s="4">
        <f>COUNTIF('Field List'!F5:F65,"✓")</f>
        <v/>
      </c>
    </row>
    <row r="12">
      <c r="A12" s="3" t="inlineStr">
        <is>
          <t>Total used on Estimate</t>
        </is>
      </c>
      <c r="B12" s="4">
        <f>COUNTIF('Field List'!G5:G65,"✓")</f>
        <v/>
      </c>
    </row>
    <row r="13">
      <c r="A13" s="3" t="inlineStr">
        <is>
          <t>Custom fields (estimate)</t>
        </is>
      </c>
      <c r="B13" s="4">
        <f>COUNTIF('Field List'!B5:B65,"Estimate custom field")</f>
        <v/>
      </c>
    </row>
    <row r="14">
      <c r="A14" s="3" t="inlineStr">
        <is>
          <t>Inputs someone has to enter per job</t>
        </is>
      </c>
      <c r="B14" s="4">
        <f>COUNTIF('Field List'!L5:L65,"Input*")</f>
        <v/>
      </c>
    </row>
    <row r="15">
      <c r="A15" s="3" t="inlineStr">
        <is>
          <t>Constants the flow fills in by itself</t>
        </is>
      </c>
      <c r="B15" s="4">
        <f>COUNTIF('Field List'!L5:L65,"Constant")</f>
        <v/>
      </c>
    </row>
    <row r="16">
      <c r="A16" s="3" t="inlineStr">
        <is>
          <t>Items you marked 'Add'</t>
        </is>
      </c>
      <c r="B16" s="4">
        <f>COUNTIF('Field List'!R5:R65,"Add")</f>
        <v/>
      </c>
    </row>
    <row r="17">
      <c r="A17" s="3" t="inlineStr">
        <is>
          <t>Items you marked 'Question'</t>
        </is>
      </c>
      <c r="B17" s="4">
        <f>COUNTIF('Field List'!R5:R65,"Question")</f>
        <v/>
      </c>
    </row>
    <row r="19">
      <c r="A19" s="5" t="inlineStr">
        <is>
          <t>How to use this file</t>
        </is>
      </c>
    </row>
    <row r="20" ht="30" customHeight="1">
      <c r="A20" s="6" t="inlineStr">
        <is>
          <t>Customer / Project / Estimate columns</t>
        </is>
      </c>
      <c r="C20" s="7" t="inlineStr">
        <is>
          <t>A ✓ means the data point is written to that QBO record. One input can feed more than one record, e.g. email goes to the customer, the project, and the estimate's To address.</t>
        </is>
      </c>
    </row>
    <row r="21" ht="30" customHeight="1">
      <c r="A21" s="6" t="inlineStr">
        <is>
          <t>Used in</t>
        </is>
      </c>
      <c r="C21" s="7" t="inlineStr">
        <is>
          <t>Filled in by a formula. Green = all three, blue = shared by two, blank = unique to one record.</t>
        </is>
      </c>
    </row>
    <row r="22" ht="30" customHeight="1">
      <c r="A22" s="6" t="inlineStr">
        <is>
          <t>QBO field columns</t>
        </is>
      </c>
      <c r="C22" s="7" t="inlineStr">
        <is>
          <t>The exact QBO API field the flow writes on each record type. The same input often goes into a different field on each record.</t>
        </is>
      </c>
    </row>
    <row r="23" ht="30" customHeight="1">
      <c r="A23" s="6" t="inlineStr">
        <is>
          <t>Value type</t>
        </is>
      </c>
      <c r="C23" s="7" t="inlineStr">
        <is>
          <t>Input = someone enters it for each job. Constant = the same every time, so the flow sets it. Lookup = found in QBO. Calculated / Rule = worked out by the flow.</t>
        </is>
      </c>
    </row>
    <row r="24" ht="30" customHeight="1">
      <c r="A24" s="6" t="inlineStr">
        <is>
          <t>Required?</t>
        </is>
      </c>
      <c r="C24" s="7" t="inlineStr">
        <is>
          <t>Required = every sample used it, or QBO needs it. Recommended = most samples used it. Confirm = you need to decide.</t>
        </is>
      </c>
    </row>
    <row r="25" ht="30" customHeight="1">
      <c r="A25" s="6" t="inlineStr">
        <is>
          <t>Used in the 5 sample estimates</t>
        </is>
      </c>
      <c r="C25" s="7" t="inlineStr">
        <is>
          <t>How many of 11183, 11172, 11179, 11155 and 11135 used this data point, counting the estimate, its project and its parent customer. The Estimate Comparison tab shows the actual values.</t>
        </is>
      </c>
    </row>
    <row r="26" ht="30" customHeight="1">
      <c r="A26" s="6" t="inlineStr">
        <is>
          <t>Yellow cells</t>
        </is>
      </c>
      <c r="C26" s="7" t="inlineStr">
        <is>
          <t>Your input. Pick Keep / Add / Not needed / Question in 'Your review' and add comments in 'Your notes'.</t>
        </is>
      </c>
    </row>
    <row r="27" ht="30" customHeight="1">
      <c r="A27" s="6" t="inlineStr">
        <is>
          <t>Light-yellow blank rows</t>
        </is>
      </c>
      <c r="C27" s="7" t="inlineStr">
        <is>
          <t>Add any data point we missed. Tick the records it belongs to and 'Used in' fills in by itself.</t>
        </is>
      </c>
    </row>
    <row r="29">
      <c r="A29" s="5" t="inlineStr">
        <is>
          <t>Known API limitations</t>
        </is>
      </c>
    </row>
    <row r="30" ht="32" customHeight="1">
      <c r="A30" s="7" t="inlineStr">
        <is>
          <t>• True QBO Projects (IsProject=true, ProjectRef) can't be created by a flow. Our QBO access gets 403 Forbidden from Intuit's GraphQL API (n8n execution 102). A flow can create a sub-customer (Job=true + ParentRef, execution 68).</t>
        </is>
      </c>
    </row>
    <row r="31" ht="32" customHeight="1">
      <c r="A31" s="7" t="inlineStr">
        <is>
          <t>• The newer estimate custom fields (1000000019/20/22/27) weren't saved when written through the v3 API (executions 66–76). The legacy fields 1, 2 and 3 work.</t>
        </is>
      </c>
    </row>
    <row r="32" ht="32" customHeight="1">
      <c r="A32" s="7" t="inlineStr">
        <is>
          <t>• The v3 API only returns line dimension names as ID numbers. We need you to tell us the names, or get GraphQL access.</t>
        </is>
      </c>
    </row>
    <row r="34">
      <c r="A34" s="5" t="inlineStr">
        <is>
          <t>Sources</t>
        </is>
      </c>
    </row>
    <row r="35">
      <c r="A35" s="8" t="inlineStr">
        <is>
          <t>n8n 'QBO - Master Field List Probe (read-only)' (TcfDrNFUzcyf7vLa): execution 106 = estimates 11183, 11172, 11179, 11155, 11135 plus their projects and parent customers; execution 103 = Preferences (custom field setup)</t>
        </is>
      </c>
    </row>
    <row r="36">
      <c r="A36" s="8" t="inlineStr">
        <is>
          <t>n8n 'TEST-001 Custom Field Write Test' (1tF9QG7psykePj1t); 'Test Project Sub-Customer Write Test' (86wUImQUMLfMBTPy); 'QBO GraphQL Access Test' (qLRudb67GS2ldSde)</t>
        </is>
      </c>
    </row>
    <row r="37">
      <c r="A37" s="8" t="inlineStr">
        <is>
          <t>n8n 'Automate Quickbook Customer &amp; Estimation Creation' (QXxPOCPnF5oAQPD1): starter template</t>
        </is>
      </c>
    </row>
  </sheetData>
  <mergeCells count="6">
    <mergeCell ref="A36:C36"/>
    <mergeCell ref="A37:C37"/>
    <mergeCell ref="A32:C32"/>
    <mergeCell ref="A31:C31"/>
    <mergeCell ref="A30:C30"/>
    <mergeCell ref="A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5"/>
  <sheetViews>
    <sheetView zoomScale="9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28" customWidth="1" min="3" max="3"/>
    <col width="44" customWidth="1" min="4" max="4"/>
    <col width="10" customWidth="1" min="5" max="5"/>
    <col width="10" customWidth="1" min="6" max="6"/>
    <col width="10" customWidth="1" min="7" max="7"/>
    <col width="22" customWidth="1" min="8" max="8"/>
    <col width="28" customWidth="1" min="9" max="9"/>
    <col width="28" customWidth="1" min="10" max="10"/>
    <col width="34" customWidth="1" min="11" max="11"/>
    <col width="13" customWidth="1" min="12" max="12"/>
    <col width="13" customWidth="1" min="13" max="13"/>
    <col width="13" customWidth="1" min="14" max="14"/>
    <col width="12" customWidth="1" min="15" max="15"/>
    <col width="26" customWidth="1" min="16" max="16"/>
    <col width="52" customWidth="1" min="17" max="17"/>
    <col width="14" customWidth="1" min="18" max="18"/>
    <col width="34" customWidth="1" min="19" max="19"/>
  </cols>
  <sheetData>
    <row r="1">
      <c r="A1" s="1" t="inlineStr">
        <is>
          <t>QBO master field list – Customer / Project / Estimate</t>
        </is>
      </c>
    </row>
    <row r="2" ht="30" customHeight="1">
      <c r="A2" s="9" t="inlineStr">
        <is>
          <t>Updated 2026-09-24 from estimates 11183, 11172, 11179, 11155 and 11135, plus their projects and parent customers (n8n execution 106). Only data points those estimates use are listed here. Unused ones are on the 'Excluded' tab. Terms are assumed to always be the company default. Put a ✓ in Customer / Project / Estimate for each record a data point is used on; 'Used in' fills in automatically. Yellow cells are for your review. Add any missing data points in the blank yellow rows at the bottom.</t>
        </is>
      </c>
    </row>
    <row r="4" ht="32" customHeight="1">
      <c r="A4" s="10" t="inlineStr">
        <is>
          <t>#</t>
        </is>
      </c>
      <c r="B4" s="10" t="inlineStr">
        <is>
          <t>Section</t>
        </is>
      </c>
      <c r="C4" s="10" t="inlineStr">
        <is>
          <t>Data point</t>
        </is>
      </c>
      <c r="D4" s="10" t="inlineStr">
        <is>
          <t>What it's used for</t>
        </is>
      </c>
      <c r="E4" s="10" t="inlineStr">
        <is>
          <t>Customer</t>
        </is>
      </c>
      <c r="F4" s="10" t="inlineStr">
        <is>
          <t>Project</t>
        </is>
      </c>
      <c r="G4" s="10" t="inlineStr">
        <is>
          <t>Estimate</t>
        </is>
      </c>
      <c r="H4" s="10" t="inlineStr">
        <is>
          <t>Used in</t>
        </is>
      </c>
      <c r="I4" s="10" t="inlineStr">
        <is>
          <t>QBO field – Customer</t>
        </is>
      </c>
      <c r="J4" s="10" t="inlineStr">
        <is>
          <t>QBO field – Project</t>
        </is>
      </c>
      <c r="K4" s="10" t="inlineStr">
        <is>
          <t>QBO field – Estimate</t>
        </is>
      </c>
      <c r="L4" s="10" t="inlineStr">
        <is>
          <t>Value type</t>
        </is>
      </c>
      <c r="M4" s="10" t="inlineStr">
        <is>
          <t>Required?</t>
        </is>
      </c>
      <c r="N4" s="10" t="inlineStr">
        <is>
          <t>Custom field ID</t>
        </is>
      </c>
      <c r="O4" s="10" t="inlineStr">
        <is>
          <t>Used in the 5 sample estimates</t>
        </is>
      </c>
      <c r="P4" s="10" t="inlineStr">
        <is>
          <t>Example value</t>
        </is>
      </c>
      <c r="Q4" s="10" t="inlineStr">
        <is>
          <t>Notes / what the 5 estimates showed</t>
        </is>
      </c>
      <c r="R4" s="10" t="inlineStr">
        <is>
          <t>Your review</t>
        </is>
      </c>
      <c r="S4" s="10" t="inlineStr">
        <is>
          <t>Your notes</t>
        </is>
      </c>
    </row>
    <row r="5">
      <c r="A5" s="11" t="n">
        <v>1</v>
      </c>
      <c r="B5" s="12" t="inlineStr">
        <is>
          <t>Customer</t>
        </is>
      </c>
      <c r="C5" s="13" t="inlineStr">
        <is>
          <t>Customer (parent) name</t>
        </is>
      </c>
      <c r="D5" s="14" t="inlineStr">
        <is>
          <t>The company the job is for. It's the name on the customer record, it links the project to its parent, and it's the first bill-to line on the estimate.</t>
        </is>
      </c>
      <c r="E5" s="11" t="inlineStr">
        <is>
          <t>✓</t>
        </is>
      </c>
      <c r="F5" s="11" t="inlineStr">
        <is>
          <t>✓</t>
        </is>
      </c>
      <c r="G5" s="11" t="inlineStr">
        <is>
          <t>✓</t>
        </is>
      </c>
      <c r="H5" s="14">
        <f>IF(COUNTA(E5:G5)=0,"",IF(COUNTA(E5:G5)=3,"All three",IF(COUNTA(E5:G5)=2,"Shared: "&amp;IF(E5&lt;&gt;"","Cust ","")&amp;IF(F5&lt;&gt;"","Proj ","")&amp;IF(G5&lt;&gt;"","Est",""),"Only "&amp;IF(E5&lt;&gt;"","Customer",IF(F5&lt;&gt;"","Project","Estimate")))))</f>
        <v/>
      </c>
      <c r="I5" s="14" t="inlineStr">
        <is>
          <t>DisplayName</t>
        </is>
      </c>
      <c r="J5" s="14" t="inlineStr">
        <is>
          <t>ParentRef.value (this customer's Id)</t>
        </is>
      </c>
      <c r="K5" s="14" t="inlineStr">
        <is>
          <t>BillAddr.Line1</t>
        </is>
      </c>
      <c r="L5" s="14" t="inlineStr">
        <is>
          <t>Input</t>
        </is>
      </c>
      <c r="M5" s="14" t="inlineStr">
        <is>
          <t>Required</t>
        </is>
      </c>
      <c r="N5" s="14" t="inlineStr"/>
      <c r="O5" s="11" t="inlineStr">
        <is>
          <t>5/5</t>
        </is>
      </c>
      <c r="P5" s="14" t="inlineStr">
        <is>
          <t>Integrated Door &amp; Window Systems</t>
        </is>
      </c>
      <c r="Q5" s="14" t="inlineStr">
        <is>
          <t>Must be unique in QBO. The flow searches for it before creating a new customer. In all 5 samples the company name equals the display name.</t>
        </is>
      </c>
      <c r="R5" s="15" t="inlineStr"/>
      <c r="S5" s="15" t="inlineStr"/>
    </row>
    <row r="6">
      <c r="A6" s="11" t="n">
        <v>2</v>
      </c>
      <c r="B6" s="12" t="inlineStr">
        <is>
          <t>Customer</t>
        </is>
      </c>
      <c r="C6" s="13" t="inlineStr">
        <is>
          <t>Company name</t>
        </is>
      </c>
      <c r="D6" s="14" t="inlineStr">
        <is>
          <t>Legal or business name.</t>
        </is>
      </c>
      <c r="E6" s="11" t="inlineStr">
        <is>
          <t>✓</t>
        </is>
      </c>
      <c r="F6" s="11" t="inlineStr"/>
      <c r="G6" s="11" t="inlineStr"/>
      <c r="H6" s="14">
        <f>IF(COUNTA(E6:G6)=0,"",IF(COUNTA(E6:G6)=3,"All three",IF(COUNTA(E6:G6)=2,"Shared: "&amp;IF(E6&lt;&gt;"","Cust ","")&amp;IF(F6&lt;&gt;"","Proj ","")&amp;IF(G6&lt;&gt;"","Est",""),"Only "&amp;IF(E6&lt;&gt;"","Customer",IF(F6&lt;&gt;"","Project","Estimate")))))</f>
        <v/>
      </c>
      <c r="I6" s="14" t="inlineStr">
        <is>
          <t>CompanyName</t>
        </is>
      </c>
      <c r="J6" s="14" t="inlineStr"/>
      <c r="K6" s="14" t="inlineStr"/>
      <c r="L6" s="14" t="inlineStr">
        <is>
          <t>Input</t>
        </is>
      </c>
      <c r="M6" s="14" t="inlineStr">
        <is>
          <t>Recommended</t>
        </is>
      </c>
      <c r="N6" s="14" t="inlineStr"/>
      <c r="O6" s="11" t="inlineStr">
        <is>
          <t>5/5</t>
        </is>
      </c>
      <c r="P6" s="14" t="inlineStr">
        <is>
          <t>Integrated Door &amp; Window Systems</t>
        </is>
      </c>
      <c r="Q6" s="14" t="inlineStr">
        <is>
          <t>Same as the display name in 5/5, so it can be copied instead of typed.</t>
        </is>
      </c>
      <c r="R6" s="15" t="inlineStr"/>
      <c r="S6" s="15" t="inlineStr"/>
    </row>
    <row r="7">
      <c r="A7" s="11" t="n">
        <v>3</v>
      </c>
      <c r="B7" s="12" t="inlineStr">
        <is>
          <t>Customer</t>
        </is>
      </c>
      <c r="C7" s="13" t="inlineStr">
        <is>
          <t>Customer group (parent's parent)</t>
        </is>
      </c>
      <c r="D7" s="14" t="inlineStr">
        <is>
          <t>Only when the customer itself sits under a larger company.</t>
        </is>
      </c>
      <c r="E7" s="11" t="inlineStr">
        <is>
          <t>✓</t>
        </is>
      </c>
      <c r="F7" s="11" t="inlineStr"/>
      <c r="G7" s="11" t="inlineStr"/>
      <c r="H7" s="14">
        <f>IF(COUNTA(E7:G7)=0,"",IF(COUNTA(E7:G7)=3,"All three",IF(COUNTA(E7:G7)=2,"Shared: "&amp;IF(E7&lt;&gt;"","Cust ","")&amp;IF(F7&lt;&gt;"","Proj ","")&amp;IF(G7&lt;&gt;"","Est",""),"Only "&amp;IF(E7&lt;&gt;"","Customer",IF(F7&lt;&gt;"","Project","Estimate")))))</f>
        <v/>
      </c>
      <c r="I7" s="14" t="inlineStr">
        <is>
          <t>ParentRef + Job=true</t>
        </is>
      </c>
      <c r="J7" s="14" t="inlineStr"/>
      <c r="K7" s="14" t="inlineStr"/>
      <c r="L7" s="14" t="inlineStr">
        <is>
          <t>Input</t>
        </is>
      </c>
      <c r="M7" s="14" t="inlineStr">
        <is>
          <t>Optional</t>
        </is>
      </c>
      <c r="N7" s="14" t="inlineStr"/>
      <c r="O7" s="11" t="inlineStr">
        <is>
          <t>1/5</t>
        </is>
      </c>
      <c r="P7" s="14" t="inlineStr">
        <is>
          <t>Turkel Design</t>
        </is>
      </c>
      <c r="Q7" s="14" t="inlineStr">
        <is>
          <t>11155: Turkel Design → Turkel Systems → Robbins (project is 2 levels deep).</t>
        </is>
      </c>
      <c r="R7" s="15" t="inlineStr"/>
      <c r="S7" s="15" t="inlineStr"/>
    </row>
    <row r="8">
      <c r="A8" s="11" t="n">
        <v>4</v>
      </c>
      <c r="B8" s="12" t="inlineStr">
        <is>
          <t>Customer</t>
        </is>
      </c>
      <c r="C8" s="13" t="inlineStr">
        <is>
          <t>Contact first / last name</t>
        </is>
      </c>
      <c r="D8" s="14" t="inlineStr">
        <is>
          <t>Contact person at the customer.</t>
        </is>
      </c>
      <c r="E8" s="11" t="inlineStr">
        <is>
          <t>✓</t>
        </is>
      </c>
      <c r="F8" s="11" t="inlineStr"/>
      <c r="G8" s="11" t="inlineStr"/>
      <c r="H8" s="14">
        <f>IF(COUNTA(E8:G8)=0,"",IF(COUNTA(E8:G8)=3,"All three",IF(COUNTA(E8:G8)=2,"Shared: "&amp;IF(E8&lt;&gt;"","Cust ","")&amp;IF(F8&lt;&gt;"","Proj ","")&amp;IF(G8&lt;&gt;"","Est",""),"Only "&amp;IF(E8&lt;&gt;"","Customer",IF(F8&lt;&gt;"","Project","Estimate")))))</f>
        <v/>
      </c>
      <c r="I8" s="14" t="inlineStr">
        <is>
          <t>GivenName / FamilyName</t>
        </is>
      </c>
      <c r="J8" s="14" t="inlineStr"/>
      <c r="K8" s="14" t="inlineStr"/>
      <c r="L8" s="14" t="inlineStr">
        <is>
          <t>Input</t>
        </is>
      </c>
      <c r="M8" s="14" t="inlineStr">
        <is>
          <t>Optional</t>
        </is>
      </c>
      <c r="N8" s="14" t="inlineStr"/>
      <c r="O8" s="11" t="inlineStr">
        <is>
          <t>1/5</t>
        </is>
      </c>
      <c r="P8" s="14" t="inlineStr">
        <is>
          <t>Jamie Fronske</t>
        </is>
      </c>
      <c r="Q8" s="14" t="inlineStr"/>
      <c r="R8" s="15" t="inlineStr"/>
      <c r="S8" s="15" t="inlineStr"/>
    </row>
    <row r="9">
      <c r="A9" s="11" t="n">
        <v>5</v>
      </c>
      <c r="B9" s="12" t="inlineStr">
        <is>
          <t>Customer</t>
        </is>
      </c>
      <c r="C9" s="13" t="inlineStr">
        <is>
          <t>Customer email(s)</t>
        </is>
      </c>
      <c r="D9" s="14" t="inlineStr">
        <is>
          <t>Where the estimate is sent. Saved on the customer and the project, and used as the estimate's To address.</t>
        </is>
      </c>
      <c r="E9" s="11" t="inlineStr">
        <is>
          <t>✓</t>
        </is>
      </c>
      <c r="F9" s="11" t="inlineStr">
        <is>
          <t>✓</t>
        </is>
      </c>
      <c r="G9" s="11" t="inlineStr">
        <is>
          <t>✓</t>
        </is>
      </c>
      <c r="H9" s="14">
        <f>IF(COUNTA(E9:G9)=0,"",IF(COUNTA(E9:G9)=3,"All three",IF(COUNTA(E9:G9)=2,"Shared: "&amp;IF(E9&lt;&gt;"","Cust ","")&amp;IF(F9&lt;&gt;"","Proj ","")&amp;IF(G9&lt;&gt;"","Est",""),"Only "&amp;IF(E9&lt;&gt;"","Customer",IF(F9&lt;&gt;"","Project","Estimate")))))</f>
        <v/>
      </c>
      <c r="I9" s="14" t="inlineStr">
        <is>
          <t>PrimaryEmailAddr.Address</t>
        </is>
      </c>
      <c r="J9" s="14" t="inlineStr">
        <is>
          <t>PrimaryEmailAddr.Address</t>
        </is>
      </c>
      <c r="K9" s="14" t="inlineStr">
        <is>
          <t>BillEmail.Address</t>
        </is>
      </c>
      <c r="L9" s="14" t="inlineStr">
        <is>
          <t>Input</t>
        </is>
      </c>
      <c r="M9" s="14" t="inlineStr">
        <is>
          <t>Required</t>
        </is>
      </c>
      <c r="N9" s="14" t="inlineStr"/>
      <c r="O9" s="11" t="inlineStr">
        <is>
          <t>5/5</t>
        </is>
      </c>
      <c r="P9" s="14" t="inlineStr">
        <is>
          <t>Brit@idws.us</t>
        </is>
      </c>
      <c r="Q9" s="14" t="inlineStr">
        <is>
          <t>Can hold several addresses separated by commas (11155 has 3). 11179's parent email is a Panda address (shannon@), but its project/estimate use the customer's.</t>
        </is>
      </c>
      <c r="R9" s="15" t="inlineStr"/>
      <c r="S9" s="15" t="inlineStr"/>
    </row>
    <row r="10">
      <c r="A10" s="11" t="n">
        <v>6</v>
      </c>
      <c r="B10" s="12" t="inlineStr">
        <is>
          <t>Customer</t>
        </is>
      </c>
      <c r="C10" s="13" t="inlineStr">
        <is>
          <t>Customer phone</t>
        </is>
      </c>
      <c r="D10" s="14" t="inlineStr">
        <is>
          <t>Main phone number.</t>
        </is>
      </c>
      <c r="E10" s="11" t="inlineStr">
        <is>
          <t>✓</t>
        </is>
      </c>
      <c r="F10" s="11" t="inlineStr"/>
      <c r="G10" s="11" t="inlineStr"/>
      <c r="H10" s="14">
        <f>IF(COUNTA(E10:G10)=0,"",IF(COUNTA(E10:G10)=3,"All three",IF(COUNTA(E10:G10)=2,"Shared: "&amp;IF(E10&lt;&gt;"","Cust ","")&amp;IF(F10&lt;&gt;"","Proj ","")&amp;IF(G10&lt;&gt;"","Est",""),"Only "&amp;IF(E10&lt;&gt;"","Customer",IF(F10&lt;&gt;"","Project","Estimate")))))</f>
        <v/>
      </c>
      <c r="I10" s="14" t="inlineStr">
        <is>
          <t>PrimaryPhone.FreeFormNumber</t>
        </is>
      </c>
      <c r="J10" s="14" t="inlineStr"/>
      <c r="K10" s="14" t="inlineStr"/>
      <c r="L10" s="14" t="inlineStr">
        <is>
          <t>Input</t>
        </is>
      </c>
      <c r="M10" s="14" t="inlineStr">
        <is>
          <t>Recommended</t>
        </is>
      </c>
      <c r="N10" s="14" t="inlineStr"/>
      <c r="O10" s="11" t="inlineStr">
        <is>
          <t>3/5</t>
        </is>
      </c>
      <c r="P10" s="14" t="inlineStr">
        <is>
          <t>(310) 439-1296</t>
        </is>
      </c>
      <c r="Q10" s="14" t="inlineStr"/>
      <c r="R10" s="15" t="inlineStr"/>
      <c r="S10" s="15" t="inlineStr"/>
    </row>
    <row r="11">
      <c r="A11" s="11" t="n">
        <v>7</v>
      </c>
      <c r="B11" s="16" t="inlineStr">
        <is>
          <t>Billing address</t>
        </is>
      </c>
      <c r="C11" s="13" t="inlineStr">
        <is>
          <t>Billing street</t>
        </is>
      </c>
      <c r="D11" s="14" t="inlineStr">
        <is>
          <t>Customer's billing address, printed as bill-to line 2 on the estimate.</t>
        </is>
      </c>
      <c r="E11" s="11" t="inlineStr">
        <is>
          <t>✓</t>
        </is>
      </c>
      <c r="F11" s="11" t="inlineStr"/>
      <c r="G11" s="11" t="inlineStr">
        <is>
          <t>✓</t>
        </is>
      </c>
      <c r="H11" s="14">
        <f>IF(COUNTA(E11:G11)=0,"",IF(COUNTA(E11:G11)=3,"All three",IF(COUNTA(E11:G11)=2,"Shared: "&amp;IF(E11&lt;&gt;"","Cust ","")&amp;IF(F11&lt;&gt;"","Proj ","")&amp;IF(G11&lt;&gt;"","Est",""),"Only "&amp;IF(E11&lt;&gt;"","Customer",IF(F11&lt;&gt;"","Project","Estimate")))))</f>
        <v/>
      </c>
      <c r="I11" s="14" t="inlineStr">
        <is>
          <t>BillAddr.Line1</t>
        </is>
      </c>
      <c r="J11" s="14" t="inlineStr"/>
      <c r="K11" s="14" t="inlineStr">
        <is>
          <t>BillAddr.Line2</t>
        </is>
      </c>
      <c r="L11" s="14" t="inlineStr">
        <is>
          <t>Input</t>
        </is>
      </c>
      <c r="M11" s="14" t="inlineStr">
        <is>
          <t>Required</t>
        </is>
      </c>
      <c r="N11" s="14" t="inlineStr"/>
      <c r="O11" s="11" t="inlineStr">
        <is>
          <t>5/5</t>
        </is>
      </c>
      <c r="P11" s="14" t="inlineStr">
        <is>
          <t>11817 Major Street</t>
        </is>
      </c>
      <c r="Q11" s="14" t="inlineStr">
        <is>
          <t>The estimate uses 3 free-form lines: company / street / 'City, ST ZIP'.</t>
        </is>
      </c>
      <c r="R11" s="15" t="inlineStr"/>
      <c r="S11" s="15" t="inlineStr"/>
    </row>
    <row r="12">
      <c r="A12" s="11" t="n">
        <v>8</v>
      </c>
      <c r="B12" s="16" t="inlineStr">
        <is>
          <t>Billing address</t>
        </is>
      </c>
      <c r="C12" s="13" t="inlineStr">
        <is>
          <t>Billing city</t>
        </is>
      </c>
      <c r="D12" s="14" t="inlineStr"/>
      <c r="E12" s="11" t="inlineStr">
        <is>
          <t>✓</t>
        </is>
      </c>
      <c r="F12" s="11" t="inlineStr"/>
      <c r="G12" s="11" t="inlineStr">
        <is>
          <t>✓</t>
        </is>
      </c>
      <c r="H12" s="14">
        <f>IF(COUNTA(E12:G12)=0,"",IF(COUNTA(E12:G12)=3,"All three",IF(COUNTA(E12:G12)=2,"Shared: "&amp;IF(E12&lt;&gt;"","Cust ","")&amp;IF(F12&lt;&gt;"","Proj ","")&amp;IF(G12&lt;&gt;"","Est",""),"Only "&amp;IF(E12&lt;&gt;"","Customer",IF(F12&lt;&gt;"","Project","Estimate")))))</f>
        <v/>
      </c>
      <c r="I12" s="14" t="inlineStr">
        <is>
          <t>BillAddr.City</t>
        </is>
      </c>
      <c r="J12" s="14" t="inlineStr"/>
      <c r="K12" s="14" t="inlineStr">
        <is>
          <t>BillAddr.Line3</t>
        </is>
      </c>
      <c r="L12" s="14" t="inlineStr">
        <is>
          <t>Input</t>
        </is>
      </c>
      <c r="M12" s="14" t="inlineStr">
        <is>
          <t>Required</t>
        </is>
      </c>
      <c r="N12" s="14" t="inlineStr"/>
      <c r="O12" s="11" t="inlineStr">
        <is>
          <t>5/5</t>
        </is>
      </c>
      <c r="P12" s="14" t="inlineStr">
        <is>
          <t>Culver City</t>
        </is>
      </c>
      <c r="Q12" s="14" t="inlineStr">
        <is>
          <t>Data quality: on Progress Glass (11179) the parent's city/state/ZIP were typed into the wrong boxes. A form with separate fields prevents this.</t>
        </is>
      </c>
      <c r="R12" s="15" t="inlineStr"/>
      <c r="S12" s="15" t="inlineStr"/>
    </row>
    <row r="13">
      <c r="A13" s="11" t="n">
        <v>9</v>
      </c>
      <c r="B13" s="16" t="inlineStr">
        <is>
          <t>Billing address</t>
        </is>
      </c>
      <c r="C13" s="13" t="inlineStr">
        <is>
          <t>Billing state</t>
        </is>
      </c>
      <c r="D13" s="14" t="inlineStr"/>
      <c r="E13" s="11" t="inlineStr">
        <is>
          <t>✓</t>
        </is>
      </c>
      <c r="F13" s="11" t="inlineStr"/>
      <c r="G13" s="11" t="inlineStr">
        <is>
          <t>✓</t>
        </is>
      </c>
      <c r="H13" s="14">
        <f>IF(COUNTA(E13:G13)=0,"",IF(COUNTA(E13:G13)=3,"All three",IF(COUNTA(E13:G13)=2,"Shared: "&amp;IF(E13&lt;&gt;"","Cust ","")&amp;IF(F13&lt;&gt;"","Proj ","")&amp;IF(G13&lt;&gt;"","Est",""),"Only "&amp;IF(E13&lt;&gt;"","Customer",IF(F13&lt;&gt;"","Project","Estimate")))))</f>
        <v/>
      </c>
      <c r="I13" s="14" t="inlineStr">
        <is>
          <t>BillAddr.CountrySubDivisionCode</t>
        </is>
      </c>
      <c r="J13" s="14" t="inlineStr"/>
      <c r="K13" s="14" t="inlineStr">
        <is>
          <t>BillAddr.Line3</t>
        </is>
      </c>
      <c r="L13" s="14" t="inlineStr">
        <is>
          <t>Input</t>
        </is>
      </c>
      <c r="M13" s="14" t="inlineStr">
        <is>
          <t>Required</t>
        </is>
      </c>
      <c r="N13" s="14" t="inlineStr"/>
      <c r="O13" s="11" t="inlineStr">
        <is>
          <t>5/5</t>
        </is>
      </c>
      <c r="P13" s="14" t="inlineStr">
        <is>
          <t>CA</t>
        </is>
      </c>
      <c r="Q13" s="14" t="inlineStr"/>
      <c r="R13" s="15" t="inlineStr"/>
      <c r="S13" s="15" t="inlineStr"/>
    </row>
    <row r="14">
      <c r="A14" s="11" t="n">
        <v>10</v>
      </c>
      <c r="B14" s="16" t="inlineStr">
        <is>
          <t>Billing address</t>
        </is>
      </c>
      <c r="C14" s="13" t="inlineStr">
        <is>
          <t>Billing ZIP</t>
        </is>
      </c>
      <c r="D14" s="14" t="inlineStr"/>
      <c r="E14" s="11" t="inlineStr">
        <is>
          <t>✓</t>
        </is>
      </c>
      <c r="F14" s="11" t="inlineStr"/>
      <c r="G14" s="11" t="inlineStr">
        <is>
          <t>✓</t>
        </is>
      </c>
      <c r="H14" s="14">
        <f>IF(COUNTA(E14:G14)=0,"",IF(COUNTA(E14:G14)=3,"All three",IF(COUNTA(E14:G14)=2,"Shared: "&amp;IF(E14&lt;&gt;"","Cust ","")&amp;IF(F14&lt;&gt;"","Proj ","")&amp;IF(G14&lt;&gt;"","Est",""),"Only "&amp;IF(E14&lt;&gt;"","Customer",IF(F14&lt;&gt;"","Project","Estimate")))))</f>
        <v/>
      </c>
      <c r="I14" s="14" t="inlineStr">
        <is>
          <t>BillAddr.PostalCode</t>
        </is>
      </c>
      <c r="J14" s="14" t="inlineStr"/>
      <c r="K14" s="14" t="inlineStr">
        <is>
          <t>BillAddr.Line3</t>
        </is>
      </c>
      <c r="L14" s="14" t="inlineStr">
        <is>
          <t>Input</t>
        </is>
      </c>
      <c r="M14" s="14" t="inlineStr">
        <is>
          <t>Required</t>
        </is>
      </c>
      <c r="N14" s="14" t="inlineStr"/>
      <c r="O14" s="11" t="inlineStr">
        <is>
          <t>5/5</t>
        </is>
      </c>
      <c r="P14" s="14" t="inlineStr">
        <is>
          <t>90230</t>
        </is>
      </c>
      <c r="Q14" s="14" t="inlineStr"/>
      <c r="R14" s="15" t="inlineStr"/>
      <c r="S14" s="15" t="inlineStr"/>
    </row>
    <row r="15">
      <c r="A15" s="11" t="n">
        <v>11</v>
      </c>
      <c r="B15" s="17" t="inlineStr">
        <is>
          <t>Ship-to / job site</t>
        </is>
      </c>
      <c r="C15" s="13" t="inlineStr">
        <is>
          <t>Ship-to name</t>
        </is>
      </c>
      <c r="D15" s="14" t="inlineStr">
        <is>
          <t>First ship-to line: the company name, or 'Local Pickup'.</t>
        </is>
      </c>
      <c r="E15" s="11" t="inlineStr">
        <is>
          <t>✓</t>
        </is>
      </c>
      <c r="F15" s="11" t="inlineStr"/>
      <c r="G15" s="11" t="inlineStr">
        <is>
          <t>✓</t>
        </is>
      </c>
      <c r="H15" s="14">
        <f>IF(COUNTA(E15:G15)=0,"",IF(COUNTA(E15:G15)=3,"All three",IF(COUNTA(E15:G15)=2,"Shared: "&amp;IF(E15&lt;&gt;"","Cust ","")&amp;IF(F15&lt;&gt;"","Proj ","")&amp;IF(G15&lt;&gt;"","Est",""),"Only "&amp;IF(E15&lt;&gt;"","Customer",IF(F15&lt;&gt;"","Project","Estimate")))))</f>
        <v/>
      </c>
      <c r="I15" s="14" t="inlineStr">
        <is>
          <t>ShipAddr (default = billing)</t>
        </is>
      </c>
      <c r="J15" s="14" t="inlineStr"/>
      <c r="K15" s="14" t="inlineStr">
        <is>
          <t>ShipAddr.Line1</t>
        </is>
      </c>
      <c r="L15" s="14" t="inlineStr">
        <is>
          <t>Input</t>
        </is>
      </c>
      <c r="M15" s="14" t="inlineStr">
        <is>
          <t>Recommended</t>
        </is>
      </c>
      <c r="N15" s="14" t="inlineStr"/>
      <c r="O15" s="11" t="inlineStr">
        <is>
          <t>4/5</t>
        </is>
      </c>
      <c r="P15" s="14" t="inlineStr">
        <is>
          <t>Local Pickup</t>
        </is>
      </c>
      <c r="Q15" s="14" t="inlineStr">
        <is>
          <t>11155 had no name line and started with the street.</t>
        </is>
      </c>
      <c r="R15" s="15" t="inlineStr"/>
      <c r="S15" s="15" t="inlineStr"/>
    </row>
    <row r="16">
      <c r="A16" s="11" t="n">
        <v>12</v>
      </c>
      <c r="B16" s="17" t="inlineStr">
        <is>
          <t>Ship-to / job site</t>
        </is>
      </c>
      <c r="C16" s="13" t="inlineStr">
        <is>
          <t>Ship-to street</t>
        </is>
      </c>
      <c r="D16" s="14" t="inlineStr">
        <is>
          <t>Delivery address, which is either the dealer or the job site.</t>
        </is>
      </c>
      <c r="E16" s="11" t="inlineStr">
        <is>
          <t>✓</t>
        </is>
      </c>
      <c r="F16" s="11" t="inlineStr"/>
      <c r="G16" s="11" t="inlineStr">
        <is>
          <t>✓</t>
        </is>
      </c>
      <c r="H16" s="14">
        <f>IF(COUNTA(E16:G16)=0,"",IF(COUNTA(E16:G16)=3,"All three",IF(COUNTA(E16:G16)=2,"Shared: "&amp;IF(E16&lt;&gt;"","Cust ","")&amp;IF(F16&lt;&gt;"","Proj ","")&amp;IF(G16&lt;&gt;"","Est",""),"Only "&amp;IF(E16&lt;&gt;"","Customer",IF(F16&lt;&gt;"","Project","Estimate")))))</f>
        <v/>
      </c>
      <c r="I16" s="14" t="inlineStr">
        <is>
          <t>ShipAddr.Line1</t>
        </is>
      </c>
      <c r="J16" s="14" t="inlineStr"/>
      <c r="K16" s="14" t="inlineStr">
        <is>
          <t>ShipAddr.Line2</t>
        </is>
      </c>
      <c r="L16" s="14" t="inlineStr">
        <is>
          <t>Input</t>
        </is>
      </c>
      <c r="M16" s="14" t="inlineStr">
        <is>
          <t>Required</t>
        </is>
      </c>
      <c r="N16" s="14" t="inlineStr"/>
      <c r="O16" s="11" t="inlineStr">
        <is>
          <t>5/5</t>
        </is>
      </c>
      <c r="P16" s="14" t="inlineStr">
        <is>
          <t>81-6565 Mamaka PL (Lot 235)</t>
        </is>
      </c>
      <c r="Q16" s="14" t="inlineStr">
        <is>
          <t>3/5 shipped to the customer's own address, 1/5 was local pickup (3415 Bellington Rd.), 1/5 went to the job site. No project record had an address.</t>
        </is>
      </c>
      <c r="R16" s="15" t="inlineStr"/>
      <c r="S16" s="15" t="inlineStr"/>
    </row>
    <row r="17">
      <c r="A17" s="11" t="n">
        <v>13</v>
      </c>
      <c r="B17" s="17" t="inlineStr">
        <is>
          <t>Ship-to / job site</t>
        </is>
      </c>
      <c r="C17" s="13" t="inlineStr">
        <is>
          <t>Ship-to city, state, ZIP</t>
        </is>
      </c>
      <c r="D17" s="14" t="inlineStr"/>
      <c r="E17" s="11" t="inlineStr">
        <is>
          <t>✓</t>
        </is>
      </c>
      <c r="F17" s="11" t="inlineStr"/>
      <c r="G17" s="11" t="inlineStr">
        <is>
          <t>✓</t>
        </is>
      </c>
      <c r="H17" s="14">
        <f>IF(COUNTA(E17:G17)=0,"",IF(COUNTA(E17:G17)=3,"All three",IF(COUNTA(E17:G17)=2,"Shared: "&amp;IF(E17&lt;&gt;"","Cust ","")&amp;IF(F17&lt;&gt;"","Proj ","")&amp;IF(G17&lt;&gt;"","Est",""),"Only "&amp;IF(E17&lt;&gt;"","Customer",IF(F17&lt;&gt;"","Project","Estimate")))))</f>
        <v/>
      </c>
      <c r="I17" s="14" t="inlineStr">
        <is>
          <t>ShipAddr.City / CountrySubDivisionCode / PostalCode</t>
        </is>
      </c>
      <c r="J17" s="14" t="inlineStr"/>
      <c r="K17" s="14" t="inlineStr">
        <is>
          <t>ShipAddr.Line3</t>
        </is>
      </c>
      <c r="L17" s="14" t="inlineStr">
        <is>
          <t>Input</t>
        </is>
      </c>
      <c r="M17" s="14" t="inlineStr">
        <is>
          <t>Required</t>
        </is>
      </c>
      <c r="N17" s="14" t="inlineStr"/>
      <c r="O17" s="11" t="inlineStr">
        <is>
          <t>5/5</t>
        </is>
      </c>
      <c r="P17" s="14" t="inlineStr">
        <is>
          <t>Kealakekua, HI 96750</t>
        </is>
      </c>
      <c r="Q17" s="14" t="inlineStr"/>
      <c r="R17" s="15" t="inlineStr"/>
      <c r="S17" s="15" t="inlineStr"/>
    </row>
    <row r="18">
      <c r="A18" s="11" t="n">
        <v>14</v>
      </c>
      <c r="B18" s="18" t="inlineStr">
        <is>
          <t>Tax</t>
        </is>
      </c>
      <c r="C18" s="13" t="inlineStr">
        <is>
          <t>Sales tax exempt?</t>
        </is>
      </c>
      <c r="D18" s="14" t="inlineStr">
        <is>
          <t>Whether the customer pays sales tax.</t>
        </is>
      </c>
      <c r="E18" s="11" t="inlineStr">
        <is>
          <t>✓</t>
        </is>
      </c>
      <c r="F18" s="11" t="inlineStr">
        <is>
          <t>✓</t>
        </is>
      </c>
      <c r="G18" s="11" t="inlineStr">
        <is>
          <t>✓</t>
        </is>
      </c>
      <c r="H18" s="14">
        <f>IF(COUNTA(E18:G18)=0,"",IF(COUNTA(E18:G18)=3,"All three",IF(COUNTA(E18:G18)=2,"Shared: "&amp;IF(E18&lt;&gt;"","Cust ","")&amp;IF(F18&lt;&gt;"","Proj ","")&amp;IF(G18&lt;&gt;"","Est",""),"Only "&amp;IF(E18&lt;&gt;"","Customer",IF(F18&lt;&gt;"","Project","Estimate")))))</f>
        <v/>
      </c>
      <c r="I18" s="14" t="inlineStr">
        <is>
          <t>Taxable (true/false)</t>
        </is>
      </c>
      <c r="J18" s="14" t="inlineStr">
        <is>
          <t>Taxable = false (always)</t>
        </is>
      </c>
      <c r="K18" s="14" t="inlineStr">
        <is>
          <t>Line TaxCodeRef TAX / NON</t>
        </is>
      </c>
      <c r="L18" s="14" t="inlineStr">
        <is>
          <t>Input</t>
        </is>
      </c>
      <c r="M18" s="14" t="inlineStr">
        <is>
          <t>Required</t>
        </is>
      </c>
      <c r="N18" s="14" t="inlineStr"/>
      <c r="O18" s="11" t="inlineStr">
        <is>
          <t>5/5</t>
        </is>
      </c>
      <c r="P18" s="14" t="inlineStr">
        <is>
          <t>false</t>
        </is>
      </c>
      <c r="Q18" s="14" t="inlineStr">
        <is>
          <t>Parents: 2 taxable, 3 exempt. Projects were always non-taxable.</t>
        </is>
      </c>
      <c r="R18" s="15" t="inlineStr"/>
      <c r="S18" s="15" t="inlineStr"/>
    </row>
    <row r="19">
      <c r="A19" s="11" t="n">
        <v>15</v>
      </c>
      <c r="B19" s="18" t="inlineStr">
        <is>
          <t>Tax</t>
        </is>
      </c>
      <c r="C19" s="13" t="inlineStr">
        <is>
          <t>Resale / exemption number</t>
        </is>
      </c>
      <c r="D19" s="14" t="inlineStr">
        <is>
          <t>Resale certificate number for exempt dealers.</t>
        </is>
      </c>
      <c r="E19" s="11" t="inlineStr">
        <is>
          <t>✓</t>
        </is>
      </c>
      <c r="F19" s="11" t="inlineStr"/>
      <c r="G19" s="11" t="inlineStr"/>
      <c r="H19" s="14">
        <f>IF(COUNTA(E19:G19)=0,"",IF(COUNTA(E19:G19)=3,"All three",IF(COUNTA(E19:G19)=2,"Shared: "&amp;IF(E19&lt;&gt;"","Cust ","")&amp;IF(F19&lt;&gt;"","Proj ","")&amp;IF(G19&lt;&gt;"","Est",""),"Only "&amp;IF(E19&lt;&gt;"","Customer",IF(F19&lt;&gt;"","Project","Estimate")))))</f>
        <v/>
      </c>
      <c r="I19" s="14" t="inlineStr">
        <is>
          <t>ResaleNum</t>
        </is>
      </c>
      <c r="J19" s="14" t="inlineStr"/>
      <c r="K19" s="14" t="inlineStr"/>
      <c r="L19" s="14" t="inlineStr">
        <is>
          <t>Input</t>
        </is>
      </c>
      <c r="M19" s="14" t="inlineStr">
        <is>
          <t>Recommended if exempt</t>
        </is>
      </c>
      <c r="N19" s="14" t="inlineStr"/>
      <c r="O19" s="11" t="inlineStr">
        <is>
          <t>2/5</t>
        </is>
      </c>
      <c r="P19" s="14" t="inlineStr">
        <is>
          <t>1037374150-001</t>
        </is>
      </c>
      <c r="Q19" s="14" t="inlineStr"/>
      <c r="R19" s="15" t="inlineStr"/>
      <c r="S19" s="15" t="inlineStr"/>
    </row>
    <row r="20">
      <c r="A20" s="11" t="n">
        <v>16</v>
      </c>
      <c r="B20" s="18" t="inlineStr">
        <is>
          <t>Tax</t>
        </is>
      </c>
      <c r="C20" s="13" t="inlineStr">
        <is>
          <t>Customer notes</t>
        </is>
      </c>
      <c r="D20" s="14" t="inlineStr">
        <is>
          <t>Free text such as 'Sales Tax Exempt'.</t>
        </is>
      </c>
      <c r="E20" s="11" t="inlineStr">
        <is>
          <t>✓</t>
        </is>
      </c>
      <c r="F20" s="11" t="inlineStr"/>
      <c r="G20" s="11" t="inlineStr"/>
      <c r="H20" s="14">
        <f>IF(COUNTA(E20:G20)=0,"",IF(COUNTA(E20:G20)=3,"All three",IF(COUNTA(E20:G20)=2,"Shared: "&amp;IF(E20&lt;&gt;"","Cust ","")&amp;IF(F20&lt;&gt;"","Proj ","")&amp;IF(G20&lt;&gt;"","Est",""),"Only "&amp;IF(E20&lt;&gt;"","Customer",IF(F20&lt;&gt;"","Project","Estimate")))))</f>
        <v/>
      </c>
      <c r="I20" s="14" t="inlineStr">
        <is>
          <t>Notes</t>
        </is>
      </c>
      <c r="J20" s="14" t="inlineStr"/>
      <c r="K20" s="14" t="inlineStr"/>
      <c r="L20" s="14" t="inlineStr">
        <is>
          <t>Input</t>
        </is>
      </c>
      <c r="M20" s="14" t="inlineStr">
        <is>
          <t>Optional</t>
        </is>
      </c>
      <c r="N20" s="14" t="inlineStr"/>
      <c r="O20" s="11" t="inlineStr">
        <is>
          <t>3/5</t>
        </is>
      </c>
      <c r="P20" s="14" t="inlineStr">
        <is>
          <t>Sales Tax Exempt</t>
        </is>
      </c>
      <c r="Q20" s="14" t="inlineStr">
        <is>
          <t>Avalara address validation also writes notes here automatically.</t>
        </is>
      </c>
      <c r="R20" s="15" t="inlineStr"/>
      <c r="S20" s="15" t="inlineStr"/>
    </row>
    <row r="21">
      <c r="A21" s="11" t="n">
        <v>17</v>
      </c>
      <c r="B21" s="18" t="inlineStr">
        <is>
          <t>Tax</t>
        </is>
      </c>
      <c r="C21" s="13" t="inlineStr">
        <is>
          <t>Customer type</t>
        </is>
      </c>
      <c r="D21" s="14" t="inlineStr">
        <is>
          <t>Groups customers, e.g. dealers.</t>
        </is>
      </c>
      <c r="E21" s="11" t="inlineStr">
        <is>
          <t>✓</t>
        </is>
      </c>
      <c r="F21" s="11" t="inlineStr">
        <is>
          <t>✓</t>
        </is>
      </c>
      <c r="G21" s="11" t="inlineStr"/>
      <c r="H21" s="14">
        <f>IF(COUNTA(E21:G21)=0,"",IF(COUNTA(E21:G21)=3,"All three",IF(COUNTA(E21:G21)=2,"Shared: "&amp;IF(E21&lt;&gt;"","Cust ","")&amp;IF(F21&lt;&gt;"","Proj ","")&amp;IF(G21&lt;&gt;"","Est",""),"Only "&amp;IF(E21&lt;&gt;"","Customer",IF(F21&lt;&gt;"","Project","Estimate")))))</f>
        <v/>
      </c>
      <c r="I21" s="14" t="inlineStr">
        <is>
          <t>CustomerTypeRef.value</t>
        </is>
      </c>
      <c r="J21" s="14" t="inlineStr">
        <is>
          <t>CustomerTypeRef.value</t>
        </is>
      </c>
      <c r="K21" s="14" t="inlineStr"/>
      <c r="L21" s="14" t="inlineStr">
        <is>
          <t>Input</t>
        </is>
      </c>
      <c r="M21" s="14" t="inlineStr">
        <is>
          <t>Optional</t>
        </is>
      </c>
      <c r="N21" s="14" t="inlineStr"/>
      <c r="O21" s="11" t="inlineStr">
        <is>
          <t>1/5</t>
        </is>
      </c>
      <c r="P21" s="14" t="inlineStr">
        <is>
          <t>573164</t>
        </is>
      </c>
      <c r="Q21" s="14" t="inlineStr">
        <is>
          <t>Only JDP Associates / AULT PROJECT had one.</t>
        </is>
      </c>
      <c r="R21" s="15" t="inlineStr"/>
      <c r="S21" s="15" t="inlineStr"/>
    </row>
    <row r="22">
      <c r="A22" s="11" t="n">
        <v>18</v>
      </c>
      <c r="B22" s="19" t="inlineStr">
        <is>
          <t>Same every time</t>
        </is>
      </c>
      <c r="C22" s="13" t="inlineStr">
        <is>
          <t>Tax code</t>
        </is>
      </c>
      <c r="D22" s="14" t="inlineStr">
        <is>
          <t>Default sales tax code.</t>
        </is>
      </c>
      <c r="E22" s="11" t="inlineStr">
        <is>
          <t>✓</t>
        </is>
      </c>
      <c r="F22" s="11" t="inlineStr">
        <is>
          <t>✓</t>
        </is>
      </c>
      <c r="G22" s="11" t="inlineStr">
        <is>
          <t>✓</t>
        </is>
      </c>
      <c r="H22" s="14">
        <f>IF(COUNTA(E22:G22)=0,"",IF(COUNTA(E22:G22)=3,"All three",IF(COUNTA(E22:G22)=2,"Shared: "&amp;IF(E22&lt;&gt;"","Cust ","")&amp;IF(F22&lt;&gt;"","Proj ","")&amp;IF(G22&lt;&gt;"","Est",""),"Only "&amp;IF(E22&lt;&gt;"","Customer",IF(F22&lt;&gt;"","Project","Estimate")))))</f>
        <v/>
      </c>
      <c r="I22" s="14" t="inlineStr">
        <is>
          <t>DefaultTaxCodeRef</t>
        </is>
      </c>
      <c r="J22" s="14" t="inlineStr">
        <is>
          <t>DefaultTaxCodeRef</t>
        </is>
      </c>
      <c r="K22" s="14" t="inlineStr">
        <is>
          <t>TxnTaxDetail.TxnTaxCodeRef</t>
        </is>
      </c>
      <c r="L22" s="14" t="inlineStr">
        <is>
          <t>Constant</t>
        </is>
      </c>
      <c r="M22" s="14" t="inlineStr">
        <is>
          <t>Required</t>
        </is>
      </c>
      <c r="N22" s="14" t="inlineStr"/>
      <c r="O22" s="11" t="inlineStr">
        <is>
          <t>5/5</t>
        </is>
      </c>
      <c r="P22" s="14" t="inlineStr">
        <is>
          <t>999</t>
        </is>
      </c>
      <c r="Q22" s="14" t="inlineStr">
        <is>
          <t>Tax rate 1174 at 0%. Sales tax is charged as a line item instead (see 'Sales tax line').</t>
        </is>
      </c>
      <c r="R22" s="15" t="inlineStr"/>
      <c r="S22" s="15" t="inlineStr"/>
    </row>
    <row r="23">
      <c r="A23" s="11" t="n">
        <v>19</v>
      </c>
      <c r="B23" s="19" t="inlineStr">
        <is>
          <t>Same every time</t>
        </is>
      </c>
      <c r="C23" s="13" t="inlineStr">
        <is>
          <t>Payment terms</t>
        </is>
      </c>
      <c r="D23" s="14" t="inlineStr">
        <is>
          <t>Payment terms.</t>
        </is>
      </c>
      <c r="E23" s="11" t="inlineStr">
        <is>
          <t>✓</t>
        </is>
      </c>
      <c r="F23" s="11" t="inlineStr"/>
      <c r="G23" s="11" t="inlineStr">
        <is>
          <t>✓</t>
        </is>
      </c>
      <c r="H23" s="14">
        <f>IF(COUNTA(E23:G23)=0,"",IF(COUNTA(E23:G23)=3,"All three",IF(COUNTA(E23:G23)=2,"Shared: "&amp;IF(E23&lt;&gt;"","Cust ","")&amp;IF(F23&lt;&gt;"","Proj ","")&amp;IF(G23&lt;&gt;"","Est",""),"Only "&amp;IF(E23&lt;&gt;"","Customer",IF(F23&lt;&gt;"","Project","Estimate")))))</f>
        <v/>
      </c>
      <c r="I23" s="14" t="inlineStr">
        <is>
          <t>SalesTermRef</t>
        </is>
      </c>
      <c r="J23" s="14" t="inlineStr"/>
      <c r="K23" s="14" t="inlineStr">
        <is>
          <t>SalesTermRef</t>
        </is>
      </c>
      <c r="L23" s="14" t="inlineStr">
        <is>
          <t>Constant</t>
        </is>
      </c>
      <c r="M23" s="14" t="inlineStr">
        <is>
          <t>Default</t>
        </is>
      </c>
      <c r="N23" s="14" t="inlineStr"/>
      <c r="O23" s="11" t="inlineStr">
        <is>
          <t>0/5 set</t>
        </is>
      </c>
      <c r="P23" s="14" t="inlineStr">
        <is>
          <t>Company default (terms id 41)</t>
        </is>
      </c>
      <c r="Q23" s="14" t="inlineStr">
        <is>
          <t>Per your instruction, terms stay the same unless someone says otherwise. None of the 5 set terms on the estimate.</t>
        </is>
      </c>
      <c r="R23" s="15" t="inlineStr"/>
      <c r="S23" s="15" t="inlineStr"/>
    </row>
    <row r="24">
      <c r="A24" s="11" t="n">
        <v>20</v>
      </c>
      <c r="B24" s="19" t="inlineStr">
        <is>
          <t>Same every time</t>
        </is>
      </c>
      <c r="C24" s="13" t="inlineStr">
        <is>
          <t>Preferred delivery method</t>
        </is>
      </c>
      <c r="D24" s="14" t="inlineStr">
        <is>
          <t>How forms are sent by default.</t>
        </is>
      </c>
      <c r="E24" s="11" t="inlineStr">
        <is>
          <t>✓</t>
        </is>
      </c>
      <c r="F24" s="11" t="inlineStr">
        <is>
          <t>✓</t>
        </is>
      </c>
      <c r="G24" s="11" t="inlineStr"/>
      <c r="H24" s="14">
        <f>IF(COUNTA(E24:G24)=0,"",IF(COUNTA(E24:G24)=3,"All three",IF(COUNTA(E24:G24)=2,"Shared: "&amp;IF(E24&lt;&gt;"","Cust ","")&amp;IF(F24&lt;&gt;"","Proj ","")&amp;IF(G24&lt;&gt;"","Est",""),"Only "&amp;IF(E24&lt;&gt;"","Customer",IF(F24&lt;&gt;"","Project","Estimate")))))</f>
        <v/>
      </c>
      <c r="I24" s="14" t="inlineStr">
        <is>
          <t>PreferredDeliveryMethod</t>
        </is>
      </c>
      <c r="J24" s="14" t="inlineStr">
        <is>
          <t>PreferredDeliveryMethod</t>
        </is>
      </c>
      <c r="K24" s="14" t="inlineStr"/>
      <c r="L24" s="14" t="inlineStr">
        <is>
          <t>Constant</t>
        </is>
      </c>
      <c r="M24" s="14" t="inlineStr">
        <is>
          <t>Default</t>
        </is>
      </c>
      <c r="N24" s="14" t="inlineStr"/>
      <c r="O24" s="11" t="inlineStr">
        <is>
          <t>5/5</t>
        </is>
      </c>
      <c r="P24" s="14" t="inlineStr">
        <is>
          <t>Print</t>
        </is>
      </c>
      <c r="Q24" s="14" t="inlineStr"/>
      <c r="R24" s="15" t="inlineStr"/>
      <c r="S24" s="15" t="inlineStr"/>
    </row>
    <row r="25">
      <c r="A25" s="11" t="n">
        <v>21</v>
      </c>
      <c r="B25" s="19" t="inlineStr">
        <is>
          <t>Same every time</t>
        </is>
      </c>
      <c r="C25" s="13" t="inlineStr">
        <is>
          <t>Customer message</t>
        </is>
      </c>
      <c r="D25" s="14" t="inlineStr">
        <is>
          <t>Payment-terms message printed on the estimate.</t>
        </is>
      </c>
      <c r="E25" s="11" t="inlineStr"/>
      <c r="F25" s="11" t="inlineStr"/>
      <c r="G25" s="11" t="inlineStr">
        <is>
          <t>✓</t>
        </is>
      </c>
      <c r="H25" s="14">
        <f>IF(COUNTA(E25:G25)=0,"",IF(COUNTA(E25:G25)=3,"All three",IF(COUNTA(E25:G25)=2,"Shared: "&amp;IF(E25&lt;&gt;"","Cust ","")&amp;IF(F25&lt;&gt;"","Proj ","")&amp;IF(G25&lt;&gt;"","Est",""),"Only "&amp;IF(E25&lt;&gt;"","Customer",IF(F25&lt;&gt;"","Project","Estimate")))))</f>
        <v/>
      </c>
      <c r="I25" s="14" t="inlineStr"/>
      <c r="J25" s="14" t="inlineStr"/>
      <c r="K25" s="14" t="inlineStr">
        <is>
          <t>CustomerMemo.value</t>
        </is>
      </c>
      <c r="L25" s="14" t="inlineStr">
        <is>
          <t>Constant</t>
        </is>
      </c>
      <c r="M25" s="14" t="inlineStr">
        <is>
          <t>Default</t>
        </is>
      </c>
      <c r="N25" s="14" t="inlineStr"/>
      <c r="O25" s="11" t="inlineStr">
        <is>
          <t>5/5</t>
        </is>
      </c>
      <c r="P25" s="14" t="inlineStr">
        <is>
          <t>Our acceptable forms of payments are: ...</t>
        </is>
      </c>
      <c r="Q25" s="14" t="inlineStr">
        <is>
          <t>QBO fills in the company default.</t>
        </is>
      </c>
      <c r="R25" s="15" t="inlineStr"/>
      <c r="S25" s="15" t="inlineStr"/>
    </row>
    <row r="26">
      <c r="A26" s="11" t="n">
        <v>22</v>
      </c>
      <c r="B26" s="19" t="inlineStr">
        <is>
          <t>Same every time</t>
        </is>
      </c>
      <c r="C26" s="13" t="inlineStr">
        <is>
          <t>Accounting email (Bcc)</t>
        </is>
      </c>
      <c r="D26" s="14" t="inlineStr">
        <is>
          <t>Copies accounting on the estimate email.</t>
        </is>
      </c>
      <c r="E26" s="11" t="inlineStr"/>
      <c r="F26" s="11" t="inlineStr"/>
      <c r="G26" s="11" t="inlineStr">
        <is>
          <t>✓</t>
        </is>
      </c>
      <c r="H26" s="14">
        <f>IF(COUNTA(E26:G26)=0,"",IF(COUNTA(E26:G26)=3,"All three",IF(COUNTA(E26:G26)=2,"Shared: "&amp;IF(E26&lt;&gt;"","Cust ","")&amp;IF(F26&lt;&gt;"","Proj ","")&amp;IF(G26&lt;&gt;"","Est",""),"Only "&amp;IF(E26&lt;&gt;"","Customer",IF(F26&lt;&gt;"","Project","Estimate")))))</f>
        <v/>
      </c>
      <c r="I26" s="14" t="inlineStr"/>
      <c r="J26" s="14" t="inlineStr"/>
      <c r="K26" s="14" t="inlineStr">
        <is>
          <t>BillEmailBcc.Address</t>
        </is>
      </c>
      <c r="L26" s="14" t="inlineStr">
        <is>
          <t>Constant</t>
        </is>
      </c>
      <c r="M26" s="14" t="inlineStr">
        <is>
          <t>Required</t>
        </is>
      </c>
      <c r="N26" s="14" t="inlineStr"/>
      <c r="O26" s="11" t="inlineStr">
        <is>
          <t>5/5</t>
        </is>
      </c>
      <c r="P26" s="14" t="inlineStr">
        <is>
          <t>Accounting@panda-windows.com</t>
        </is>
      </c>
      <c r="Q26" s="14" t="inlineStr"/>
      <c r="R26" s="15" t="inlineStr"/>
      <c r="S26" s="15" t="inlineStr"/>
    </row>
    <row r="27">
      <c r="A27" s="11" t="n">
        <v>23</v>
      </c>
      <c r="B27" s="20" t="inlineStr">
        <is>
          <t>Project</t>
        </is>
      </c>
      <c r="C27" s="13" t="inlineStr">
        <is>
          <t>Project / job name</t>
        </is>
      </c>
      <c r="D27" s="14" t="inlineStr">
        <is>
          <t>Name of the job. The estimate is assigned to this project.</t>
        </is>
      </c>
      <c r="E27" s="11" t="inlineStr"/>
      <c r="F27" s="11" t="inlineStr">
        <is>
          <t>✓</t>
        </is>
      </c>
      <c r="G27" s="11" t="inlineStr">
        <is>
          <t>✓</t>
        </is>
      </c>
      <c r="H27" s="14">
        <f>IF(COUNTA(E27:G27)=0,"",IF(COUNTA(E27:G27)=3,"All three",IF(COUNTA(E27:G27)=2,"Shared: "&amp;IF(E27&lt;&gt;"","Cust ","")&amp;IF(F27&lt;&gt;"","Proj ","")&amp;IF(G27&lt;&gt;"","Est",""),"Only "&amp;IF(E27&lt;&gt;"","Customer",IF(F27&lt;&gt;"","Project","Estimate")))))</f>
        <v/>
      </c>
      <c r="I27" s="14" t="inlineStr"/>
      <c r="J27" s="14" t="inlineStr">
        <is>
          <t>DisplayName</t>
        </is>
      </c>
      <c r="K27" s="14" t="inlineStr">
        <is>
          <t>CustomerRef.value (project Id)</t>
        </is>
      </c>
      <c r="L27" s="14" t="inlineStr">
        <is>
          <t>Input</t>
        </is>
      </c>
      <c r="M27" s="14" t="inlineStr">
        <is>
          <t>Required</t>
        </is>
      </c>
      <c r="N27" s="14" t="inlineStr"/>
      <c r="O27" s="11" t="inlineStr">
        <is>
          <t>5/5</t>
        </is>
      </c>
      <c r="P27" s="14" t="inlineStr">
        <is>
          <t>Patel Entry Door</t>
        </is>
      </c>
      <c r="Q27" s="14" t="inlineStr">
        <is>
          <t>Examples: 'Billiter South', 'AULT PROJECT', 'Robbins'. The full name shows as 'Parent:Project'.</t>
        </is>
      </c>
      <c r="R27" s="15" t="inlineStr"/>
      <c r="S27" s="15" t="inlineStr"/>
    </row>
    <row r="28">
      <c r="A28" s="11" t="n">
        <v>24</v>
      </c>
      <c r="B28" s="20" t="inlineStr">
        <is>
          <t>Project</t>
        </is>
      </c>
      <c r="C28" s="13" t="inlineStr">
        <is>
          <t>Sub-customer flag</t>
        </is>
      </c>
      <c r="D28" s="14" t="inlineStr">
        <is>
          <t>Puts the project under its parent customer.</t>
        </is>
      </c>
      <c r="E28" s="11" t="inlineStr"/>
      <c r="F28" s="11" t="inlineStr">
        <is>
          <t>✓</t>
        </is>
      </c>
      <c r="G28" s="11" t="inlineStr"/>
      <c r="H28" s="14">
        <f>IF(COUNTA(E28:G28)=0,"",IF(COUNTA(E28:G28)=3,"All three",IF(COUNTA(E28:G28)=2,"Shared: "&amp;IF(E28&lt;&gt;"","Cust ","")&amp;IF(F28&lt;&gt;"","Proj ","")&amp;IF(G28&lt;&gt;"","Est",""),"Only "&amp;IF(E28&lt;&gt;"","Customer",IF(F28&lt;&gt;"","Project","Estimate")))))</f>
        <v/>
      </c>
      <c r="I28" s="14" t="inlineStr"/>
      <c r="J28" s="14" t="inlineStr">
        <is>
          <t>Job = true</t>
        </is>
      </c>
      <c r="K28" s="14" t="inlineStr"/>
      <c r="L28" s="14" t="inlineStr">
        <is>
          <t>Constant</t>
        </is>
      </c>
      <c r="M28" s="14" t="inlineStr">
        <is>
          <t>Required</t>
        </is>
      </c>
      <c r="N28" s="14" t="inlineStr"/>
      <c r="O28" s="11" t="inlineStr">
        <is>
          <t>5/5</t>
        </is>
      </c>
      <c r="P28" s="14" t="inlineStr">
        <is>
          <t>true</t>
        </is>
      </c>
      <c r="Q28" s="14" t="inlineStr"/>
      <c r="R28" s="15" t="inlineStr"/>
      <c r="S28" s="15" t="inlineStr"/>
    </row>
    <row r="29">
      <c r="A29" s="11" t="n">
        <v>25</v>
      </c>
      <c r="B29" s="20" t="inlineStr">
        <is>
          <t>Project</t>
        </is>
      </c>
      <c r="C29" s="13" t="inlineStr">
        <is>
          <t>Bill with parent</t>
        </is>
      </c>
      <c r="D29" s="14" t="inlineStr">
        <is>
          <t>Sends the project's bills to the parent.</t>
        </is>
      </c>
      <c r="E29" s="11" t="inlineStr"/>
      <c r="F29" s="11" t="inlineStr">
        <is>
          <t>✓</t>
        </is>
      </c>
      <c r="G29" s="11" t="inlineStr"/>
      <c r="H29" s="14">
        <f>IF(COUNTA(E29:G29)=0,"",IF(COUNTA(E29:G29)=3,"All three",IF(COUNTA(E29:G29)=2,"Shared: "&amp;IF(E29&lt;&gt;"","Cust ","")&amp;IF(F29&lt;&gt;"","Proj ","")&amp;IF(G29&lt;&gt;"","Est",""),"Only "&amp;IF(E29&lt;&gt;"","Customer",IF(F29&lt;&gt;"","Project","Estimate")))))</f>
        <v/>
      </c>
      <c r="I29" s="14" t="inlineStr"/>
      <c r="J29" s="14" t="inlineStr">
        <is>
          <t>BillWithParent = true</t>
        </is>
      </c>
      <c r="K29" s="14" t="inlineStr"/>
      <c r="L29" s="14" t="inlineStr">
        <is>
          <t>Constant</t>
        </is>
      </c>
      <c r="M29" s="14" t="inlineStr">
        <is>
          <t>Required</t>
        </is>
      </c>
      <c r="N29" s="14" t="inlineStr"/>
      <c r="O29" s="11" t="inlineStr">
        <is>
          <t>5/5</t>
        </is>
      </c>
      <c r="P29" s="14" t="inlineStr">
        <is>
          <t>true</t>
        </is>
      </c>
      <c r="Q29" s="14" t="inlineStr"/>
      <c r="R29" s="15" t="inlineStr"/>
      <c r="S29" s="15" t="inlineStr"/>
    </row>
    <row r="30">
      <c r="A30" s="11" t="n">
        <v>26</v>
      </c>
      <c r="B30" s="20" t="inlineStr">
        <is>
          <t>Project</t>
        </is>
      </c>
      <c r="C30" s="13" t="inlineStr">
        <is>
          <t>QBO Project link</t>
        </is>
      </c>
      <c r="D30" s="14" t="inlineStr">
        <is>
          <t>Links the estimate to the QBO Project.</t>
        </is>
      </c>
      <c r="E30" s="11" t="inlineStr"/>
      <c r="F30" s="11" t="inlineStr">
        <is>
          <t>✓</t>
        </is>
      </c>
      <c r="G30" s="11" t="inlineStr">
        <is>
          <t>✓</t>
        </is>
      </c>
      <c r="H30" s="14">
        <f>IF(COUNTA(E30:G30)=0,"",IF(COUNTA(E30:G30)=3,"All three",IF(COUNTA(E30:G30)=2,"Shared: "&amp;IF(E30&lt;&gt;"","Cust ","")&amp;IF(F30&lt;&gt;"","Proj ","")&amp;IF(G30&lt;&gt;"","Est",""),"Only "&amp;IF(E30&lt;&gt;"","Customer",IF(F30&lt;&gt;"","Project","Estimate")))))</f>
        <v/>
      </c>
      <c r="I30" s="14" t="inlineStr"/>
      <c r="J30" s="14" t="inlineStr">
        <is>
          <t>IsProject = true</t>
        </is>
      </c>
      <c r="K30" s="14" t="inlineStr">
        <is>
          <t>ProjectRef.value</t>
        </is>
      </c>
      <c r="L30" s="14" t="inlineStr">
        <is>
          <t>Lookup</t>
        </is>
      </c>
      <c r="M30" s="14" t="inlineStr">
        <is>
          <t>Required</t>
        </is>
      </c>
      <c r="N30" s="14" t="inlineStr"/>
      <c r="O30" s="11" t="inlineStr">
        <is>
          <t>5/5</t>
        </is>
      </c>
      <c r="P30" s="14" t="inlineStr">
        <is>
          <t>813422277</t>
        </is>
      </c>
      <c r="Q30" s="14" t="inlineStr">
        <is>
          <t>All 5 are true QBO Projects. A flow can't create one with our current QBO access (403 Forbidden). The Project has to be made in QBO first, then the flow finds it.</t>
        </is>
      </c>
      <c r="R30" s="15" t="inlineStr"/>
      <c r="S30" s="15" t="inlineStr"/>
    </row>
    <row r="31">
      <c r="A31" s="11" t="n">
        <v>27</v>
      </c>
      <c r="B31" s="21" t="inlineStr">
        <is>
          <t>Estimate</t>
        </is>
      </c>
      <c r="C31" s="13" t="inlineStr">
        <is>
          <t>Estimate #</t>
        </is>
      </c>
      <c r="D31" s="14" t="inlineStr">
        <is>
          <t>Estimate number.</t>
        </is>
      </c>
      <c r="E31" s="11" t="inlineStr"/>
      <c r="F31" s="11" t="inlineStr"/>
      <c r="G31" s="11" t="inlineStr">
        <is>
          <t>✓</t>
        </is>
      </c>
      <c r="H31" s="14">
        <f>IF(COUNTA(E31:G31)=0,"",IF(COUNTA(E31:G31)=3,"All three",IF(COUNTA(E31:G31)=2,"Shared: "&amp;IF(E31&lt;&gt;"","Cust ","")&amp;IF(F31&lt;&gt;"","Proj ","")&amp;IF(G31&lt;&gt;"","Est",""),"Only "&amp;IF(E31&lt;&gt;"","Customer",IF(F31&lt;&gt;"","Project","Estimate")))))</f>
        <v/>
      </c>
      <c r="I31" s="14" t="inlineStr"/>
      <c r="J31" s="14" t="inlineStr"/>
      <c r="K31" s="14" t="inlineStr">
        <is>
          <t>DocNumber</t>
        </is>
      </c>
      <c r="L31" s="14" t="inlineStr">
        <is>
          <t>Input / next #</t>
        </is>
      </c>
      <c r="M31" s="14" t="inlineStr">
        <is>
          <t>Required</t>
        </is>
      </c>
      <c r="N31" s="14" t="inlineStr"/>
      <c r="O31" s="11" t="inlineStr">
        <is>
          <t>5/5</t>
        </is>
      </c>
      <c r="P31" s="14" t="inlineStr">
        <is>
          <t>11172</t>
        </is>
      </c>
      <c r="Q31" s="14" t="inlineStr"/>
      <c r="R31" s="15" t="inlineStr"/>
      <c r="S31" s="15" t="inlineStr"/>
    </row>
    <row r="32">
      <c r="A32" s="11" t="n">
        <v>28</v>
      </c>
      <c r="B32" s="21" t="inlineStr">
        <is>
          <t>Estimate</t>
        </is>
      </c>
      <c r="C32" s="13" t="inlineStr">
        <is>
          <t>Estimate date</t>
        </is>
      </c>
      <c r="D32" s="14" t="inlineStr">
        <is>
          <t>Date the estimate was issued.</t>
        </is>
      </c>
      <c r="E32" s="11" t="inlineStr"/>
      <c r="F32" s="11" t="inlineStr"/>
      <c r="G32" s="11" t="inlineStr">
        <is>
          <t>✓</t>
        </is>
      </c>
      <c r="H32" s="14">
        <f>IF(COUNTA(E32:G32)=0,"",IF(COUNTA(E32:G32)=3,"All three",IF(COUNTA(E32:G32)=2,"Shared: "&amp;IF(E32&lt;&gt;"","Cust ","")&amp;IF(F32&lt;&gt;"","Proj ","")&amp;IF(G32&lt;&gt;"","Est",""),"Only "&amp;IF(E32&lt;&gt;"","Customer",IF(F32&lt;&gt;"","Project","Estimate")))))</f>
        <v/>
      </c>
      <c r="I32" s="14" t="inlineStr"/>
      <c r="J32" s="14" t="inlineStr"/>
      <c r="K32" s="14" t="inlineStr">
        <is>
          <t>TxnDate</t>
        </is>
      </c>
      <c r="L32" s="14" t="inlineStr">
        <is>
          <t>Input</t>
        </is>
      </c>
      <c r="M32" s="14" t="inlineStr">
        <is>
          <t>Required</t>
        </is>
      </c>
      <c r="N32" s="14" t="inlineStr"/>
      <c r="O32" s="11" t="inlineStr">
        <is>
          <t>5/5</t>
        </is>
      </c>
      <c r="P32" s="14" t="inlineStr">
        <is>
          <t>2026-09-14</t>
        </is>
      </c>
      <c r="Q32" s="14" t="inlineStr"/>
      <c r="R32" s="15" t="inlineStr"/>
      <c r="S32" s="15" t="inlineStr"/>
    </row>
    <row r="33">
      <c r="A33" s="11" t="n">
        <v>29</v>
      </c>
      <c r="B33" s="21" t="inlineStr">
        <is>
          <t>Estimate</t>
        </is>
      </c>
      <c r="C33" s="13" t="inlineStr">
        <is>
          <t>Sales rep email(s) (Cc)</t>
        </is>
      </c>
      <c r="D33" s="14" t="inlineStr">
        <is>
          <t>Copies the sales rep(s) on the estimate email.</t>
        </is>
      </c>
      <c r="E33" s="11" t="inlineStr"/>
      <c r="F33" s="11" t="inlineStr"/>
      <c r="G33" s="11" t="inlineStr">
        <is>
          <t>✓</t>
        </is>
      </c>
      <c r="H33" s="14">
        <f>IF(COUNTA(E33:G33)=0,"",IF(COUNTA(E33:G33)=3,"All three",IF(COUNTA(E33:G33)=2,"Shared: "&amp;IF(E33&lt;&gt;"","Cust ","")&amp;IF(F33&lt;&gt;"","Proj ","")&amp;IF(G33&lt;&gt;"","Est",""),"Only "&amp;IF(E33&lt;&gt;"","Customer",IF(F33&lt;&gt;"","Project","Estimate")))))</f>
        <v/>
      </c>
      <c r="I33" s="14" t="inlineStr"/>
      <c r="J33" s="14" t="inlineStr"/>
      <c r="K33" s="14" t="inlineStr">
        <is>
          <t>BillEmailCc.Address</t>
        </is>
      </c>
      <c r="L33" s="14" t="inlineStr">
        <is>
          <t>Input</t>
        </is>
      </c>
      <c r="M33" s="14" t="inlineStr">
        <is>
          <t>Required</t>
        </is>
      </c>
      <c r="N33" s="14" t="inlineStr"/>
      <c r="O33" s="11" t="inlineStr">
        <is>
          <t>5/5</t>
        </is>
      </c>
      <c r="P33" s="14" t="inlineStr">
        <is>
          <t>seant@panda-windows.com</t>
        </is>
      </c>
      <c r="Q33" s="14" t="inlineStr">
        <is>
          <t>2/5 had several reps (e.g. efrain, trevorb, dmccall). This field is how a rep is tied to an estimate. The Sales Rep custom field isn't used.</t>
        </is>
      </c>
      <c r="R33" s="15" t="inlineStr"/>
      <c r="S33" s="15" t="inlineStr"/>
    </row>
    <row r="34">
      <c r="A34" s="11" t="n">
        <v>30</v>
      </c>
      <c r="B34" s="22" t="inlineStr">
        <is>
          <t>Estimate custom field</t>
        </is>
      </c>
      <c r="C34" s="13" t="inlineStr">
        <is>
          <t>Q Number / PO #</t>
        </is>
      </c>
      <c r="D34" s="14" t="inlineStr">
        <is>
          <t>The company's Q number.</t>
        </is>
      </c>
      <c r="E34" s="11" t="inlineStr"/>
      <c r="F34" s="11" t="inlineStr"/>
      <c r="G34" s="11" t="inlineStr">
        <is>
          <t>✓</t>
        </is>
      </c>
      <c r="H34" s="14">
        <f>IF(COUNTA(E34:G34)=0,"",IF(COUNTA(E34:G34)=3,"All three",IF(COUNTA(E34:G34)=2,"Shared: "&amp;IF(E34&lt;&gt;"","Cust ","")&amp;IF(F34&lt;&gt;"","Proj ","")&amp;IF(G34&lt;&gt;"","Est",""),"Only "&amp;IF(E34&lt;&gt;"","Customer",IF(F34&lt;&gt;"","Project","Estimate")))))</f>
        <v/>
      </c>
      <c r="I34" s="14" t="inlineStr"/>
      <c r="J34" s="14" t="inlineStr"/>
      <c r="K34" s="14" t="inlineStr">
        <is>
          <t>CustomField DefinitionId 1</t>
        </is>
      </c>
      <c r="L34" s="14" t="inlineStr">
        <is>
          <t>Input</t>
        </is>
      </c>
      <c r="M34" s="14" t="inlineStr">
        <is>
          <t>Recommended</t>
        </is>
      </c>
      <c r="N34" s="14" t="inlineStr">
        <is>
          <t>1 (legacy)</t>
        </is>
      </c>
      <c r="O34" s="11" t="inlineStr">
        <is>
          <t>4/5</t>
        </is>
      </c>
      <c r="P34" s="14" t="inlineStr">
        <is>
          <t>92437</t>
        </is>
      </c>
      <c r="Q34" s="14" t="inlineStr">
        <is>
          <t>Missing only on 11183.</t>
        </is>
      </c>
      <c r="R34" s="15" t="inlineStr"/>
      <c r="S34" s="15" t="inlineStr"/>
    </row>
    <row r="35">
      <c r="A35" s="11" t="n">
        <v>31</v>
      </c>
      <c r="B35" s="22" t="inlineStr">
        <is>
          <t>Estimate custom field</t>
        </is>
      </c>
      <c r="C35" s="13" t="inlineStr">
        <is>
          <t>Deposit Due</t>
        </is>
      </c>
      <c r="D35" s="14" t="inlineStr">
        <is>
          <t>Deposit amount the customer owes.</t>
        </is>
      </c>
      <c r="E35" s="11" t="inlineStr"/>
      <c r="F35" s="11" t="inlineStr"/>
      <c r="G35" s="11" t="inlineStr">
        <is>
          <t>✓</t>
        </is>
      </c>
      <c r="H35" s="14">
        <f>IF(COUNTA(E35:G35)=0,"",IF(COUNTA(E35:G35)=3,"All three",IF(COUNTA(E35:G35)=2,"Shared: "&amp;IF(E35&lt;&gt;"","Cust ","")&amp;IF(F35&lt;&gt;"","Proj ","")&amp;IF(G35&lt;&gt;"","Est",""),"Only "&amp;IF(E35&lt;&gt;"","Customer",IF(F35&lt;&gt;"","Project","Estimate")))))</f>
        <v/>
      </c>
      <c r="I35" s="14" t="inlineStr"/>
      <c r="J35" s="14" t="inlineStr"/>
      <c r="K35" s="14" t="inlineStr">
        <is>
          <t>CustomField DefinitionId 3</t>
        </is>
      </c>
      <c r="L35" s="14" t="inlineStr">
        <is>
          <t>Input</t>
        </is>
      </c>
      <c r="M35" s="14" t="inlineStr">
        <is>
          <t>Required</t>
        </is>
      </c>
      <c r="N35" s="14" t="inlineStr">
        <is>
          <t>3 (legacy)</t>
        </is>
      </c>
      <c r="O35" s="11" t="inlineStr">
        <is>
          <t>5/5</t>
        </is>
      </c>
      <c r="P35" s="14" t="inlineStr">
        <is>
          <t>$12,958.31</t>
        </is>
      </c>
      <c r="Q35" s="14" t="inlineStr">
        <is>
          <t>Free text. It can carry notes, e.g. '$52,988.75 - 50% Dep.' or "CO#1 Deposit Req'd $2,883.90".</t>
        </is>
      </c>
      <c r="R35" s="15" t="inlineStr"/>
      <c r="S35" s="15" t="inlineStr"/>
    </row>
    <row r="36">
      <c r="A36" s="11" t="n">
        <v>32</v>
      </c>
      <c r="B36" s="23" t="inlineStr">
        <is>
          <t>Product lines</t>
        </is>
      </c>
      <c r="C36" s="13" t="inlineStr">
        <is>
          <t>Product / Service</t>
        </is>
      </c>
      <c r="D36" s="14" t="inlineStr">
        <is>
          <t>The product being sold.</t>
        </is>
      </c>
      <c r="E36" s="11" t="inlineStr"/>
      <c r="F36" s="11" t="inlineStr"/>
      <c r="G36" s="11" t="inlineStr">
        <is>
          <t>✓</t>
        </is>
      </c>
      <c r="H36" s="14">
        <f>IF(COUNTA(E36:G36)=0,"",IF(COUNTA(E36:G36)=3,"All three",IF(COUNTA(E36:G36)=2,"Shared: "&amp;IF(E36&lt;&gt;"","Cust ","")&amp;IF(F36&lt;&gt;"","Proj ","")&amp;IF(G36&lt;&gt;"","Est",""),"Only "&amp;IF(E36&lt;&gt;"","Customer",IF(F36&lt;&gt;"","Project","Estimate")))))</f>
        <v/>
      </c>
      <c r="I36" s="14" t="inlineStr"/>
      <c r="J36" s="14" t="inlineStr"/>
      <c r="K36" s="14" t="inlineStr">
        <is>
          <t>Line.SalesItemLineDetail.ItemRef</t>
        </is>
      </c>
      <c r="L36" s="14" t="inlineStr">
        <is>
          <t>Input</t>
        </is>
      </c>
      <c r="M36" s="14" t="inlineStr">
        <is>
          <t>Required</t>
        </is>
      </c>
      <c r="N36" s="14" t="inlineStr"/>
      <c r="O36" s="11" t="inlineStr">
        <is>
          <t>5/5</t>
        </is>
      </c>
      <c r="P36" s="14" t="inlineStr">
        <is>
          <t>Voyage Collection:Voyage Col</t>
        </is>
      </c>
      <c r="Q36" s="14" t="inlineStr">
        <is>
          <t>Seen: Folding Door System (FTS.60, FUTS.60), Hinged Doors, Sidelites &amp; Transoms, Voyage Collection, Lift &amp; Slides.</t>
        </is>
      </c>
      <c r="R36" s="15" t="inlineStr"/>
      <c r="S36" s="15" t="inlineStr"/>
    </row>
    <row r="37">
      <c r="A37" s="11" t="n">
        <v>33</v>
      </c>
      <c r="B37" s="23" t="inlineStr">
        <is>
          <t>Product lines</t>
        </is>
      </c>
      <c r="C37" s="13" t="inlineStr">
        <is>
          <t>Line description</t>
        </is>
      </c>
      <c r="D37" s="14" t="inlineStr">
        <is>
          <t>Text describing the product.</t>
        </is>
      </c>
      <c r="E37" s="11" t="inlineStr"/>
      <c r="F37" s="11" t="inlineStr"/>
      <c r="G37" s="11" t="inlineStr">
        <is>
          <t>✓</t>
        </is>
      </c>
      <c r="H37" s="14">
        <f>IF(COUNTA(E37:G37)=0,"",IF(COUNTA(E37:G37)=3,"All three",IF(COUNTA(E37:G37)=2,"Shared: "&amp;IF(E37&lt;&gt;"","Cust ","")&amp;IF(F37&lt;&gt;"","Proj ","")&amp;IF(G37&lt;&gt;"","Est",""),"Only "&amp;IF(E37&lt;&gt;"","Customer",IF(F37&lt;&gt;"","Project","Estimate")))))</f>
        <v/>
      </c>
      <c r="I37" s="14" t="inlineStr"/>
      <c r="J37" s="14" t="inlineStr"/>
      <c r="K37" s="14" t="inlineStr">
        <is>
          <t>Line.Description</t>
        </is>
      </c>
      <c r="L37" s="14" t="inlineStr">
        <is>
          <t>Input</t>
        </is>
      </c>
      <c r="M37" s="14" t="inlineStr">
        <is>
          <t>Required</t>
        </is>
      </c>
      <c r="N37" s="14" t="inlineStr"/>
      <c r="O37" s="11" t="inlineStr">
        <is>
          <t>5/5</t>
        </is>
      </c>
      <c r="P37" s="14" t="inlineStr">
        <is>
          <t>Voyage Collection Pivot Door</t>
        </is>
      </c>
      <c r="Q37" s="14" t="inlineStr">
        <is>
          <t>Change orders add 'CO#1' to the description.</t>
        </is>
      </c>
      <c r="R37" s="15" t="inlineStr"/>
      <c r="S37" s="15" t="inlineStr"/>
    </row>
    <row r="38">
      <c r="A38" s="11" t="n">
        <v>34</v>
      </c>
      <c r="B38" s="23" t="inlineStr">
        <is>
          <t>Product lines</t>
        </is>
      </c>
      <c r="C38" s="13" t="inlineStr">
        <is>
          <t>Quantity</t>
        </is>
      </c>
      <c r="D38" s="14" t="inlineStr">
        <is>
          <t>Number of units.</t>
        </is>
      </c>
      <c r="E38" s="11" t="inlineStr"/>
      <c r="F38" s="11" t="inlineStr"/>
      <c r="G38" s="11" t="inlineStr">
        <is>
          <t>✓</t>
        </is>
      </c>
      <c r="H38" s="14">
        <f>IF(COUNTA(E38:G38)=0,"",IF(COUNTA(E38:G38)=3,"All three",IF(COUNTA(E38:G38)=2,"Shared: "&amp;IF(E38&lt;&gt;"","Cust ","")&amp;IF(F38&lt;&gt;"","Proj ","")&amp;IF(G38&lt;&gt;"","Est",""),"Only "&amp;IF(E38&lt;&gt;"","Customer",IF(F38&lt;&gt;"","Project","Estimate")))))</f>
        <v/>
      </c>
      <c r="I38" s="14" t="inlineStr"/>
      <c r="J38" s="14" t="inlineStr"/>
      <c r="K38" s="14" t="inlineStr">
        <is>
          <t>Line.SalesItemLineDetail.Qty</t>
        </is>
      </c>
      <c r="L38" s="14" t="inlineStr">
        <is>
          <t>Input</t>
        </is>
      </c>
      <c r="M38" s="14" t="inlineStr">
        <is>
          <t>Required</t>
        </is>
      </c>
      <c r="N38" s="14" t="inlineStr"/>
      <c r="O38" s="11" t="inlineStr">
        <is>
          <t>5/5</t>
        </is>
      </c>
      <c r="P38" s="14" t="inlineStr">
        <is>
          <t>1</t>
        </is>
      </c>
      <c r="Q38" s="14" t="inlineStr">
        <is>
          <t>Can be 0 for items taken off in a change order (11135).</t>
        </is>
      </c>
      <c r="R38" s="15" t="inlineStr"/>
      <c r="S38" s="15" t="inlineStr"/>
    </row>
    <row r="39">
      <c r="A39" s="11" t="n">
        <v>35</v>
      </c>
      <c r="B39" s="23" t="inlineStr">
        <is>
          <t>Product lines</t>
        </is>
      </c>
      <c r="C39" s="13" t="inlineStr">
        <is>
          <t>Rate</t>
        </is>
      </c>
      <c r="D39" s="14" t="inlineStr">
        <is>
          <t>Price per unit.</t>
        </is>
      </c>
      <c r="E39" s="11" t="inlineStr"/>
      <c r="F39" s="11" t="inlineStr"/>
      <c r="G39" s="11" t="inlineStr">
        <is>
          <t>✓</t>
        </is>
      </c>
      <c r="H39" s="14">
        <f>IF(COUNTA(E39:G39)=0,"",IF(COUNTA(E39:G39)=3,"All three",IF(COUNTA(E39:G39)=2,"Shared: "&amp;IF(E39&lt;&gt;"","Cust ","")&amp;IF(F39&lt;&gt;"","Proj ","")&amp;IF(G39&lt;&gt;"","Est",""),"Only "&amp;IF(E39&lt;&gt;"","Customer",IF(F39&lt;&gt;"","Project","Estimate")))))</f>
        <v/>
      </c>
      <c r="I39" s="14" t="inlineStr"/>
      <c r="J39" s="14" t="inlineStr"/>
      <c r="K39" s="14" t="inlineStr">
        <is>
          <t>Line.SalesItemLineDetail.UnitPrice</t>
        </is>
      </c>
      <c r="L39" s="14" t="inlineStr">
        <is>
          <t>Input</t>
        </is>
      </c>
      <c r="M39" s="14" t="inlineStr">
        <is>
          <t>Required</t>
        </is>
      </c>
      <c r="N39" s="14" t="inlineStr"/>
      <c r="O39" s="11" t="inlineStr">
        <is>
          <t>5/5</t>
        </is>
      </c>
      <c r="P39" s="14" t="inlineStr">
        <is>
          <t>23671.61</t>
        </is>
      </c>
      <c r="Q39" s="14" t="inlineStr">
        <is>
          <t>A $0 rate is used for add-on pieces like sidelites (11172).</t>
        </is>
      </c>
      <c r="R39" s="15" t="inlineStr"/>
      <c r="S39" s="15" t="inlineStr"/>
    </row>
    <row r="40">
      <c r="A40" s="11" t="n">
        <v>36</v>
      </c>
      <c r="B40" s="23" t="inlineStr">
        <is>
          <t>Product lines</t>
        </is>
      </c>
      <c r="C40" s="13" t="inlineStr">
        <is>
          <t>Amount</t>
        </is>
      </c>
      <c r="D40" s="14" t="inlineStr">
        <is>
          <t>Line total, Qty × Rate.</t>
        </is>
      </c>
      <c r="E40" s="11" t="inlineStr"/>
      <c r="F40" s="11" t="inlineStr"/>
      <c r="G40" s="11" t="inlineStr">
        <is>
          <t>✓</t>
        </is>
      </c>
      <c r="H40" s="14">
        <f>IF(COUNTA(E40:G40)=0,"",IF(COUNTA(E40:G40)=3,"All three",IF(COUNTA(E40:G40)=2,"Shared: "&amp;IF(E40&lt;&gt;"","Cust ","")&amp;IF(F40&lt;&gt;"","Proj ","")&amp;IF(G40&lt;&gt;"","Est",""),"Only "&amp;IF(E40&lt;&gt;"","Customer",IF(F40&lt;&gt;"","Project","Estimate")))))</f>
        <v/>
      </c>
      <c r="I40" s="14" t="inlineStr"/>
      <c r="J40" s="14" t="inlineStr"/>
      <c r="K40" s="14" t="inlineStr">
        <is>
          <t>Line.Amount</t>
        </is>
      </c>
      <c r="L40" s="14" t="inlineStr">
        <is>
          <t>Calculated</t>
        </is>
      </c>
      <c r="M40" s="14" t="inlineStr">
        <is>
          <t>Required</t>
        </is>
      </c>
      <c r="N40" s="14" t="inlineStr"/>
      <c r="O40" s="11" t="inlineStr">
        <is>
          <t>5/5</t>
        </is>
      </c>
      <c r="P40" s="14" t="inlineStr">
        <is>
          <t>23671.61</t>
        </is>
      </c>
      <c r="Q40" s="14" t="inlineStr"/>
      <c r="R40" s="15" t="inlineStr"/>
      <c r="S40" s="15" t="inlineStr"/>
    </row>
    <row r="41">
      <c r="A41" s="11" t="n">
        <v>37</v>
      </c>
      <c r="B41" s="23" t="inlineStr">
        <is>
          <t>Product lines</t>
        </is>
      </c>
      <c r="C41" s="13" t="inlineStr">
        <is>
          <t>Line tax code</t>
        </is>
      </c>
      <c r="D41" s="14" t="inlineStr">
        <is>
          <t>Whether the line is taxed.</t>
        </is>
      </c>
      <c r="E41" s="11" t="inlineStr"/>
      <c r="F41" s="11" t="inlineStr"/>
      <c r="G41" s="11" t="inlineStr">
        <is>
          <t>✓</t>
        </is>
      </c>
      <c r="H41" s="14">
        <f>IF(COUNTA(E41:G41)=0,"",IF(COUNTA(E41:G41)=3,"All three",IF(COUNTA(E41:G41)=2,"Shared: "&amp;IF(E41&lt;&gt;"","Cust ","")&amp;IF(F41&lt;&gt;"","Proj ","")&amp;IF(G41&lt;&gt;"","Est",""),"Only "&amp;IF(E41&lt;&gt;"","Customer",IF(F41&lt;&gt;"","Project","Estimate")))))</f>
        <v/>
      </c>
      <c r="I41" s="14" t="inlineStr"/>
      <c r="J41" s="14" t="inlineStr"/>
      <c r="K41" s="14" t="inlineStr">
        <is>
          <t>Line.SalesItemLineDetail.TaxCodeRef</t>
        </is>
      </c>
      <c r="L41" s="14" t="inlineStr">
        <is>
          <t>Rule</t>
        </is>
      </c>
      <c r="M41" s="14" t="inlineStr">
        <is>
          <t>Required</t>
        </is>
      </c>
      <c r="N41" s="14" t="inlineStr"/>
      <c r="O41" s="11" t="inlineStr">
        <is>
          <t>5/5</t>
        </is>
      </c>
      <c r="P41" s="14" t="inlineStr">
        <is>
          <t>TAX</t>
        </is>
      </c>
      <c r="Q41" s="14" t="inlineStr">
        <is>
          <t>Products, crating, soft wrap and the deposit line are TAX. Shipping and the sales tax line are NON.</t>
        </is>
      </c>
      <c r="R41" s="15" t="inlineStr"/>
      <c r="S41" s="15" t="inlineStr"/>
    </row>
    <row r="42">
      <c r="A42" s="11" t="n">
        <v>38</v>
      </c>
      <c r="B42" s="23" t="inlineStr">
        <is>
          <t>Product lines</t>
        </is>
      </c>
      <c r="C42" s="13" t="inlineStr">
        <is>
          <t>Line dimension 1000000039</t>
        </is>
      </c>
      <c r="D42" s="14" t="inlineStr">
        <is>
          <t>Category tag on product lines only (maybe product/size?).</t>
        </is>
      </c>
      <c r="E42" s="11" t="inlineStr"/>
      <c r="F42" s="11" t="inlineStr"/>
      <c r="G42" s="11" t="inlineStr">
        <is>
          <t>✓</t>
        </is>
      </c>
      <c r="H42" s="14">
        <f>IF(COUNTA(E42:G42)=0,"",IF(COUNTA(E42:G42)=3,"All three",IF(COUNTA(E42:G42)=2,"Shared: "&amp;IF(E42&lt;&gt;"","Cust ","")&amp;IF(F42&lt;&gt;"","Proj ","")&amp;IF(G42&lt;&gt;"","Est",""),"Only "&amp;IF(E42&lt;&gt;"","Customer",IF(F42&lt;&gt;"","Project","Estimate")))))</f>
        <v/>
      </c>
      <c r="I42" s="14" t="inlineStr"/>
      <c r="J42" s="14" t="inlineStr"/>
      <c r="K42" s="14" t="inlineStr">
        <is>
          <t>Line.CustomExtensions DIMENSION 1000000039</t>
        </is>
      </c>
      <c r="L42" s="14" t="inlineStr">
        <is>
          <t>Input</t>
        </is>
      </c>
      <c r="M42" s="14" t="inlineStr">
        <is>
          <t>Confirm</t>
        </is>
      </c>
      <c r="N42" s="14" t="inlineStr"/>
      <c r="O42" s="11" t="inlineStr">
        <is>
          <t>5/5</t>
        </is>
      </c>
      <c r="P42" s="14" t="inlineStr">
        <is>
          <t>1000000113</t>
        </is>
      </c>
      <c r="Q42" s="14" t="inlineStr">
        <is>
          <t>On every product line, never on fee lines. The API only gives the ID, so please tell us the name.</t>
        </is>
      </c>
      <c r="R42" s="15" t="inlineStr"/>
      <c r="S42" s="15" t="inlineStr"/>
    </row>
    <row r="43">
      <c r="A43" s="11" t="n">
        <v>39</v>
      </c>
      <c r="B43" s="23" t="inlineStr">
        <is>
          <t>Product lines</t>
        </is>
      </c>
      <c r="C43" s="13" t="inlineStr">
        <is>
          <t>Line dimension 1000000051</t>
        </is>
      </c>
      <c r="D43" s="14" t="inlineStr">
        <is>
          <t>Category tag on product lines only (maybe finish/color?).</t>
        </is>
      </c>
      <c r="E43" s="11" t="inlineStr"/>
      <c r="F43" s="11" t="inlineStr"/>
      <c r="G43" s="11" t="inlineStr">
        <is>
          <t>✓</t>
        </is>
      </c>
      <c r="H43" s="14">
        <f>IF(COUNTA(E43:G43)=0,"",IF(COUNTA(E43:G43)=3,"All three",IF(COUNTA(E43:G43)=2,"Shared: "&amp;IF(E43&lt;&gt;"","Cust ","")&amp;IF(F43&lt;&gt;"","Proj ","")&amp;IF(G43&lt;&gt;"","Est",""),"Only "&amp;IF(E43&lt;&gt;"","Customer",IF(F43&lt;&gt;"","Project","Estimate")))))</f>
        <v/>
      </c>
      <c r="I43" s="14" t="inlineStr"/>
      <c r="J43" s="14" t="inlineStr"/>
      <c r="K43" s="14" t="inlineStr">
        <is>
          <t>Line.CustomExtensions DIMENSION 1000000051</t>
        </is>
      </c>
      <c r="L43" s="14" t="inlineStr">
        <is>
          <t>Input</t>
        </is>
      </c>
      <c r="M43" s="14" t="inlineStr">
        <is>
          <t>Confirm</t>
        </is>
      </c>
      <c r="N43" s="14" t="inlineStr"/>
      <c r="O43" s="11" t="inlineStr">
        <is>
          <t>5/5</t>
        </is>
      </c>
      <c r="P43" s="14" t="inlineStr">
        <is>
          <t>1000000378</t>
        </is>
      </c>
      <c r="Q43" s="14" t="inlineStr">
        <is>
          <t>Same as above.</t>
        </is>
      </c>
      <c r="R43" s="15" t="inlineStr"/>
      <c r="S43" s="15" t="inlineStr"/>
    </row>
    <row r="44">
      <c r="A44" s="11" t="n">
        <v>40</v>
      </c>
      <c r="B44" s="23" t="inlineStr">
        <is>
          <t>Product lines</t>
        </is>
      </c>
      <c r="C44" s="13" t="inlineStr">
        <is>
          <t>Line dimension 1000000172</t>
        </is>
      </c>
      <c r="D44" s="14" t="inlineStr">
        <is>
          <t>Category tag on product lines only (5-value list).</t>
        </is>
      </c>
      <c r="E44" s="11" t="inlineStr"/>
      <c r="F44" s="11" t="inlineStr"/>
      <c r="G44" s="11" t="inlineStr">
        <is>
          <t>✓</t>
        </is>
      </c>
      <c r="H44" s="14">
        <f>IF(COUNTA(E44:G44)=0,"",IF(COUNTA(E44:G44)=3,"All three",IF(COUNTA(E44:G44)=2,"Shared: "&amp;IF(E44&lt;&gt;"","Cust ","")&amp;IF(F44&lt;&gt;"","Proj ","")&amp;IF(G44&lt;&gt;"","Est",""),"Only "&amp;IF(E44&lt;&gt;"","Customer",IF(F44&lt;&gt;"","Project","Estimate")))))</f>
        <v/>
      </c>
      <c r="I44" s="14" t="inlineStr"/>
      <c r="J44" s="14" t="inlineStr"/>
      <c r="K44" s="14" t="inlineStr">
        <is>
          <t>Line.CustomExtensions DIMENSION 1000000172</t>
        </is>
      </c>
      <c r="L44" s="14" t="inlineStr">
        <is>
          <t>Input</t>
        </is>
      </c>
      <c r="M44" s="14" t="inlineStr">
        <is>
          <t>Confirm</t>
        </is>
      </c>
      <c r="N44" s="14" t="inlineStr"/>
      <c r="O44" s="11" t="inlineStr">
        <is>
          <t>5/5</t>
        </is>
      </c>
      <c r="P44" s="14" t="inlineStr">
        <is>
          <t>1000000173</t>
        </is>
      </c>
      <c r="Q44" s="14" t="inlineStr">
        <is>
          <t>Same as above.</t>
        </is>
      </c>
      <c r="R44" s="15" t="inlineStr"/>
      <c r="S44" s="15" t="inlineStr"/>
    </row>
    <row r="45">
      <c r="A45" s="11" t="n">
        <v>41</v>
      </c>
      <c r="B45" s="24" t="inlineStr">
        <is>
          <t>Fee lines</t>
        </is>
      </c>
      <c r="C45" s="13" t="inlineStr">
        <is>
          <t>Crating fee</t>
        </is>
      </c>
      <c r="D45" s="14" t="inlineStr">
        <is>
          <t>Crating charge.</t>
        </is>
      </c>
      <c r="E45" s="11" t="inlineStr"/>
      <c r="F45" s="11" t="inlineStr"/>
      <c r="G45" s="11" t="inlineStr">
        <is>
          <t>✓</t>
        </is>
      </c>
      <c r="H45" s="14">
        <f>IF(COUNTA(E45:G45)=0,"",IF(COUNTA(E45:G45)=3,"All three",IF(COUNTA(E45:G45)=2,"Shared: "&amp;IF(E45&lt;&gt;"","Cust ","")&amp;IF(F45&lt;&gt;"","Proj ","")&amp;IF(G45&lt;&gt;"","Est",""),"Only "&amp;IF(E45&lt;&gt;"","Customer",IF(F45&lt;&gt;"","Project","Estimate")))))</f>
        <v/>
      </c>
      <c r="I45" s="14" t="inlineStr"/>
      <c r="J45" s="14" t="inlineStr"/>
      <c r="K45" s="14" t="inlineStr">
        <is>
          <t>Line item 'Z Fees:Crating' (TAX)</t>
        </is>
      </c>
      <c r="L45" s="14" t="inlineStr">
        <is>
          <t>Input</t>
        </is>
      </c>
      <c r="M45" s="14" t="inlineStr">
        <is>
          <t>Recommended</t>
        </is>
      </c>
      <c r="N45" s="14" t="inlineStr"/>
      <c r="O45" s="11" t="inlineStr">
        <is>
          <t>4/5</t>
        </is>
      </c>
      <c r="P45" s="14" t="inlineStr">
        <is>
          <t>480</t>
        </is>
      </c>
      <c r="Q45" s="14" t="inlineStr"/>
      <c r="R45" s="15" t="inlineStr"/>
      <c r="S45" s="15" t="inlineStr"/>
    </row>
    <row r="46">
      <c r="A46" s="11" t="n">
        <v>42</v>
      </c>
      <c r="B46" s="24" t="inlineStr">
        <is>
          <t>Fee lines</t>
        </is>
      </c>
      <c r="C46" s="13" t="inlineStr">
        <is>
          <t>Shipping fee</t>
        </is>
      </c>
      <c r="D46" s="14" t="inlineStr">
        <is>
          <t>Freight charge.</t>
        </is>
      </c>
      <c r="E46" s="11" t="inlineStr"/>
      <c r="F46" s="11" t="inlineStr"/>
      <c r="G46" s="11" t="inlineStr">
        <is>
          <t>✓</t>
        </is>
      </c>
      <c r="H46" s="14">
        <f>IF(COUNTA(E46:G46)=0,"",IF(COUNTA(E46:G46)=3,"All three",IF(COUNTA(E46:G46)=2,"Shared: "&amp;IF(E46&lt;&gt;"","Cust ","")&amp;IF(F46&lt;&gt;"","Proj ","")&amp;IF(G46&lt;&gt;"","Est",""),"Only "&amp;IF(E46&lt;&gt;"","Customer",IF(F46&lt;&gt;"","Project","Estimate")))))</f>
        <v/>
      </c>
      <c r="I46" s="14" t="inlineStr"/>
      <c r="J46" s="14" t="inlineStr"/>
      <c r="K46" s="14" t="inlineStr">
        <is>
          <t>Line item 'Z Fees:Shipping Fee' (NON)</t>
        </is>
      </c>
      <c r="L46" s="14" t="inlineStr">
        <is>
          <t>Input</t>
        </is>
      </c>
      <c r="M46" s="14" t="inlineStr">
        <is>
          <t>Recommended</t>
        </is>
      </c>
      <c r="N46" s="14" t="inlineStr"/>
      <c r="O46" s="11" t="inlineStr">
        <is>
          <t>4/5</t>
        </is>
      </c>
      <c r="P46" s="14" t="inlineStr">
        <is>
          <t>1765</t>
        </is>
      </c>
      <c r="Q46" s="14" t="inlineStr">
        <is>
          <t>Charged as a line item, not QBO's shipping field.</t>
        </is>
      </c>
      <c r="R46" s="15" t="inlineStr"/>
      <c r="S46" s="15" t="inlineStr"/>
    </row>
    <row r="47">
      <c r="A47" s="11" t="n">
        <v>43</v>
      </c>
      <c r="B47" s="24" t="inlineStr">
        <is>
          <t>Fee lines</t>
        </is>
      </c>
      <c r="C47" s="13" t="inlineStr">
        <is>
          <t>Sales tax line</t>
        </is>
      </c>
      <c r="D47" s="14" t="inlineStr">
        <is>
          <t>Sales tax charged as a line item.</t>
        </is>
      </c>
      <c r="E47" s="11" t="inlineStr"/>
      <c r="F47" s="11" t="inlineStr"/>
      <c r="G47" s="11" t="inlineStr">
        <is>
          <t>✓</t>
        </is>
      </c>
      <c r="H47" s="14">
        <f>IF(COUNTA(E47:G47)=0,"",IF(COUNTA(E47:G47)=3,"All three",IF(COUNTA(E47:G47)=2,"Shared: "&amp;IF(E47&lt;&gt;"","Cust ","")&amp;IF(F47&lt;&gt;"","Proj ","")&amp;IF(G47&lt;&gt;"","Est",""),"Only "&amp;IF(E47&lt;&gt;"","Customer",IF(F47&lt;&gt;"","Project","Estimate")))))</f>
        <v/>
      </c>
      <c r="I47" s="14" t="inlineStr"/>
      <c r="J47" s="14" t="inlineStr"/>
      <c r="K47" s="14" t="inlineStr">
        <is>
          <t>Line item 'Z Fees:Sales Tax' (NON)</t>
        </is>
      </c>
      <c r="L47" s="14" t="inlineStr">
        <is>
          <t>Input</t>
        </is>
      </c>
      <c r="M47" s="14" t="inlineStr">
        <is>
          <t>If taxable</t>
        </is>
      </c>
      <c r="N47" s="14" t="inlineStr"/>
      <c r="O47" s="11" t="inlineStr">
        <is>
          <t>2/5</t>
        </is>
      </c>
      <c r="P47" s="14" t="inlineStr">
        <is>
          <t>8064.16</t>
        </is>
      </c>
      <c r="Q47" s="14" t="inlineStr">
        <is>
          <t>Only on the 2 taxable customers (11183, 11179). This is how tax is actually charged.</t>
        </is>
      </c>
      <c r="R47" s="15" t="inlineStr"/>
      <c r="S47" s="15" t="inlineStr"/>
    </row>
    <row r="48">
      <c r="A48" s="11" t="n">
        <v>44</v>
      </c>
      <c r="B48" s="24" t="inlineStr">
        <is>
          <t>Fee lines</t>
        </is>
      </c>
      <c r="C48" s="13" t="inlineStr">
        <is>
          <t>Soft wrap fee</t>
        </is>
      </c>
      <c r="D48" s="14" t="inlineStr">
        <is>
          <t>Soft wrap packaging charge.</t>
        </is>
      </c>
      <c r="E48" s="11" t="inlineStr"/>
      <c r="F48" s="11" t="inlineStr"/>
      <c r="G48" s="11" t="inlineStr">
        <is>
          <t>✓</t>
        </is>
      </c>
      <c r="H48" s="14">
        <f>IF(COUNTA(E48:G48)=0,"",IF(COUNTA(E48:G48)=3,"All three",IF(COUNTA(E48:G48)=2,"Shared: "&amp;IF(E48&lt;&gt;"","Cust ","")&amp;IF(F48&lt;&gt;"","Proj ","")&amp;IF(G48&lt;&gt;"","Est",""),"Only "&amp;IF(E48&lt;&gt;"","Customer",IF(F48&lt;&gt;"","Project","Estimate")))))</f>
        <v/>
      </c>
      <c r="I48" s="14" t="inlineStr"/>
      <c r="J48" s="14" t="inlineStr"/>
      <c r="K48" s="14" t="inlineStr">
        <is>
          <t>Line item 'Z Fees:Soft Wrap' (TAX)</t>
        </is>
      </c>
      <c r="L48" s="14" t="inlineStr">
        <is>
          <t>Input</t>
        </is>
      </c>
      <c r="M48" s="14" t="inlineStr">
        <is>
          <t>Optional</t>
        </is>
      </c>
      <c r="N48" s="14" t="inlineStr"/>
      <c r="O48" s="11" t="inlineStr">
        <is>
          <t>1/5</t>
        </is>
      </c>
      <c r="P48" s="14" t="inlineStr">
        <is>
          <t>1183.89</t>
        </is>
      </c>
      <c r="Q48" s="14" t="inlineStr"/>
      <c r="R48" s="15" t="inlineStr"/>
      <c r="S48" s="15" t="inlineStr"/>
    </row>
    <row r="49">
      <c r="A49" s="11" t="n">
        <v>45</v>
      </c>
      <c r="B49" s="24" t="inlineStr">
        <is>
          <t>Fee lines</t>
        </is>
      </c>
      <c r="C49" s="13" t="inlineStr">
        <is>
          <t>Deposit placeholder line</t>
        </is>
      </c>
      <c r="D49" s="14" t="inlineStr">
        <is>
          <t>$0 'Deposit for Sales Order' line.</t>
        </is>
      </c>
      <c r="E49" s="11" t="inlineStr"/>
      <c r="F49" s="11" t="inlineStr"/>
      <c r="G49" s="11" t="inlineStr">
        <is>
          <t>✓</t>
        </is>
      </c>
      <c r="H49" s="14">
        <f>IF(COUNTA(E49:G49)=0,"",IF(COUNTA(E49:G49)=3,"All three",IF(COUNTA(E49:G49)=2,"Shared: "&amp;IF(E49&lt;&gt;"","Cust ","")&amp;IF(F49&lt;&gt;"","Proj ","")&amp;IF(G49&lt;&gt;"","Est",""),"Only "&amp;IF(E49&lt;&gt;"","Customer",IF(F49&lt;&gt;"","Project","Estimate")))))</f>
        <v/>
      </c>
      <c r="I49" s="14" t="inlineStr"/>
      <c r="J49" s="14" t="inlineStr"/>
      <c r="K49" s="14" t="inlineStr">
        <is>
          <t>Line item 'Z Fees:Deposit' ($0, TAX)</t>
        </is>
      </c>
      <c r="L49" s="14" t="inlineStr">
        <is>
          <t>Constant</t>
        </is>
      </c>
      <c r="M49" s="14" t="inlineStr">
        <is>
          <t>Recommended</t>
        </is>
      </c>
      <c r="N49" s="14" t="inlineStr"/>
      <c r="O49" s="11" t="inlineStr">
        <is>
          <t>4/5</t>
        </is>
      </c>
      <c r="P49" s="14" t="inlineStr">
        <is>
          <t>0</t>
        </is>
      </c>
      <c r="Q49" s="14" t="inlineStr">
        <is>
          <t>Missing only on 11172.</t>
        </is>
      </c>
      <c r="R49" s="15" t="inlineStr"/>
      <c r="S49" s="15" t="inlineStr"/>
    </row>
    <row r="50">
      <c r="A50" s="11" t="n">
        <v>46</v>
      </c>
      <c r="B50" s="24" t="inlineStr">
        <is>
          <t>Fee lines</t>
        </is>
      </c>
      <c r="C50" s="13" t="inlineStr">
        <is>
          <t>Subtotal line</t>
        </is>
      </c>
      <c r="D50" s="14" t="inlineStr">
        <is>
          <t>Subtotal row at the bottom.</t>
        </is>
      </c>
      <c r="E50" s="11" t="inlineStr"/>
      <c r="F50" s="11" t="inlineStr"/>
      <c r="G50" s="11" t="inlineStr">
        <is>
          <t>✓</t>
        </is>
      </c>
      <c r="H50" s="14">
        <f>IF(COUNTA(E50:G50)=0,"",IF(COUNTA(E50:G50)=3,"All three",IF(COUNTA(E50:G50)=2,"Shared: "&amp;IF(E50&lt;&gt;"","Cust ","")&amp;IF(F50&lt;&gt;"","Proj ","")&amp;IF(G50&lt;&gt;"","Est",""),"Only "&amp;IF(E50&lt;&gt;"","Customer",IF(F50&lt;&gt;"","Project","Estimate")))))</f>
        <v/>
      </c>
      <c r="I50" s="14" t="inlineStr"/>
      <c r="J50" s="14" t="inlineStr"/>
      <c r="K50" s="14" t="inlineStr">
        <is>
          <t>Line DetailType = SubTotalLineDetail</t>
        </is>
      </c>
      <c r="L50" s="14" t="inlineStr">
        <is>
          <t>Constant</t>
        </is>
      </c>
      <c r="M50" s="14" t="inlineStr">
        <is>
          <t>Recommended</t>
        </is>
      </c>
      <c r="N50" s="14" t="inlineStr"/>
      <c r="O50" s="11" t="inlineStr">
        <is>
          <t>5/5</t>
        </is>
      </c>
      <c r="P50" s="14" t="inlineStr"/>
      <c r="Q50" s="14" t="inlineStr"/>
      <c r="R50" s="15" t="inlineStr"/>
      <c r="S50" s="15" t="inlineStr"/>
    </row>
    <row r="51">
      <c r="A51" s="25">
        <f>IF(C51="","",ROW()-4)</f>
        <v/>
      </c>
      <c r="B51" s="26" t="inlineStr">
        <is>
          <t>(add missing items below)</t>
        </is>
      </c>
      <c r="C51" s="26" t="n"/>
      <c r="D51" s="26" t="n"/>
      <c r="E51" s="25" t="n"/>
      <c r="F51" s="25" t="n"/>
      <c r="G51" s="25" t="n"/>
      <c r="H51" s="27">
        <f>IF(COUNTA(E51:G51)=0,"",IF(COUNTA(E51:G51)=3,"All three",IF(COUNTA(E51:G51)=2,"Shared: "&amp;IF(E51&lt;&gt;"","Cust ","")&amp;IF(F51&lt;&gt;"","Proj ","")&amp;IF(G51&lt;&gt;"","Est",""),"Only "&amp;IF(E51&lt;&gt;"","Customer",IF(F51&lt;&gt;"","Project","Estimate")))))</f>
        <v/>
      </c>
      <c r="I51" s="26" t="n"/>
      <c r="J51" s="26" t="n"/>
      <c r="K51" s="26" t="n"/>
      <c r="L51" s="26" t="n"/>
      <c r="M51" s="26" t="n"/>
      <c r="N51" s="26" t="n"/>
      <c r="O51" s="26" t="n"/>
      <c r="P51" s="26" t="n"/>
      <c r="Q51" s="26" t="n"/>
      <c r="R51" s="26" t="n"/>
      <c r="S51" s="26" t="n"/>
    </row>
    <row r="52">
      <c r="A52" s="25">
        <f>IF(C52="","",ROW()-4)</f>
        <v/>
      </c>
      <c r="B52" s="26" t="n"/>
      <c r="C52" s="26" t="n"/>
      <c r="D52" s="26" t="n"/>
      <c r="E52" s="25" t="n"/>
      <c r="F52" s="25" t="n"/>
      <c r="G52" s="25" t="n"/>
      <c r="H52" s="27">
        <f>IF(COUNTA(E52:G52)=0,"",IF(COUNTA(E52:G52)=3,"All three",IF(COUNTA(E52:G52)=2,"Shared: "&amp;IF(E52&lt;&gt;"","Cust ","")&amp;IF(F52&lt;&gt;"","Proj ","")&amp;IF(G52&lt;&gt;"","Est",""),"Only "&amp;IF(E52&lt;&gt;"","Customer",IF(F52&lt;&gt;"","Project","Estimate")))))</f>
        <v/>
      </c>
      <c r="I52" s="26" t="n"/>
      <c r="J52" s="26" t="n"/>
      <c r="K52" s="26" t="n"/>
      <c r="L52" s="26" t="n"/>
      <c r="M52" s="26" t="n"/>
      <c r="N52" s="26" t="n"/>
      <c r="O52" s="26" t="n"/>
      <c r="P52" s="26" t="n"/>
      <c r="Q52" s="26" t="n"/>
      <c r="R52" s="26" t="n"/>
      <c r="S52" s="26" t="n"/>
    </row>
    <row r="53">
      <c r="A53" s="25">
        <f>IF(C53="","",ROW()-4)</f>
        <v/>
      </c>
      <c r="B53" s="26" t="n"/>
      <c r="C53" s="26" t="n"/>
      <c r="D53" s="26" t="n"/>
      <c r="E53" s="25" t="n"/>
      <c r="F53" s="25" t="n"/>
      <c r="G53" s="25" t="n"/>
      <c r="H53" s="27">
        <f>IF(COUNTA(E53:G53)=0,"",IF(COUNTA(E53:G53)=3,"All three",IF(COUNTA(E53:G53)=2,"Shared: "&amp;IF(E53&lt;&gt;"","Cust ","")&amp;IF(F53&lt;&gt;"","Proj ","")&amp;IF(G53&lt;&gt;"","Est",""),"Only "&amp;IF(E53&lt;&gt;"","Customer",IF(F53&lt;&gt;"","Project","Estimate")))))</f>
        <v/>
      </c>
      <c r="I53" s="26" t="n"/>
      <c r="J53" s="26" t="n"/>
      <c r="K53" s="26" t="n"/>
      <c r="L53" s="26" t="n"/>
      <c r="M53" s="26" t="n"/>
      <c r="N53" s="26" t="n"/>
      <c r="O53" s="26" t="n"/>
      <c r="P53" s="26" t="n"/>
      <c r="Q53" s="26" t="n"/>
      <c r="R53" s="26" t="n"/>
      <c r="S53" s="26" t="n"/>
    </row>
    <row r="54">
      <c r="A54" s="25">
        <f>IF(C54="","",ROW()-4)</f>
        <v/>
      </c>
      <c r="B54" s="26" t="n"/>
      <c r="C54" s="26" t="n"/>
      <c r="D54" s="26" t="n"/>
      <c r="E54" s="25" t="n"/>
      <c r="F54" s="25" t="n"/>
      <c r="G54" s="25" t="n"/>
      <c r="H54" s="27">
        <f>IF(COUNTA(E54:G54)=0,"",IF(COUNTA(E54:G54)=3,"All three",IF(COUNTA(E54:G54)=2,"Shared: "&amp;IF(E54&lt;&gt;"","Cust ","")&amp;IF(F54&lt;&gt;"","Proj ","")&amp;IF(G54&lt;&gt;"","Est",""),"Only "&amp;IF(E54&lt;&gt;"","Customer",IF(F54&lt;&gt;"","Project","Estimate")))))</f>
        <v/>
      </c>
      <c r="I54" s="26" t="n"/>
      <c r="J54" s="26" t="n"/>
      <c r="K54" s="26" t="n"/>
      <c r="L54" s="26" t="n"/>
      <c r="M54" s="26" t="n"/>
      <c r="N54" s="26" t="n"/>
      <c r="O54" s="26" t="n"/>
      <c r="P54" s="26" t="n"/>
      <c r="Q54" s="26" t="n"/>
      <c r="R54" s="26" t="n"/>
      <c r="S54" s="26" t="n"/>
    </row>
    <row r="55">
      <c r="A55" s="25">
        <f>IF(C55="","",ROW()-4)</f>
        <v/>
      </c>
      <c r="B55" s="26" t="n"/>
      <c r="C55" s="26" t="n"/>
      <c r="D55" s="26" t="n"/>
      <c r="E55" s="25" t="n"/>
      <c r="F55" s="25" t="n"/>
      <c r="G55" s="25" t="n"/>
      <c r="H55" s="27">
        <f>IF(COUNTA(E55:G55)=0,"",IF(COUNTA(E55:G55)=3,"All three",IF(COUNTA(E55:G55)=2,"Shared: "&amp;IF(E55&lt;&gt;"","Cust ","")&amp;IF(F55&lt;&gt;"","Proj ","")&amp;IF(G55&lt;&gt;"","Est",""),"Only "&amp;IF(E55&lt;&gt;"","Customer",IF(F55&lt;&gt;"","Project","Estimate")))))</f>
        <v/>
      </c>
      <c r="I55" s="26" t="n"/>
      <c r="J55" s="26" t="n"/>
      <c r="K55" s="26" t="n"/>
      <c r="L55" s="26" t="n"/>
      <c r="M55" s="26" t="n"/>
      <c r="N55" s="26" t="n"/>
      <c r="O55" s="26" t="n"/>
      <c r="P55" s="26" t="n"/>
      <c r="Q55" s="26" t="n"/>
      <c r="R55" s="26" t="n"/>
      <c r="S55" s="26" t="n"/>
    </row>
    <row r="56">
      <c r="A56" s="25">
        <f>IF(C56="","",ROW()-4)</f>
        <v/>
      </c>
      <c r="B56" s="26" t="n"/>
      <c r="C56" s="26" t="n"/>
      <c r="D56" s="26" t="n"/>
      <c r="E56" s="25" t="n"/>
      <c r="F56" s="25" t="n"/>
      <c r="G56" s="25" t="n"/>
      <c r="H56" s="27">
        <f>IF(COUNTA(E56:G56)=0,"",IF(COUNTA(E56:G56)=3,"All three",IF(COUNTA(E56:G56)=2,"Shared: "&amp;IF(E56&lt;&gt;"","Cust ","")&amp;IF(F56&lt;&gt;"","Proj ","")&amp;IF(G56&lt;&gt;"","Est",""),"Only "&amp;IF(E56&lt;&gt;"","Customer",IF(F56&lt;&gt;"","Project","Estimate")))))</f>
        <v/>
      </c>
      <c r="I56" s="26" t="n"/>
      <c r="J56" s="26" t="n"/>
      <c r="K56" s="26" t="n"/>
      <c r="L56" s="26" t="n"/>
      <c r="M56" s="26" t="n"/>
      <c r="N56" s="26" t="n"/>
      <c r="O56" s="26" t="n"/>
      <c r="P56" s="26" t="n"/>
      <c r="Q56" s="26" t="n"/>
      <c r="R56" s="26" t="n"/>
      <c r="S56" s="26" t="n"/>
    </row>
    <row r="57">
      <c r="A57" s="25">
        <f>IF(C57="","",ROW()-4)</f>
        <v/>
      </c>
      <c r="B57" s="26" t="n"/>
      <c r="C57" s="26" t="n"/>
      <c r="D57" s="26" t="n"/>
      <c r="E57" s="25" t="n"/>
      <c r="F57" s="25" t="n"/>
      <c r="G57" s="25" t="n"/>
      <c r="H57" s="27">
        <f>IF(COUNTA(E57:G57)=0,"",IF(COUNTA(E57:G57)=3,"All three",IF(COUNTA(E57:G57)=2,"Shared: "&amp;IF(E57&lt;&gt;"","Cust ","")&amp;IF(F57&lt;&gt;"","Proj ","")&amp;IF(G57&lt;&gt;"","Est",""),"Only "&amp;IF(E57&lt;&gt;"","Customer",IF(F57&lt;&gt;"","Project","Estimate")))))</f>
        <v/>
      </c>
      <c r="I57" s="26" t="n"/>
      <c r="J57" s="26" t="n"/>
      <c r="K57" s="26" t="n"/>
      <c r="L57" s="26" t="n"/>
      <c r="M57" s="26" t="n"/>
      <c r="N57" s="26" t="n"/>
      <c r="O57" s="26" t="n"/>
      <c r="P57" s="26" t="n"/>
      <c r="Q57" s="26" t="n"/>
      <c r="R57" s="26" t="n"/>
      <c r="S57" s="26" t="n"/>
    </row>
    <row r="58">
      <c r="A58" s="25">
        <f>IF(C58="","",ROW()-4)</f>
        <v/>
      </c>
      <c r="B58" s="26" t="n"/>
      <c r="C58" s="26" t="n"/>
      <c r="D58" s="26" t="n"/>
      <c r="E58" s="25" t="n"/>
      <c r="F58" s="25" t="n"/>
      <c r="G58" s="25" t="n"/>
      <c r="H58" s="27">
        <f>IF(COUNTA(E58:G58)=0,"",IF(COUNTA(E58:G58)=3,"All three",IF(COUNTA(E58:G58)=2,"Shared: "&amp;IF(E58&lt;&gt;"","Cust ","")&amp;IF(F58&lt;&gt;"","Proj ","")&amp;IF(G58&lt;&gt;"","Est",""),"Only "&amp;IF(E58&lt;&gt;"","Customer",IF(F58&lt;&gt;"","Project","Estimate")))))</f>
        <v/>
      </c>
      <c r="I58" s="26" t="n"/>
      <c r="J58" s="26" t="n"/>
      <c r="K58" s="26" t="n"/>
      <c r="L58" s="26" t="n"/>
      <c r="M58" s="26" t="n"/>
      <c r="N58" s="26" t="n"/>
      <c r="O58" s="26" t="n"/>
      <c r="P58" s="26" t="n"/>
      <c r="Q58" s="26" t="n"/>
      <c r="R58" s="26" t="n"/>
      <c r="S58" s="26" t="n"/>
    </row>
    <row r="59">
      <c r="A59" s="25">
        <f>IF(C59="","",ROW()-4)</f>
        <v/>
      </c>
      <c r="B59" s="26" t="n"/>
      <c r="C59" s="26" t="n"/>
      <c r="D59" s="26" t="n"/>
      <c r="E59" s="25" t="n"/>
      <c r="F59" s="25" t="n"/>
      <c r="G59" s="25" t="n"/>
      <c r="H59" s="27">
        <f>IF(COUNTA(E59:G59)=0,"",IF(COUNTA(E59:G59)=3,"All three",IF(COUNTA(E59:G59)=2,"Shared: "&amp;IF(E59&lt;&gt;"","Cust ","")&amp;IF(F59&lt;&gt;"","Proj ","")&amp;IF(G59&lt;&gt;"","Est",""),"Only "&amp;IF(E59&lt;&gt;"","Customer",IF(F59&lt;&gt;"","Project","Estimate")))))</f>
        <v/>
      </c>
      <c r="I59" s="26" t="n"/>
      <c r="J59" s="26" t="n"/>
      <c r="K59" s="26" t="n"/>
      <c r="L59" s="26" t="n"/>
      <c r="M59" s="26" t="n"/>
      <c r="N59" s="26" t="n"/>
      <c r="O59" s="26" t="n"/>
      <c r="P59" s="26" t="n"/>
      <c r="Q59" s="26" t="n"/>
      <c r="R59" s="26" t="n"/>
      <c r="S59" s="26" t="n"/>
    </row>
    <row r="60">
      <c r="A60" s="25">
        <f>IF(C60="","",ROW()-4)</f>
        <v/>
      </c>
      <c r="B60" s="26" t="n"/>
      <c r="C60" s="26" t="n"/>
      <c r="D60" s="26" t="n"/>
      <c r="E60" s="25" t="n"/>
      <c r="F60" s="25" t="n"/>
      <c r="G60" s="25" t="n"/>
      <c r="H60" s="27">
        <f>IF(COUNTA(E60:G60)=0,"",IF(COUNTA(E60:G60)=3,"All three",IF(COUNTA(E60:G60)=2,"Shared: "&amp;IF(E60&lt;&gt;"","Cust ","")&amp;IF(F60&lt;&gt;"","Proj ","")&amp;IF(G60&lt;&gt;"","Est",""),"Only "&amp;IF(E60&lt;&gt;"","Customer",IF(F60&lt;&gt;"","Project","Estimate")))))</f>
        <v/>
      </c>
      <c r="I60" s="26" t="n"/>
      <c r="J60" s="26" t="n"/>
      <c r="K60" s="26" t="n"/>
      <c r="L60" s="26" t="n"/>
      <c r="M60" s="26" t="n"/>
      <c r="N60" s="26" t="n"/>
      <c r="O60" s="26" t="n"/>
      <c r="P60" s="26" t="n"/>
      <c r="Q60" s="26" t="n"/>
      <c r="R60" s="26" t="n"/>
      <c r="S60" s="26" t="n"/>
    </row>
    <row r="61">
      <c r="A61" s="25">
        <f>IF(C61="","",ROW()-4)</f>
        <v/>
      </c>
      <c r="B61" s="26" t="n"/>
      <c r="C61" s="26" t="n"/>
      <c r="D61" s="26" t="n"/>
      <c r="E61" s="25" t="n"/>
      <c r="F61" s="25" t="n"/>
      <c r="G61" s="25" t="n"/>
      <c r="H61" s="27">
        <f>IF(COUNTA(E61:G61)=0,"",IF(COUNTA(E61:G61)=3,"All three",IF(COUNTA(E61:G61)=2,"Shared: "&amp;IF(E61&lt;&gt;"","Cust ","")&amp;IF(F61&lt;&gt;"","Proj ","")&amp;IF(G61&lt;&gt;"","Est",""),"Only "&amp;IF(E61&lt;&gt;"","Customer",IF(F61&lt;&gt;"","Project","Estimate")))))</f>
        <v/>
      </c>
      <c r="I61" s="26" t="n"/>
      <c r="J61" s="26" t="n"/>
      <c r="K61" s="26" t="n"/>
      <c r="L61" s="26" t="n"/>
      <c r="M61" s="26" t="n"/>
      <c r="N61" s="26" t="n"/>
      <c r="O61" s="26" t="n"/>
      <c r="P61" s="26" t="n"/>
      <c r="Q61" s="26" t="n"/>
      <c r="R61" s="26" t="n"/>
      <c r="S61" s="26" t="n"/>
    </row>
    <row r="62">
      <c r="A62" s="25">
        <f>IF(C62="","",ROW()-4)</f>
        <v/>
      </c>
      <c r="B62" s="26" t="n"/>
      <c r="C62" s="26" t="n"/>
      <c r="D62" s="26" t="n"/>
      <c r="E62" s="25" t="n"/>
      <c r="F62" s="25" t="n"/>
      <c r="G62" s="25" t="n"/>
      <c r="H62" s="27">
        <f>IF(COUNTA(E62:G62)=0,"",IF(COUNTA(E62:G62)=3,"All three",IF(COUNTA(E62:G62)=2,"Shared: "&amp;IF(E62&lt;&gt;"","Cust ","")&amp;IF(F62&lt;&gt;"","Proj ","")&amp;IF(G62&lt;&gt;"","Est",""),"Only "&amp;IF(E62&lt;&gt;"","Customer",IF(F62&lt;&gt;"","Project","Estimate")))))</f>
        <v/>
      </c>
      <c r="I62" s="26" t="n"/>
      <c r="J62" s="26" t="n"/>
      <c r="K62" s="26" t="n"/>
      <c r="L62" s="26" t="n"/>
      <c r="M62" s="26" t="n"/>
      <c r="N62" s="26" t="n"/>
      <c r="O62" s="26" t="n"/>
      <c r="P62" s="26" t="n"/>
      <c r="Q62" s="26" t="n"/>
      <c r="R62" s="26" t="n"/>
      <c r="S62" s="26" t="n"/>
    </row>
    <row r="63">
      <c r="A63" s="25">
        <f>IF(C63="","",ROW()-4)</f>
        <v/>
      </c>
      <c r="B63" s="26" t="n"/>
      <c r="C63" s="26" t="n"/>
      <c r="D63" s="26" t="n"/>
      <c r="E63" s="25" t="n"/>
      <c r="F63" s="25" t="n"/>
      <c r="G63" s="25" t="n"/>
      <c r="H63" s="27">
        <f>IF(COUNTA(E63:G63)=0,"",IF(COUNTA(E63:G63)=3,"All three",IF(COUNTA(E63:G63)=2,"Shared: "&amp;IF(E63&lt;&gt;"","Cust ","")&amp;IF(F63&lt;&gt;"","Proj ","")&amp;IF(G63&lt;&gt;"","Est",""),"Only "&amp;IF(E63&lt;&gt;"","Customer",IF(F63&lt;&gt;"","Project","Estimate")))))</f>
        <v/>
      </c>
      <c r="I63" s="26" t="n"/>
      <c r="J63" s="26" t="n"/>
      <c r="K63" s="26" t="n"/>
      <c r="L63" s="26" t="n"/>
      <c r="M63" s="26" t="n"/>
      <c r="N63" s="26" t="n"/>
      <c r="O63" s="26" t="n"/>
      <c r="P63" s="26" t="n"/>
      <c r="Q63" s="26" t="n"/>
      <c r="R63" s="26" t="n"/>
      <c r="S63" s="26" t="n"/>
    </row>
    <row r="64">
      <c r="A64" s="25">
        <f>IF(C64="","",ROW()-4)</f>
        <v/>
      </c>
      <c r="B64" s="26" t="n"/>
      <c r="C64" s="26" t="n"/>
      <c r="D64" s="26" t="n"/>
      <c r="E64" s="25" t="n"/>
      <c r="F64" s="25" t="n"/>
      <c r="G64" s="25" t="n"/>
      <c r="H64" s="27">
        <f>IF(COUNTA(E64:G64)=0,"",IF(COUNTA(E64:G64)=3,"All three",IF(COUNTA(E64:G64)=2,"Shared: "&amp;IF(E64&lt;&gt;"","Cust ","")&amp;IF(F64&lt;&gt;"","Proj ","")&amp;IF(G64&lt;&gt;"","Est",""),"Only "&amp;IF(E64&lt;&gt;"","Customer",IF(F64&lt;&gt;"","Project","Estimate")))))</f>
        <v/>
      </c>
      <c r="I64" s="26" t="n"/>
      <c r="J64" s="26" t="n"/>
      <c r="K64" s="26" t="n"/>
      <c r="L64" s="26" t="n"/>
      <c r="M64" s="26" t="n"/>
      <c r="N64" s="26" t="n"/>
      <c r="O64" s="26" t="n"/>
      <c r="P64" s="26" t="n"/>
      <c r="Q64" s="26" t="n"/>
      <c r="R64" s="26" t="n"/>
      <c r="S64" s="26" t="n"/>
    </row>
    <row r="65">
      <c r="A65" s="25">
        <f>IF(C65="","",ROW()-4)</f>
        <v/>
      </c>
      <c r="B65" s="26" t="n"/>
      <c r="C65" s="26" t="n"/>
      <c r="D65" s="26" t="n"/>
      <c r="E65" s="25" t="n"/>
      <c r="F65" s="25" t="n"/>
      <c r="G65" s="25" t="n"/>
      <c r="H65" s="27">
        <f>IF(COUNTA(E65:G65)=0,"",IF(COUNTA(E65:G65)=3,"All three",IF(COUNTA(E65:G65)=2,"Shared: "&amp;IF(E65&lt;&gt;"","Cust ","")&amp;IF(F65&lt;&gt;"","Proj ","")&amp;IF(G65&lt;&gt;"","Est",""),"Only "&amp;IF(E65&lt;&gt;"","Customer",IF(F65&lt;&gt;"","Project","Estimate")))))</f>
        <v/>
      </c>
      <c r="I65" s="26" t="n"/>
      <c r="J65" s="26" t="n"/>
      <c r="K65" s="26" t="n"/>
      <c r="L65" s="26" t="n"/>
      <c r="M65" s="26" t="n"/>
      <c r="N65" s="26" t="n"/>
      <c r="O65" s="26" t="n"/>
      <c r="P65" s="26" t="n"/>
      <c r="Q65" s="26" t="n"/>
      <c r="R65" s="26" t="n"/>
      <c r="S65" s="26" t="n"/>
    </row>
  </sheetData>
  <autoFilter ref="A4:S65"/>
  <mergeCells count="1">
    <mergeCell ref="A2:S2"/>
  </mergeCells>
  <conditionalFormatting sqref="H5:H65">
    <cfRule type="expression" priority="1" dxfId="0">
      <formula>$H5="All three"</formula>
    </cfRule>
    <cfRule type="expression" priority="2" dxfId="1">
      <formula>LEFT($H5,6)="Shared"</formula>
    </cfRule>
  </conditionalFormatting>
  <dataValidations count="4">
    <dataValidation sqref="E5:G65" showDropDown="0" showInputMessage="0" showErrorMessage="0" allowBlank="1" type="list">
      <formula1>"✓"</formula1>
    </dataValidation>
    <dataValidation sqref="R5:R65" showDropDown="0" showInputMessage="0" showErrorMessage="0" allowBlank="1" type="list">
      <formula1>"Keep,Add,Not needed,Question"</formula1>
    </dataValidation>
    <dataValidation sqref="M51:M65" showDropDown="0" showInputMessage="0" showErrorMessage="0" allowBlank="1" type="list">
      <formula1>"Required,Recommended,Optional,Confirm,Auto,Not used"</formula1>
    </dataValidation>
    <dataValidation sqref="L51:L65" showDropDown="0" showInputMessage="0" showErrorMessage="0" allowBlank="1" type="list">
      <formula1>"Input,Constant,Lookup,Calculated,Rule"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30" customWidth="1" min="3" max="3"/>
    <col width="30" customWidth="1" min="4" max="4"/>
    <col width="30" customWidth="1" min="5" max="5"/>
    <col width="30" customWidth="1" min="6" max="6"/>
    <col width="11" customWidth="1" min="7" max="7"/>
  </cols>
  <sheetData>
    <row r="1">
      <c r="A1" s="1" t="inlineStr">
        <is>
          <t>Estimate comparison – what each estimate actually uses</t>
        </is>
      </c>
    </row>
    <row r="2">
      <c r="A2" s="28" t="inlineStr">
        <is>
          <t>Values come from QBO (n8n execution 106). A blank cell means that estimate, its project or its customer didn't use the data point. 'Used (of 5)' is a formula.</t>
        </is>
      </c>
    </row>
    <row r="4">
      <c r="A4" s="10" t="inlineStr">
        <is>
          <t>Data point</t>
        </is>
      </c>
      <c r="B4" s="10" t="inlineStr">
        <is>
          <t>Est 11183</t>
        </is>
      </c>
      <c r="C4" s="10" t="inlineStr">
        <is>
          <t>Est 11172</t>
        </is>
      </c>
      <c r="D4" s="10" t="inlineStr">
        <is>
          <t>Est 11179</t>
        </is>
      </c>
      <c r="E4" s="10" t="inlineStr">
        <is>
          <t>Est 11155</t>
        </is>
      </c>
      <c r="F4" s="10" t="inlineStr">
        <is>
          <t>Est 11135</t>
        </is>
      </c>
      <c r="G4" s="10" t="inlineStr">
        <is>
          <t>Used (of 5)</t>
        </is>
      </c>
    </row>
    <row r="5">
      <c r="A5" s="29" t="inlineStr">
        <is>
          <t>CUSTOMER (parent)</t>
        </is>
      </c>
      <c r="B5" s="30" t="n"/>
      <c r="C5" s="30" t="n"/>
      <c r="D5" s="30" t="n"/>
      <c r="E5" s="30" t="n"/>
      <c r="F5" s="30" t="n"/>
      <c r="G5" s="30" t="n"/>
    </row>
    <row r="6">
      <c r="A6" s="31" t="inlineStr">
        <is>
          <t>Customer (parent) name</t>
        </is>
      </c>
      <c r="B6" s="32" t="inlineStr">
        <is>
          <t>Ajay Glass &amp; Mirror Co., Inc.</t>
        </is>
      </c>
      <c r="C6" s="32" t="inlineStr">
        <is>
          <t>Integrated Door &amp; Window Systems</t>
        </is>
      </c>
      <c r="D6" s="32" t="inlineStr">
        <is>
          <t>Progress Glass</t>
        </is>
      </c>
      <c r="E6" s="32" t="inlineStr">
        <is>
          <t>Turkel Systems</t>
        </is>
      </c>
      <c r="F6" s="32" t="inlineStr">
        <is>
          <t>JDP Associates</t>
        </is>
      </c>
      <c r="G6" s="33">
        <f>COUNTA(B6:F6)</f>
        <v/>
      </c>
    </row>
    <row r="7">
      <c r="A7" s="31" t="inlineStr">
        <is>
          <t>Company name</t>
        </is>
      </c>
      <c r="B7" s="32" t="inlineStr">
        <is>
          <t>Ajay Glass &amp; Mirror Co., Inc.</t>
        </is>
      </c>
      <c r="C7" s="32" t="inlineStr">
        <is>
          <t>Integrated Door &amp; Window Systems</t>
        </is>
      </c>
      <c r="D7" s="32" t="inlineStr">
        <is>
          <t>Progress Glass</t>
        </is>
      </c>
      <c r="E7" s="32" t="inlineStr">
        <is>
          <t>Turkel Systems</t>
        </is>
      </c>
      <c r="F7" s="32" t="inlineStr">
        <is>
          <t>JDP Associates</t>
        </is>
      </c>
      <c r="G7" s="33">
        <f>COUNTA(B7:F7)</f>
        <v/>
      </c>
    </row>
    <row r="8">
      <c r="A8" s="31" t="inlineStr">
        <is>
          <t>Customer group (parent's parent)</t>
        </is>
      </c>
      <c r="B8" s="32" t="n"/>
      <c r="C8" s="32" t="n"/>
      <c r="D8" s="32" t="n"/>
      <c r="E8" s="32" t="inlineStr">
        <is>
          <t>Turkel Design</t>
        </is>
      </c>
      <c r="F8" s="32" t="n"/>
      <c r="G8" s="33">
        <f>COUNTA(B8:F8)</f>
        <v/>
      </c>
    </row>
    <row r="9">
      <c r="A9" s="31" t="inlineStr">
        <is>
          <t>Contact first / last name</t>
        </is>
      </c>
      <c r="B9" s="32" t="n"/>
      <c r="C9" s="32" t="n"/>
      <c r="D9" s="32" t="n"/>
      <c r="E9" s="32" t="inlineStr">
        <is>
          <t>Jamie Fronske</t>
        </is>
      </c>
      <c r="F9" s="32" t="n"/>
      <c r="G9" s="33">
        <f>COUNTA(B9:F9)</f>
        <v/>
      </c>
    </row>
    <row r="10">
      <c r="A10" s="31" t="inlineStr">
        <is>
          <t>Customer email(s)</t>
        </is>
      </c>
      <c r="B10" s="32" t="inlineStr">
        <is>
          <t>Gsonneville@ajayglass.com</t>
        </is>
      </c>
      <c r="C10" s="32" t="inlineStr">
        <is>
          <t>Brit@idws.us</t>
        </is>
      </c>
      <c r="D10" s="32" t="inlineStr">
        <is>
          <t>shannon@panda-windows.com (parent) / LuisCuestas@progressglass.com (project + estimate)</t>
        </is>
      </c>
      <c r="E10" s="32" t="inlineStr">
        <is>
          <t>ap@turkelsystems.com (+ jamie@, Jake@turkeldesign.com on the project and estimate)</t>
        </is>
      </c>
      <c r="F10" s="32" t="inlineStr">
        <is>
          <t>Joey@adc.vegas</t>
        </is>
      </c>
      <c r="G10" s="33">
        <f>COUNTA(B10:F10)</f>
        <v/>
      </c>
    </row>
    <row r="11">
      <c r="A11" s="31" t="inlineStr">
        <is>
          <t>Customer phone</t>
        </is>
      </c>
      <c r="B11" s="32" t="n"/>
      <c r="C11" s="32" t="inlineStr">
        <is>
          <t>(310) 439-1296</t>
        </is>
      </c>
      <c r="D11" s="32" t="n"/>
      <c r="E11" s="32" t="inlineStr">
        <is>
          <t>905-782-7372</t>
        </is>
      </c>
      <c r="F11" s="32" t="inlineStr">
        <is>
          <t>702-812-8566</t>
        </is>
      </c>
      <c r="G11" s="33">
        <f>COUNTA(B11:F11)</f>
        <v/>
      </c>
    </row>
    <row r="12">
      <c r="A12" s="31" t="inlineStr">
        <is>
          <t>Billing street</t>
        </is>
      </c>
      <c r="B12" s="32" t="inlineStr">
        <is>
          <t>5786 Collett Road</t>
        </is>
      </c>
      <c r="C12" s="32" t="inlineStr">
        <is>
          <t>11817 Major Street</t>
        </is>
      </c>
      <c r="D12" s="32" t="inlineStr">
        <is>
          <t>25 Patterson Street</t>
        </is>
      </c>
      <c r="E12" s="32" t="inlineStr">
        <is>
          <t>1060 Broadway Ste C102</t>
        </is>
      </c>
      <c r="F12" s="32" t="inlineStr">
        <is>
          <t>3 Hunt Valley Trail</t>
        </is>
      </c>
      <c r="G12" s="33">
        <f>COUNTA(B12:F12)</f>
        <v/>
      </c>
    </row>
    <row r="13">
      <c r="A13" s="31" t="inlineStr">
        <is>
          <t>Billing city, state, ZIP</t>
        </is>
      </c>
      <c r="B13" s="32" t="inlineStr">
        <is>
          <t>Farmington, NY 14425</t>
        </is>
      </c>
      <c r="C13" s="32" t="inlineStr">
        <is>
          <t>Culver City, CA 90230</t>
        </is>
      </c>
      <c r="D13" s="32" t="inlineStr">
        <is>
          <t>San Francisco, CA 94124 (typed into the wrong fields)</t>
        </is>
      </c>
      <c r="E13" s="32" t="inlineStr">
        <is>
          <t>Somerville, MA 02144</t>
        </is>
      </c>
      <c r="F13" s="32" t="inlineStr">
        <is>
          <t>Henderson, NV 89052</t>
        </is>
      </c>
      <c r="G13" s="33">
        <f>COUNTA(B13:F13)</f>
        <v/>
      </c>
    </row>
    <row r="14">
      <c r="A14" s="31" t="inlineStr">
        <is>
          <t>Sales tax exempt?</t>
        </is>
      </c>
      <c r="B14" s="32" t="inlineStr">
        <is>
          <t>No (taxable)</t>
        </is>
      </c>
      <c r="C14" s="32" t="inlineStr">
        <is>
          <t>Yes</t>
        </is>
      </c>
      <c r="D14" s="32" t="inlineStr">
        <is>
          <t>No (taxable)</t>
        </is>
      </c>
      <c r="E14" s="32" t="inlineStr">
        <is>
          <t>Yes</t>
        </is>
      </c>
      <c r="F14" s="32" t="inlineStr">
        <is>
          <t>Yes</t>
        </is>
      </c>
      <c r="G14" s="33">
        <f>COUNTA(B14:F14)</f>
        <v/>
      </c>
    </row>
    <row r="15">
      <c r="A15" s="31" t="inlineStr">
        <is>
          <t>Resale / exemption number</t>
        </is>
      </c>
      <c r="B15" s="32" t="n"/>
      <c r="C15" s="32" t="n"/>
      <c r="D15" s="32" t="n"/>
      <c r="E15" s="32" t="inlineStr">
        <is>
          <t>709371904</t>
        </is>
      </c>
      <c r="F15" s="32" t="inlineStr">
        <is>
          <t>1037374150-001</t>
        </is>
      </c>
      <c r="G15" s="33">
        <f>COUNTA(B15:F15)</f>
        <v/>
      </c>
    </row>
    <row r="16">
      <c r="A16" s="31" t="inlineStr">
        <is>
          <t>Customer notes</t>
        </is>
      </c>
      <c r="B16" s="32" t="n"/>
      <c r="C16" s="32" t="inlineStr">
        <is>
          <t>Avalara validation</t>
        </is>
      </c>
      <c r="D16" s="32" t="inlineStr">
        <is>
          <t>Avalara validation</t>
        </is>
      </c>
      <c r="E16" s="32" t="inlineStr">
        <is>
          <t>Sales Tax Exempt</t>
        </is>
      </c>
      <c r="F16" s="32" t="inlineStr">
        <is>
          <t>Sales Tax Exempt</t>
        </is>
      </c>
      <c r="G16" s="33">
        <f>COUNTA(B16:F16)</f>
        <v/>
      </c>
    </row>
    <row r="17">
      <c r="A17" s="31" t="inlineStr">
        <is>
          <t>Customer type</t>
        </is>
      </c>
      <c r="B17" s="32" t="n"/>
      <c r="C17" s="32" t="n"/>
      <c r="D17" s="32" t="n"/>
      <c r="E17" s="32" t="n"/>
      <c r="F17" s="32" t="inlineStr">
        <is>
          <t>573164</t>
        </is>
      </c>
      <c r="G17" s="33">
        <f>COUNTA(B17:F17)</f>
        <v/>
      </c>
    </row>
    <row r="18">
      <c r="A18" s="29" t="inlineStr">
        <is>
          <t>PROJECT</t>
        </is>
      </c>
      <c r="B18" s="30" t="n"/>
      <c r="C18" s="30" t="n"/>
      <c r="D18" s="30" t="n"/>
      <c r="E18" s="30" t="n"/>
      <c r="F18" s="30" t="n"/>
      <c r="G18" s="30" t="n"/>
    </row>
    <row r="19">
      <c r="A19" s="31" t="inlineStr">
        <is>
          <t>Project / job name</t>
        </is>
      </c>
      <c r="B19" s="32" t="inlineStr">
        <is>
          <t>Billiter South</t>
        </is>
      </c>
      <c r="C19" s="32" t="inlineStr">
        <is>
          <t>Patel Entry Door</t>
        </is>
      </c>
      <c r="D19" s="32" t="inlineStr">
        <is>
          <t>Marin Art &amp; Garden Center</t>
        </is>
      </c>
      <c r="E19" s="32" t="inlineStr">
        <is>
          <t>Robbins</t>
        </is>
      </c>
      <c r="F19" s="32" t="inlineStr">
        <is>
          <t>AULT PROJECT</t>
        </is>
      </c>
      <c r="G19" s="33">
        <f>COUNTA(B19:F19)</f>
        <v/>
      </c>
    </row>
    <row r="20">
      <c r="A20" s="31" t="inlineStr">
        <is>
          <t>True QBO Project (ProjectRef)</t>
        </is>
      </c>
      <c r="B20" s="32" t="inlineStr">
        <is>
          <t>813951180</t>
        </is>
      </c>
      <c r="C20" s="32" t="inlineStr">
        <is>
          <t>813422277</t>
        </is>
      </c>
      <c r="D20" s="32" t="inlineStr">
        <is>
          <t>813787820</t>
        </is>
      </c>
      <c r="E20" s="32" t="inlineStr">
        <is>
          <t>812691046</t>
        </is>
      </c>
      <c r="F20" s="32" t="inlineStr">
        <is>
          <t>812079306</t>
        </is>
      </c>
      <c r="G20" s="33">
        <f>COUNTA(B20:F20)</f>
        <v/>
      </c>
    </row>
    <row r="21">
      <c r="A21" s="31" t="inlineStr">
        <is>
          <t>Sub-customer / bill with parent / non-taxable</t>
        </is>
      </c>
      <c r="B21" s="32" t="inlineStr">
        <is>
          <t>Yes</t>
        </is>
      </c>
      <c r="C21" s="32" t="inlineStr">
        <is>
          <t>Yes</t>
        </is>
      </c>
      <c r="D21" s="32" t="inlineStr">
        <is>
          <t>Yes</t>
        </is>
      </c>
      <c r="E21" s="32" t="inlineStr">
        <is>
          <t>Yes</t>
        </is>
      </c>
      <c r="F21" s="32" t="inlineStr">
        <is>
          <t>Yes</t>
        </is>
      </c>
      <c r="G21" s="33">
        <f>COUNTA(B21:F21)</f>
        <v/>
      </c>
    </row>
    <row r="22">
      <c r="A22" s="31" t="inlineStr">
        <is>
          <t>Project address</t>
        </is>
      </c>
      <c r="B22" s="32" t="n"/>
      <c r="C22" s="32" t="n"/>
      <c r="D22" s="32" t="n"/>
      <c r="E22" s="32" t="n"/>
      <c r="F22" s="32" t="n"/>
      <c r="G22" s="33">
        <f>COUNTA(B22:F22)</f>
        <v/>
      </c>
    </row>
    <row r="23">
      <c r="A23" s="29" t="inlineStr">
        <is>
          <t>ESTIMATE HEADER</t>
        </is>
      </c>
      <c r="B23" s="30" t="n"/>
      <c r="C23" s="30" t="n"/>
      <c r="D23" s="30" t="n"/>
      <c r="E23" s="30" t="n"/>
      <c r="F23" s="30" t="n"/>
      <c r="G23" s="30" t="n"/>
    </row>
    <row r="24">
      <c r="A24" s="31" t="inlineStr">
        <is>
          <t>Estimate date</t>
        </is>
      </c>
      <c r="B24" s="32" t="inlineStr">
        <is>
          <t>2026-09-18</t>
        </is>
      </c>
      <c r="C24" s="32" t="inlineStr">
        <is>
          <t>2026-09-14</t>
        </is>
      </c>
      <c r="D24" s="32" t="inlineStr">
        <is>
          <t>2026-09-17</t>
        </is>
      </c>
      <c r="E24" s="32" t="inlineStr">
        <is>
          <t>2026-09-08</t>
        </is>
      </c>
      <c r="F24" s="32" t="inlineStr">
        <is>
          <t>2026-09-02</t>
        </is>
      </c>
      <c r="G24" s="33">
        <f>COUNTA(B24:F24)</f>
        <v/>
      </c>
    </row>
    <row r="25">
      <c r="A25" s="31" t="inlineStr">
        <is>
          <t>Bill-to (as printed)</t>
        </is>
      </c>
      <c r="B25" s="32" t="inlineStr">
        <is>
          <t>Ajay Glass &amp; Mirror Co., Inc. / 5786 Collett Road / Farmington, NY 14425</t>
        </is>
      </c>
      <c r="C25" s="32" t="inlineStr">
        <is>
          <t>Integrated Door &amp; Window Systems / 11817 Major Street / Culver City, CA 90230</t>
        </is>
      </c>
      <c r="D25" s="32" t="inlineStr">
        <is>
          <t>Progress Glass Company, Inc. / 25 Patterson Street / San Francisco CA 94124</t>
        </is>
      </c>
      <c r="E25" s="32" t="inlineStr">
        <is>
          <t>Turkel Systems / 1060 Broadway Ste C102 / Somerville, MA 02144</t>
        </is>
      </c>
      <c r="F25" s="32" t="inlineStr">
        <is>
          <t>JDP Associates / 3 Hunt Valley Trail / Henderson, NV 89052</t>
        </is>
      </c>
      <c r="G25" s="33">
        <f>COUNTA(B25:F25)</f>
        <v/>
      </c>
    </row>
    <row r="26">
      <c r="A26" s="31" t="inlineStr">
        <is>
          <t>Ship-to (as printed)</t>
        </is>
      </c>
      <c r="B26" s="32" t="inlineStr">
        <is>
          <t>Ajay Glass &amp; Mirror Co., Inc. / 5786 Collett Road / Farmington, NY 144255</t>
        </is>
      </c>
      <c r="C26" s="32" t="inlineStr">
        <is>
          <t>Integrated Door &amp; Window Systems / 11817 MAJOR ST / CULVER CITY, CA 902306332</t>
        </is>
      </c>
      <c r="D26" s="32" t="inlineStr">
        <is>
          <t>Progress Glass / 25 Patterson Street / San Francisco CA 94124</t>
        </is>
      </c>
      <c r="E26" s="32" t="inlineStr">
        <is>
          <t>81-6565 Mamaka PL (Lot 235) / Kealakekua, HI 96750 (job site)</t>
        </is>
      </c>
      <c r="F26" s="32" t="inlineStr">
        <is>
          <t>Local Pickup / 3415 Bellington Rd. / North Las Vegas, NV 89030</t>
        </is>
      </c>
      <c r="G26" s="33">
        <f>COUNTA(B26:F26)</f>
        <v/>
      </c>
    </row>
    <row r="27">
      <c r="A27" s="31" t="inlineStr">
        <is>
          <t>To email</t>
        </is>
      </c>
      <c r="B27" s="32" t="inlineStr">
        <is>
          <t>Gsonneville@ajayglass.com</t>
        </is>
      </c>
      <c r="C27" s="32" t="inlineStr">
        <is>
          <t>Brit@idws.us</t>
        </is>
      </c>
      <c r="D27" s="32" t="inlineStr">
        <is>
          <t>LuisCuestas@progressglass.com</t>
        </is>
      </c>
      <c r="E27" s="32" t="inlineStr">
        <is>
          <t>ap@turkelsystems.com, jamie@turkeldesign.com, Jake@turkeldesign.com</t>
        </is>
      </c>
      <c r="F27" s="32" t="inlineStr">
        <is>
          <t>Joey@adc.vegas</t>
        </is>
      </c>
      <c r="G27" s="33">
        <f>COUNTA(B27:F27)</f>
        <v/>
      </c>
    </row>
    <row r="28">
      <c r="A28" s="31" t="inlineStr">
        <is>
          <t>Sales rep email(s) (Cc)</t>
        </is>
      </c>
      <c r="B28" s="32" t="inlineStr">
        <is>
          <t>stefan@</t>
        </is>
      </c>
      <c r="C28" s="32" t="inlineStr">
        <is>
          <t>seant@</t>
        </is>
      </c>
      <c r="D28" s="32" t="inlineStr">
        <is>
          <t>dmccall@</t>
        </is>
      </c>
      <c r="E28" s="32" t="inlineStr">
        <is>
          <t>efrain@, trevorb@, dmccall@</t>
        </is>
      </c>
      <c r="F28" s="32" t="inlineStr">
        <is>
          <t>trevorb@, efrain@</t>
        </is>
      </c>
      <c r="G28" s="33">
        <f>COUNTA(B28:F28)</f>
        <v/>
      </c>
    </row>
    <row r="29">
      <c r="A29" s="31" t="inlineStr">
        <is>
          <t>Accounting email (Bcc)</t>
        </is>
      </c>
      <c r="B29" s="32" t="inlineStr">
        <is>
          <t>Accounting@</t>
        </is>
      </c>
      <c r="C29" s="32" t="inlineStr">
        <is>
          <t>Accounting@</t>
        </is>
      </c>
      <c r="D29" s="32" t="inlineStr">
        <is>
          <t>Accounting@</t>
        </is>
      </c>
      <c r="E29" s="32" t="inlineStr">
        <is>
          <t>Accounting@</t>
        </is>
      </c>
      <c r="F29" s="32" t="inlineStr">
        <is>
          <t>Accounting@</t>
        </is>
      </c>
      <c r="G29" s="33">
        <f>COUNTA(B29:F29)</f>
        <v/>
      </c>
    </row>
    <row r="30">
      <c r="A30" s="31" t="inlineStr">
        <is>
          <t>Customer message</t>
        </is>
      </c>
      <c r="B30" s="32" t="inlineStr">
        <is>
          <t>Default</t>
        </is>
      </c>
      <c r="C30" s="32" t="inlineStr">
        <is>
          <t>Default</t>
        </is>
      </c>
      <c r="D30" s="32" t="inlineStr">
        <is>
          <t>Default</t>
        </is>
      </c>
      <c r="E30" s="32" t="inlineStr">
        <is>
          <t>Default</t>
        </is>
      </c>
      <c r="F30" s="32" t="inlineStr">
        <is>
          <t>Default</t>
        </is>
      </c>
      <c r="G30" s="33">
        <f>COUNTA(B30:F30)</f>
        <v/>
      </c>
    </row>
    <row r="31">
      <c r="A31" s="31" t="inlineStr">
        <is>
          <t>Terms / expiration / memo</t>
        </is>
      </c>
      <c r="B31" s="32" t="n"/>
      <c r="C31" s="32" t="n"/>
      <c r="D31" s="32" t="n"/>
      <c r="E31" s="32" t="n"/>
      <c r="F31" s="32" t="n"/>
      <c r="G31" s="33">
        <f>COUNTA(B31:F31)</f>
        <v/>
      </c>
    </row>
    <row r="32">
      <c r="A32" s="31" t="inlineStr">
        <is>
          <t>Q Number / PO #</t>
        </is>
      </c>
      <c r="B32" s="32" t="n"/>
      <c r="C32" s="32" t="inlineStr">
        <is>
          <t>92437</t>
        </is>
      </c>
      <c r="D32" s="32" t="inlineStr">
        <is>
          <t>91229</t>
        </is>
      </c>
      <c r="E32" s="32" t="inlineStr">
        <is>
          <t>89724</t>
        </is>
      </c>
      <c r="F32" s="32" t="inlineStr">
        <is>
          <t>89465</t>
        </is>
      </c>
      <c r="G32" s="33">
        <f>COUNTA(B32:F32)</f>
        <v/>
      </c>
    </row>
    <row r="33">
      <c r="A33" s="31" t="inlineStr">
        <is>
          <t>Deposit Due</t>
        </is>
      </c>
      <c r="B33" s="32" t="inlineStr">
        <is>
          <t>$14,835.63</t>
        </is>
      </c>
      <c r="C33" s="32" t="inlineStr">
        <is>
          <t>$12,958.31</t>
        </is>
      </c>
      <c r="D33" s="32" t="inlineStr">
        <is>
          <t>$49,156.80</t>
        </is>
      </c>
      <c r="E33" s="32" t="inlineStr">
        <is>
          <t>$52,988.75 - 50% Dep.</t>
        </is>
      </c>
      <c r="F33" s="32" t="inlineStr">
        <is>
          <t>CO#1 Deposit Req'd $2,883.90</t>
        </is>
      </c>
      <c r="G33" s="33">
        <f>COUNTA(B33:F33)</f>
        <v/>
      </c>
    </row>
    <row r="34">
      <c r="A34" s="29" t="inlineStr">
        <is>
          <t>LINE ITEMS</t>
        </is>
      </c>
      <c r="B34" s="30" t="n"/>
      <c r="C34" s="30" t="n"/>
      <c r="D34" s="30" t="n"/>
      <c r="E34" s="30" t="n"/>
      <c r="F34" s="30" t="n"/>
      <c r="G34" s="30" t="n"/>
    </row>
    <row r="35">
      <c r="A35" s="31" t="inlineStr">
        <is>
          <t>Products</t>
        </is>
      </c>
      <c r="B35" s="32" t="inlineStr">
        <is>
          <t>Folding Door System:FTS.60</t>
        </is>
      </c>
      <c r="C35" s="32" t="inlineStr">
        <is>
          <t>Voyage Collection: Voyage Col, Voyage Col Sidelite</t>
        </is>
      </c>
      <c r="D35" s="32" t="inlineStr">
        <is>
          <t>Folding Door System:FUTS.60</t>
        </is>
      </c>
      <c r="E35" s="32" t="inlineStr">
        <is>
          <t>Lift &amp; Slides:LIS.14</t>
        </is>
      </c>
      <c r="F35" s="32" t="inlineStr">
        <is>
          <t>Hinged Doors FDS.21/FDTS.64, Sidelites S.21, Folding FTS.60</t>
        </is>
      </c>
      <c r="G35" s="33">
        <f>COUNTA(B35:F35)</f>
        <v/>
      </c>
    </row>
    <row r="36">
      <c r="A36" s="31" t="inlineStr">
        <is>
          <t># product lines</t>
        </is>
      </c>
      <c r="B36" s="32" t="n">
        <v>1</v>
      </c>
      <c r="C36" s="32" t="n">
        <v>3</v>
      </c>
      <c r="D36" s="32" t="n">
        <v>4</v>
      </c>
      <c r="E36" s="32" t="n">
        <v>3</v>
      </c>
      <c r="F36" s="32" t="n">
        <v>9</v>
      </c>
      <c r="G36" s="33">
        <f>COUNTA(B36:F36)</f>
        <v/>
      </c>
    </row>
    <row r="37">
      <c r="A37" s="31" t="inlineStr">
        <is>
          <t>Line dimensions (3 per product line)</t>
        </is>
      </c>
      <c r="B37" s="32" t="inlineStr">
        <is>
          <t>Yes</t>
        </is>
      </c>
      <c r="C37" s="32" t="inlineStr">
        <is>
          <t>Yes</t>
        </is>
      </c>
      <c r="D37" s="32" t="inlineStr">
        <is>
          <t>Yes</t>
        </is>
      </c>
      <c r="E37" s="32" t="inlineStr">
        <is>
          <t>Yes</t>
        </is>
      </c>
      <c r="F37" s="32" t="inlineStr">
        <is>
          <t>Yes</t>
        </is>
      </c>
      <c r="G37" s="33">
        <f>COUNTA(B37:F37)</f>
        <v/>
      </c>
    </row>
    <row r="38">
      <c r="A38" s="31" t="inlineStr">
        <is>
          <t>Change order (CO#) lines</t>
        </is>
      </c>
      <c r="B38" s="32" t="n"/>
      <c r="C38" s="32" t="n"/>
      <c r="D38" s="32" t="n"/>
      <c r="E38" s="32" t="n"/>
      <c r="F38" s="32" t="inlineStr">
        <is>
          <t>CO#1 (4 lines at qty 0)</t>
        </is>
      </c>
      <c r="G38" s="33">
        <f>COUNTA(B38:F38)</f>
        <v/>
      </c>
    </row>
    <row r="39">
      <c r="A39" s="31" t="inlineStr">
        <is>
          <t>Crating fee</t>
        </is>
      </c>
      <c r="B39" s="34" t="n">
        <v>1080</v>
      </c>
      <c r="C39" s="34" t="n">
        <v>480</v>
      </c>
      <c r="D39" s="34" t="n">
        <v>2460</v>
      </c>
      <c r="E39" s="34" t="n">
        <v>1843</v>
      </c>
      <c r="F39" s="32" t="n"/>
      <c r="G39" s="33">
        <f>COUNTA(B39:F39)</f>
        <v/>
      </c>
    </row>
    <row r="40">
      <c r="A40" s="31" t="inlineStr">
        <is>
          <t>Shipping fee</t>
        </is>
      </c>
      <c r="B40" s="34" t="n">
        <v>4655.35</v>
      </c>
      <c r="C40" s="34" t="n">
        <v>1765</v>
      </c>
      <c r="D40" s="34" t="n">
        <v>4816.25</v>
      </c>
      <c r="E40" s="34" t="n">
        <v>11500</v>
      </c>
      <c r="F40" s="32" t="n"/>
      <c r="G40" s="33">
        <f>COUNTA(B40:F40)</f>
        <v/>
      </c>
    </row>
    <row r="41">
      <c r="A41" s="31" t="inlineStr">
        <is>
          <t>Sales tax line</t>
        </is>
      </c>
      <c r="B41" s="34" t="n">
        <v>1876.19</v>
      </c>
      <c r="C41" s="32" t="n"/>
      <c r="D41" s="34" t="n">
        <v>8064.16</v>
      </c>
      <c r="E41" s="32" t="n"/>
      <c r="F41" s="32" t="n"/>
      <c r="G41" s="33">
        <f>COUNTA(B41:F41)</f>
        <v/>
      </c>
    </row>
    <row r="42">
      <c r="A42" s="31" t="inlineStr">
        <is>
          <t>Soft wrap fee</t>
        </is>
      </c>
      <c r="B42" s="32" t="n"/>
      <c r="C42" s="32" t="n"/>
      <c r="D42" s="32" t="n"/>
      <c r="E42" s="32" t="n"/>
      <c r="F42" s="34" t="n">
        <v>1183.89</v>
      </c>
      <c r="G42" s="33">
        <f>COUNTA(B42:F42)</f>
        <v/>
      </c>
    </row>
    <row r="43">
      <c r="A43" s="31" t="inlineStr">
        <is>
          <t>Deposit placeholder line ($0)</t>
        </is>
      </c>
      <c r="B43" s="32" t="inlineStr">
        <is>
          <t>Yes</t>
        </is>
      </c>
      <c r="C43" s="32" t="n"/>
      <c r="D43" s="32" t="inlineStr">
        <is>
          <t>Yes</t>
        </is>
      </c>
      <c r="E43" s="32" t="inlineStr">
        <is>
          <t>Yes</t>
        </is>
      </c>
      <c r="F43" s="32" t="inlineStr">
        <is>
          <t>Yes</t>
        </is>
      </c>
      <c r="G43" s="33">
        <f>COUNTA(B43:F43)</f>
        <v/>
      </c>
    </row>
    <row r="44">
      <c r="A44" s="31" t="inlineStr">
        <is>
          <t>Subtotal line</t>
        </is>
      </c>
      <c r="B44" s="32" t="inlineStr">
        <is>
          <t>Yes</t>
        </is>
      </c>
      <c r="C44" s="32" t="inlineStr">
        <is>
          <t>Yes</t>
        </is>
      </c>
      <c r="D44" s="32" t="inlineStr">
        <is>
          <t>Yes</t>
        </is>
      </c>
      <c r="E44" s="32" t="inlineStr">
        <is>
          <t>Yes</t>
        </is>
      </c>
      <c r="F44" s="32" t="inlineStr">
        <is>
          <t>Yes</t>
        </is>
      </c>
      <c r="G44" s="33">
        <f>COUNTA(B44:F44)</f>
        <v/>
      </c>
    </row>
    <row r="45">
      <c r="A45" s="31" t="inlineStr">
        <is>
          <t>Discount / service date</t>
        </is>
      </c>
      <c r="B45" s="32" t="n"/>
      <c r="C45" s="32" t="n"/>
      <c r="D45" s="32" t="n"/>
      <c r="E45" s="32" t="n"/>
      <c r="F45" s="32" t="n"/>
      <c r="G45" s="33">
        <f>COUNTA(B45:F45)</f>
        <v/>
      </c>
    </row>
    <row r="46">
      <c r="A46" s="31" t="inlineStr">
        <is>
          <t>Estimate total</t>
        </is>
      </c>
      <c r="B46" s="34" t="n">
        <v>31547.44</v>
      </c>
      <c r="C46" s="34" t="n">
        <v>25916.61</v>
      </c>
      <c r="D46" s="34" t="n">
        <v>106377.76</v>
      </c>
      <c r="E46" s="34" t="n">
        <v>105977.5</v>
      </c>
      <c r="F46" s="34" t="n">
        <v>67767.78999999999</v>
      </c>
      <c r="G46" s="33">
        <f>COUNTA(B46:F46)</f>
        <v/>
      </c>
    </row>
  </sheetData>
  <conditionalFormatting sqref="G5:G47">
    <cfRule type="expression" priority="1" dxfId="2">
      <formula>AND(ISNUMBER(G5),G5=5)</formula>
    </cfRule>
    <cfRule type="expression" priority="2" dxfId="3">
      <formula>AND(ISNUMBER(G5),G5=0)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34" customWidth="1" min="1" max="1"/>
    <col width="36" customWidth="1" min="2" max="2"/>
    <col width="20" customWidth="1" min="3" max="3"/>
    <col width="80" customWidth="1" min="4" max="4"/>
    <col width="16" customWidth="1" min="5" max="5"/>
    <col width="26" customWidth="1" min="7" max="7"/>
    <col width="10" customWidth="1" min="8" max="8"/>
  </cols>
  <sheetData>
    <row r="1">
      <c r="A1" s="1" t="inlineStr">
        <is>
          <t>QBO Estimate Intake (n8n data table) vs. the field list</t>
        </is>
      </c>
    </row>
    <row r="2">
      <c r="A2" s="28" t="inlineStr">
        <is>
          <t>Compares data table Z3FW8RjSWUyDcIBl (29 columns, 0 rows as of 2026-09-24) to the 46 data points on the Field List tab. Status counts are formulas.</t>
        </is>
      </c>
    </row>
    <row r="4">
      <c r="A4" s="2" t="inlineStr">
        <is>
          <t>Field List data point</t>
        </is>
      </c>
      <c r="B4" s="2" t="inlineStr">
        <is>
          <t>Intake table column</t>
        </is>
      </c>
      <c r="C4" s="2" t="inlineStr">
        <is>
          <t>Status</t>
        </is>
      </c>
      <c r="D4" s="2" t="inlineStr">
        <is>
          <t>Note</t>
        </is>
      </c>
      <c r="E4" s="2" t="inlineStr">
        <is>
          <t>Your decision</t>
        </is>
      </c>
      <c r="G4" s="2" t="inlineStr">
        <is>
          <t>Status</t>
        </is>
      </c>
      <c r="H4" s="2" t="inlineStr">
        <is>
          <t>Count</t>
        </is>
      </c>
    </row>
    <row r="5">
      <c r="A5" s="35" t="inlineStr">
        <is>
          <t>Customer (parent) name</t>
        </is>
      </c>
      <c r="B5" s="32" t="inlineStr">
        <is>
          <t>customer_name</t>
        </is>
      </c>
      <c r="C5" s="36" t="inlineStr">
        <is>
          <t>Match</t>
        </is>
      </c>
      <c r="D5" s="32" t="n"/>
      <c r="E5" s="37" t="n"/>
      <c r="G5" s="3" t="inlineStr">
        <is>
          <t>Match (incl. output)</t>
        </is>
      </c>
      <c r="H5" s="4">
        <f>COUNTIF($C$5:$C$62,"Match*")</f>
        <v/>
      </c>
    </row>
    <row r="6">
      <c r="A6" s="35" t="inlineStr">
        <is>
          <t>Company name</t>
        </is>
      </c>
      <c r="B6" s="32" t="inlineStr">
        <is>
          <t>customer_company</t>
        </is>
      </c>
      <c r="C6" s="36" t="inlineStr">
        <is>
          <t>Match</t>
        </is>
      </c>
      <c r="D6" s="32" t="n"/>
      <c r="E6" s="37" t="n"/>
      <c r="G6" s="3" t="inlineStr">
        <is>
          <t>Partial</t>
        </is>
      </c>
      <c r="H6" s="4">
        <f>COUNTIF($C$5:$C$62,"Partial")</f>
        <v/>
      </c>
    </row>
    <row r="7">
      <c r="A7" s="35" t="inlineStr">
        <is>
          <t>Customer group (parent's parent)</t>
        </is>
      </c>
      <c r="B7" s="32" t="n"/>
      <c r="C7" s="38" t="inlineStr">
        <is>
          <t>Missing</t>
        </is>
      </c>
      <c r="D7" s="32" t="inlineStr">
        <is>
          <t>Only needed when the parent is under a larger company (1/5).</t>
        </is>
      </c>
      <c r="E7" s="37" t="n"/>
      <c r="G7" s="3" t="inlineStr">
        <is>
          <t>Missing</t>
        </is>
      </c>
      <c r="H7" s="4">
        <f>COUNTIF($C$5:$C$62,"Missing")</f>
        <v/>
      </c>
    </row>
    <row r="8">
      <c r="A8" s="35" t="inlineStr">
        <is>
          <t>Contact first / last name</t>
        </is>
      </c>
      <c r="B8" s="32" t="n"/>
      <c r="C8" s="38" t="inlineStr">
        <is>
          <t>Missing</t>
        </is>
      </c>
      <c r="D8" s="32" t="inlineStr">
        <is>
          <t>Optional (1/5).</t>
        </is>
      </c>
      <c r="E8" s="37" t="n"/>
      <c r="G8" s="3" t="inlineStr">
        <is>
          <t>Set by flow</t>
        </is>
      </c>
      <c r="H8" s="4">
        <f>COUNTIF($C$5:$C$62,"Set by flow")</f>
        <v/>
      </c>
    </row>
    <row r="9">
      <c r="A9" s="35" t="inlineStr">
        <is>
          <t>Customer email(s)</t>
        </is>
      </c>
      <c r="B9" s="32" t="inlineStr">
        <is>
          <t>customer_email</t>
        </is>
      </c>
      <c r="C9" s="36" t="inlineStr">
        <is>
          <t>Match</t>
        </is>
      </c>
      <c r="D9" s="32" t="inlineStr">
        <is>
          <t>Allow several addresses separated by commas.</t>
        </is>
      </c>
      <c r="E9" s="37" t="n"/>
      <c r="G9" s="3" t="inlineStr">
        <is>
          <t>In table, not on list</t>
        </is>
      </c>
      <c r="H9" s="4">
        <f>COUNTIF($C$5:$C$62,"In table, not on list")</f>
        <v/>
      </c>
    </row>
    <row r="10">
      <c r="A10" s="35" t="inlineStr">
        <is>
          <t>Customer phone</t>
        </is>
      </c>
      <c r="B10" s="32" t="inlineStr">
        <is>
          <t>customer_phone</t>
        </is>
      </c>
      <c r="C10" s="36" t="inlineStr">
        <is>
          <t>Match</t>
        </is>
      </c>
      <c r="D10" s="32" t="n"/>
      <c r="E10" s="37" t="n"/>
      <c r="G10" s="3" t="inlineStr">
        <is>
          <t>Tracking column</t>
        </is>
      </c>
      <c r="H10" s="4">
        <f>COUNTIF($C$5:$C$62,"Tracking column")</f>
        <v/>
      </c>
    </row>
    <row r="11">
      <c r="A11" s="35" t="inlineStr">
        <is>
          <t>Billing street</t>
        </is>
      </c>
      <c r="B11" s="32" t="n"/>
      <c r="C11" s="38" t="inlineStr">
        <is>
          <t>Missing</t>
        </is>
      </c>
      <c r="D11" s="32" t="inlineStr">
        <is>
          <t>Used 5/5. Needed to create a new customer and for the estimate bill-to.</t>
        </is>
      </c>
      <c r="E11" s="37" t="n"/>
    </row>
    <row r="12">
      <c r="A12" s="35" t="inlineStr">
        <is>
          <t>Billing city</t>
        </is>
      </c>
      <c r="B12" s="32" t="n"/>
      <c r="C12" s="38" t="inlineStr">
        <is>
          <t>Missing</t>
        </is>
      </c>
      <c r="D12" s="32" t="inlineStr">
        <is>
          <t>Used 5/5.</t>
        </is>
      </c>
      <c r="E12" s="37" t="n"/>
    </row>
    <row r="13">
      <c r="A13" s="35" t="inlineStr">
        <is>
          <t>Billing state</t>
        </is>
      </c>
      <c r="B13" s="32" t="n"/>
      <c r="C13" s="38" t="inlineStr">
        <is>
          <t>Missing</t>
        </is>
      </c>
      <c r="D13" s="32" t="inlineStr">
        <is>
          <t>Used 5/5.</t>
        </is>
      </c>
      <c r="E13" s="37" t="n"/>
    </row>
    <row r="14">
      <c r="A14" s="35" t="inlineStr">
        <is>
          <t>Billing ZIP</t>
        </is>
      </c>
      <c r="B14" s="32" t="n"/>
      <c r="C14" s="38" t="inlineStr">
        <is>
          <t>Missing</t>
        </is>
      </c>
      <c r="D14" s="32" t="inlineStr">
        <is>
          <t>Used 5/5.</t>
        </is>
      </c>
      <c r="E14" s="37" t="n"/>
    </row>
    <row r="15">
      <c r="A15" s="35" t="inlineStr">
        <is>
          <t>Ship-to name</t>
        </is>
      </c>
      <c r="B15" s="32" t="n"/>
      <c r="C15" s="38" t="inlineStr">
        <is>
          <t>Missing</t>
        </is>
      </c>
      <c r="D15" s="32" t="inlineStr">
        <is>
          <t>Used 4/5. Company name or 'Local Pickup'.</t>
        </is>
      </c>
      <c r="E15" s="37" t="n"/>
    </row>
    <row r="16">
      <c r="A16" s="35" t="inlineStr">
        <is>
          <t>Ship-to street</t>
        </is>
      </c>
      <c r="B16" s="32" t="n"/>
      <c r="C16" s="38" t="inlineStr">
        <is>
          <t>Missing</t>
        </is>
      </c>
      <c r="D16" s="32" t="inlineStr">
        <is>
          <t>Used 5/5. Job site, the dealer's address, or Local Pickup.</t>
        </is>
      </c>
      <c r="E16" s="37" t="n"/>
    </row>
    <row r="17">
      <c r="A17" s="35" t="inlineStr">
        <is>
          <t>Ship-to city, state, ZIP</t>
        </is>
      </c>
      <c r="B17" s="32" t="n"/>
      <c r="C17" s="38" t="inlineStr">
        <is>
          <t>Missing</t>
        </is>
      </c>
      <c r="D17" s="32" t="inlineStr">
        <is>
          <t>Used 5/5.</t>
        </is>
      </c>
      <c r="E17" s="37" t="n"/>
    </row>
    <row r="18">
      <c r="A18" s="35" t="inlineStr">
        <is>
          <t>Sales tax exempt?</t>
        </is>
      </c>
      <c r="B18" s="32" t="n"/>
      <c r="C18" s="38" t="inlineStr">
        <is>
          <t>Missing</t>
        </is>
      </c>
      <c r="D18" s="32" t="inlineStr">
        <is>
          <t>Used 5/5. Decides whether a Sales Tax fee line is added. (tax_code looks like the per-line TAX/NON code.)</t>
        </is>
      </c>
      <c r="E18" s="37" t="n"/>
    </row>
    <row r="19">
      <c r="A19" s="35" t="inlineStr">
        <is>
          <t>Resale / exemption number</t>
        </is>
      </c>
      <c r="B19" s="32" t="n"/>
      <c r="C19" s="38" t="inlineStr">
        <is>
          <t>Missing</t>
        </is>
      </c>
      <c r="D19" s="32" t="inlineStr">
        <is>
          <t>Used 2/5, on exempt customers.</t>
        </is>
      </c>
      <c r="E19" s="37" t="n"/>
    </row>
    <row r="20">
      <c r="A20" s="35" t="inlineStr">
        <is>
          <t>Customer notes</t>
        </is>
      </c>
      <c r="B20" s="32" t="n"/>
      <c r="C20" s="38" t="inlineStr">
        <is>
          <t>Missing</t>
        </is>
      </c>
      <c r="D20" s="32" t="inlineStr">
        <is>
          <t>Optional (3/5).</t>
        </is>
      </c>
      <c r="E20" s="37" t="n"/>
    </row>
    <row r="21">
      <c r="A21" s="35" t="inlineStr">
        <is>
          <t>Customer type</t>
        </is>
      </c>
      <c r="B21" s="32" t="n"/>
      <c r="C21" s="38" t="inlineStr">
        <is>
          <t>Missing</t>
        </is>
      </c>
      <c r="D21" s="32" t="inlineStr">
        <is>
          <t>Optional (1/5).</t>
        </is>
      </c>
      <c r="E21" s="37" t="n"/>
    </row>
    <row r="22">
      <c r="A22" s="35" t="inlineStr">
        <is>
          <t>Tax code</t>
        </is>
      </c>
      <c r="B22" s="32" t="n"/>
      <c r="C22" s="39" t="inlineStr">
        <is>
          <t>Set by flow</t>
        </is>
      </c>
      <c r="D22" s="32" t="inlineStr">
        <is>
          <t>Always 999. Doesn't need a column.</t>
        </is>
      </c>
      <c r="E22" s="37" t="n"/>
    </row>
    <row r="23">
      <c r="A23" s="35" t="inlineStr">
        <is>
          <t>Payment terms</t>
        </is>
      </c>
      <c r="B23" s="32" t="n"/>
      <c r="C23" s="39" t="inlineStr">
        <is>
          <t>Set by flow</t>
        </is>
      </c>
      <c r="D23" s="32" t="inlineStr">
        <is>
          <t>Company default, per your instruction.</t>
        </is>
      </c>
      <c r="E23" s="37" t="n"/>
    </row>
    <row r="24">
      <c r="A24" s="35" t="inlineStr">
        <is>
          <t>Preferred delivery method</t>
        </is>
      </c>
      <c r="B24" s="32" t="n"/>
      <c r="C24" s="39" t="inlineStr">
        <is>
          <t>Set by flow</t>
        </is>
      </c>
      <c r="D24" s="32" t="inlineStr">
        <is>
          <t>Always Print.</t>
        </is>
      </c>
      <c r="E24" s="37" t="n"/>
    </row>
    <row r="25">
      <c r="A25" s="35" t="inlineStr">
        <is>
          <t>Customer message</t>
        </is>
      </c>
      <c r="B25" s="32" t="n"/>
      <c r="C25" s="39" t="inlineStr">
        <is>
          <t>Set by flow</t>
        </is>
      </c>
      <c r="D25" s="32" t="inlineStr">
        <is>
          <t>QBO fills in the default.</t>
        </is>
      </c>
      <c r="E25" s="37" t="n"/>
    </row>
    <row r="26">
      <c r="A26" s="35" t="inlineStr">
        <is>
          <t>Accounting email (Bcc)</t>
        </is>
      </c>
      <c r="B26" s="32" t="n"/>
      <c r="C26" s="39" t="inlineStr">
        <is>
          <t>Set by flow</t>
        </is>
      </c>
      <c r="D26" s="32" t="inlineStr">
        <is>
          <t>Always Accounting@panda-windows.com.</t>
        </is>
      </c>
      <c r="E26" s="37" t="n"/>
    </row>
    <row r="27">
      <c r="A27" s="35" t="inlineStr">
        <is>
          <t>Project / job name</t>
        </is>
      </c>
      <c r="B27" s="32" t="inlineStr">
        <is>
          <t>project_name</t>
        </is>
      </c>
      <c r="C27" s="36" t="inlineStr">
        <is>
          <t>Match</t>
        </is>
      </c>
      <c r="D27" s="32" t="n"/>
      <c r="E27" s="37" t="n"/>
    </row>
    <row r="28">
      <c r="A28" s="35" t="inlineStr">
        <is>
          <t>Sub-customer flag</t>
        </is>
      </c>
      <c r="B28" s="32" t="n"/>
      <c r="C28" s="39" t="inlineStr">
        <is>
          <t>Set by flow</t>
        </is>
      </c>
      <c r="D28" s="32" t="inlineStr">
        <is>
          <t>Always true.</t>
        </is>
      </c>
      <c r="E28" s="37" t="n"/>
    </row>
    <row r="29">
      <c r="A29" s="35" t="inlineStr">
        <is>
          <t>Bill with parent</t>
        </is>
      </c>
      <c r="B29" s="32" t="n"/>
      <c r="C29" s="39" t="inlineStr">
        <is>
          <t>Set by flow</t>
        </is>
      </c>
      <c r="D29" s="32" t="inlineStr">
        <is>
          <t>Always true.</t>
        </is>
      </c>
      <c r="E29" s="37" t="n"/>
    </row>
    <row r="30">
      <c r="A30" s="35" t="inlineStr">
        <is>
          <t>QBO Project link</t>
        </is>
      </c>
      <c r="B30" s="32" t="inlineStr">
        <is>
          <t>project_ref_id / native_project_id</t>
        </is>
      </c>
      <c r="C30" s="36" t="inlineStr">
        <is>
          <t>Match (output)</t>
        </is>
      </c>
      <c r="D30" s="32" t="inlineStr">
        <is>
          <t>The flow writes these back. The true Project still has to be created in QBO first.</t>
        </is>
      </c>
      <c r="E30" s="37" t="n"/>
    </row>
    <row r="31">
      <c r="A31" s="35" t="inlineStr">
        <is>
          <t>Estimate #</t>
        </is>
      </c>
      <c r="B31" s="32" t="inlineStr">
        <is>
          <t>doc_number (input) / estimate_doc_number (output)</t>
        </is>
      </c>
      <c r="C31" s="36" t="inlineStr">
        <is>
          <t>Match</t>
        </is>
      </c>
      <c r="D31" s="32" t="n"/>
      <c r="E31" s="37" t="n"/>
    </row>
    <row r="32">
      <c r="A32" s="35" t="inlineStr">
        <is>
          <t>Estimate date</t>
        </is>
      </c>
      <c r="B32" s="32" t="n"/>
      <c r="C32" s="38" t="inlineStr">
        <is>
          <t>Missing</t>
        </is>
      </c>
      <c r="D32" s="32" t="inlineStr">
        <is>
          <t>Used 5/5. The flow could default to today, but the dates on the samples were all different.</t>
        </is>
      </c>
      <c r="E32" s="37" t="n"/>
    </row>
    <row r="33">
      <c r="A33" s="35" t="inlineStr">
        <is>
          <t>Sales rep email(s) (Cc)</t>
        </is>
      </c>
      <c r="B33" s="32" t="n"/>
      <c r="C33" s="38" t="inlineStr">
        <is>
          <t>Missing</t>
        </is>
      </c>
      <c r="D33" s="32" t="inlineStr">
        <is>
          <t>Used 5/5, and it's how reps are tied to estimates. rsm and outside_sales_rep hold names, not the Cc email.</t>
        </is>
      </c>
      <c r="E33" s="37" t="n"/>
    </row>
    <row r="34">
      <c r="A34" s="35" t="inlineStr">
        <is>
          <t>Q Number / PO #</t>
        </is>
      </c>
      <c r="B34" s="32" t="inlineStr">
        <is>
          <t>q_number_po</t>
        </is>
      </c>
      <c r="C34" s="36" t="inlineStr">
        <is>
          <t>Match</t>
        </is>
      </c>
      <c r="D34" s="32" t="n"/>
      <c r="E34" s="37" t="n"/>
    </row>
    <row r="35">
      <c r="A35" s="35" t="inlineStr">
        <is>
          <t>Deposit Due</t>
        </is>
      </c>
      <c r="B35" s="32" t="inlineStr">
        <is>
          <t>deposit_due</t>
        </is>
      </c>
      <c r="C35" s="36" t="inlineStr">
        <is>
          <t>Match</t>
        </is>
      </c>
      <c r="D35" s="32" t="inlineStr">
        <is>
          <t>Free text.</t>
        </is>
      </c>
      <c r="E35" s="37" t="n"/>
    </row>
    <row r="36">
      <c r="A36" s="35" t="inlineStr">
        <is>
          <t>Product / Service</t>
        </is>
      </c>
      <c r="B36" s="32" t="inlineStr">
        <is>
          <t>item_ref_id + line_items_json</t>
        </is>
      </c>
      <c r="C36" s="40" t="inlineStr">
        <is>
          <t>Partial</t>
        </is>
      </c>
      <c r="D36" s="32" t="inlineStr">
        <is>
          <t>The item_* columns hold only ONE line. The samples had 3–13 lines, so line_items_json has to carry them.</t>
        </is>
      </c>
      <c r="E36" s="37" t="n"/>
    </row>
    <row r="37">
      <c r="A37" s="35" t="inlineStr">
        <is>
          <t>Line description</t>
        </is>
      </c>
      <c r="B37" s="32" t="inlineStr">
        <is>
          <t>item_description + line_items_json</t>
        </is>
      </c>
      <c r="C37" s="40" t="inlineStr">
        <is>
          <t>Partial</t>
        </is>
      </c>
      <c r="D37" s="32" t="inlineStr">
        <is>
          <t>Same as above.</t>
        </is>
      </c>
      <c r="E37" s="37" t="n"/>
    </row>
    <row r="38">
      <c r="A38" s="35" t="inlineStr">
        <is>
          <t>Quantity</t>
        </is>
      </c>
      <c r="B38" s="32" t="inlineStr">
        <is>
          <t>item_qty + line_items_json</t>
        </is>
      </c>
      <c r="C38" s="40" t="inlineStr">
        <is>
          <t>Partial</t>
        </is>
      </c>
      <c r="D38" s="32" t="inlineStr">
        <is>
          <t>Same as above.</t>
        </is>
      </c>
      <c r="E38" s="37" t="n"/>
    </row>
    <row r="39">
      <c r="A39" s="35" t="inlineStr">
        <is>
          <t>Rate</t>
        </is>
      </c>
      <c r="B39" s="32" t="inlineStr">
        <is>
          <t>item_unit_price + line_items_json</t>
        </is>
      </c>
      <c r="C39" s="40" t="inlineStr">
        <is>
          <t>Partial</t>
        </is>
      </c>
      <c r="D39" s="32" t="inlineStr">
        <is>
          <t>Same as above.</t>
        </is>
      </c>
      <c r="E39" s="37" t="n"/>
    </row>
    <row r="40">
      <c r="A40" s="35" t="inlineStr">
        <is>
          <t>Amount</t>
        </is>
      </c>
      <c r="B40" s="32" t="inlineStr">
        <is>
          <t>item_amount + line_items_json</t>
        </is>
      </c>
      <c r="C40" s="40" t="inlineStr">
        <is>
          <t>Partial</t>
        </is>
      </c>
      <c r="D40" s="32" t="inlineStr">
        <is>
          <t>Could be calculated as qty × rate.</t>
        </is>
      </c>
      <c r="E40" s="37" t="n"/>
    </row>
    <row r="41">
      <c r="A41" s="35" t="inlineStr">
        <is>
          <t>Line tax code</t>
        </is>
      </c>
      <c r="B41" s="32" t="inlineStr">
        <is>
          <t>tax_code + line_items_json</t>
        </is>
      </c>
      <c r="C41" s="40" t="inlineStr">
        <is>
          <t>Partial</t>
        </is>
      </c>
      <c r="D41" s="32" t="inlineStr">
        <is>
          <t>Needs a value per line (TAX vs NON).</t>
        </is>
      </c>
      <c r="E41" s="37" t="n"/>
    </row>
    <row r="42">
      <c r="A42" s="35" t="inlineStr">
        <is>
          <t>Line dimension 1000000039</t>
        </is>
      </c>
      <c r="B42" s="32" t="inlineStr">
        <is>
          <t>(line_items_json?)</t>
        </is>
      </c>
      <c r="C42" s="38" t="inlineStr">
        <is>
          <t>Missing</t>
        </is>
      </c>
      <c r="D42" s="32" t="inlineStr">
        <is>
          <t>On every product line. No column, and the JSON layout isn't defined.</t>
        </is>
      </c>
      <c r="E42" s="37" t="n"/>
    </row>
    <row r="43">
      <c r="A43" s="35" t="inlineStr">
        <is>
          <t>Line dimension 1000000051</t>
        </is>
      </c>
      <c r="B43" s="32" t="inlineStr">
        <is>
          <t>(line_items_json?)</t>
        </is>
      </c>
      <c r="C43" s="38" t="inlineStr">
        <is>
          <t>Missing</t>
        </is>
      </c>
      <c r="D43" s="32" t="inlineStr">
        <is>
          <t>Same as above.</t>
        </is>
      </c>
      <c r="E43" s="37" t="n"/>
    </row>
    <row r="44">
      <c r="A44" s="35" t="inlineStr">
        <is>
          <t>Line dimension 1000000172</t>
        </is>
      </c>
      <c r="B44" s="32" t="inlineStr">
        <is>
          <t>(line_items_json?)</t>
        </is>
      </c>
      <c r="C44" s="38" t="inlineStr">
        <is>
          <t>Missing</t>
        </is>
      </c>
      <c r="D44" s="32" t="inlineStr">
        <is>
          <t>Same as above.</t>
        </is>
      </c>
      <c r="E44" s="37" t="n"/>
    </row>
    <row r="45">
      <c r="A45" s="35" t="inlineStr">
        <is>
          <t>Crating fee</t>
        </is>
      </c>
      <c r="B45" s="32" t="inlineStr">
        <is>
          <t>(line_items_json?)</t>
        </is>
      </c>
      <c r="C45" s="40" t="inlineStr">
        <is>
          <t>Partial</t>
        </is>
      </c>
      <c r="D45" s="32" t="inlineStr">
        <is>
          <t>Can go in line_items_json as a 'Z Fees:Crating' line, or get its own column. Used 4/5.</t>
        </is>
      </c>
      <c r="E45" s="37" t="n"/>
    </row>
    <row r="46">
      <c r="A46" s="35" t="inlineStr">
        <is>
          <t>Shipping fee</t>
        </is>
      </c>
      <c r="B46" s="32" t="inlineStr">
        <is>
          <t>(line_items_json?)</t>
        </is>
      </c>
      <c r="C46" s="40" t="inlineStr">
        <is>
          <t>Partial</t>
        </is>
      </c>
      <c r="D46" s="32" t="inlineStr">
        <is>
          <t>Same, 'Z Fees:Shipping Fee' (NON). Used 4/5.</t>
        </is>
      </c>
      <c r="E46" s="37" t="n"/>
    </row>
    <row r="47">
      <c r="A47" s="35" t="inlineStr">
        <is>
          <t>Sales tax line</t>
        </is>
      </c>
      <c r="B47" s="32" t="inlineStr">
        <is>
          <t>(line_items_json?)</t>
        </is>
      </c>
      <c r="C47" s="40" t="inlineStr">
        <is>
          <t>Partial</t>
        </is>
      </c>
      <c r="D47" s="32" t="inlineStr">
        <is>
          <t>Same, 'Z Fees:Sales Tax' (NON). Used 2/5.</t>
        </is>
      </c>
      <c r="E47" s="37" t="n"/>
    </row>
    <row r="48">
      <c r="A48" s="35" t="inlineStr">
        <is>
          <t>Soft wrap fee</t>
        </is>
      </c>
      <c r="B48" s="32" t="inlineStr">
        <is>
          <t>(line_items_json?)</t>
        </is>
      </c>
      <c r="C48" s="40" t="inlineStr">
        <is>
          <t>Partial</t>
        </is>
      </c>
      <c r="D48" s="32" t="inlineStr">
        <is>
          <t>Same, 'Z Fees:Soft Wrap'. Used 1/5.</t>
        </is>
      </c>
      <c r="E48" s="37" t="n"/>
    </row>
    <row r="49">
      <c r="A49" s="35" t="inlineStr">
        <is>
          <t>Deposit placeholder line</t>
        </is>
      </c>
      <c r="B49" s="32" t="n"/>
      <c r="C49" s="39" t="inlineStr">
        <is>
          <t>Set by flow</t>
        </is>
      </c>
      <c r="D49" s="32" t="inlineStr">
        <is>
          <t>$0 'Z Fees:Deposit' line.</t>
        </is>
      </c>
      <c r="E49" s="37" t="n"/>
    </row>
    <row r="50">
      <c r="A50" s="35" t="inlineStr">
        <is>
          <t>Subtotal line</t>
        </is>
      </c>
      <c r="B50" s="32" t="n"/>
      <c r="C50" s="39" t="inlineStr">
        <is>
          <t>Set by flow</t>
        </is>
      </c>
      <c r="D50" s="32" t="n"/>
      <c r="E50" s="37" t="n"/>
    </row>
    <row r="51">
      <c r="A51" s="29" t="inlineStr">
        <is>
          <t>Columns in the intake table that aren't on the field list</t>
        </is>
      </c>
      <c r="B51" s="30" t="n"/>
      <c r="C51" s="30" t="n"/>
      <c r="D51" s="30" t="n"/>
      <c r="E51" s="30" t="n"/>
    </row>
    <row r="52">
      <c r="A52" s="32" t="n"/>
      <c r="B52" s="35" t="inlineStr">
        <is>
          <t>project_start_date</t>
        </is>
      </c>
      <c r="C52" s="41" t="inlineStr">
        <is>
          <t>In table, not on list</t>
        </is>
      </c>
      <c r="D52" s="32" t="inlineStr">
        <is>
          <t>QBO's REST API can't set project dates, and none of the samples had them. Drop the column, or write the dates by hand in QBO.</t>
        </is>
      </c>
      <c r="E52" s="37" t="n"/>
    </row>
    <row r="53">
      <c r="A53" s="32" t="n"/>
      <c r="B53" s="35" t="inlineStr">
        <is>
          <t>project_end_date</t>
        </is>
      </c>
      <c r="C53" s="41" t="inlineStr">
        <is>
          <t>In table, not on list</t>
        </is>
      </c>
      <c r="D53" s="32" t="inlineStr">
        <is>
          <t>Same as above.</t>
        </is>
      </c>
      <c r="E53" s="37" t="n"/>
    </row>
    <row r="54">
      <c r="A54" s="32" t="n"/>
      <c r="B54" s="35" t="inlineStr">
        <is>
          <t>estimate_memo</t>
        </is>
      </c>
      <c r="C54" s="41" t="inlineStr">
        <is>
          <t>In table, not on list</t>
        </is>
      </c>
      <c r="D54" s="32" t="inlineStr">
        <is>
          <t>None of the 5 had an internal memo, and the customer message is always the default. Keep it only if you plan to use it.</t>
        </is>
      </c>
      <c r="E54" s="37" t="n"/>
    </row>
    <row r="55">
      <c r="A55" s="32" t="n"/>
      <c r="B55" s="35" t="inlineStr">
        <is>
          <t>residential_or_commercial</t>
        </is>
      </c>
      <c r="C55" s="41" t="inlineStr">
        <is>
          <t>In table, not on list</t>
        </is>
      </c>
      <c r="D55" s="32" t="inlineStr">
        <is>
          <t>Newer custom field. Writing it through the v3 API didn't save (tests 66–76), and it's blank on every row of the QBO Estimates table. It needs GraphQL access.</t>
        </is>
      </c>
      <c r="E55" s="37" t="n"/>
    </row>
    <row r="56">
      <c r="A56" s="32" t="n"/>
      <c r="B56" s="35" t="inlineStr">
        <is>
          <t>dealer</t>
        </is>
      </c>
      <c r="C56" s="41" t="inlineStr">
        <is>
          <t>In table, not on list</t>
        </is>
      </c>
      <c r="D56" s="32" t="inlineStr">
        <is>
          <t>Same as above.</t>
        </is>
      </c>
      <c r="E56" s="37" t="n"/>
    </row>
    <row r="57">
      <c r="A57" s="32" t="n"/>
      <c r="B57" s="35" t="inlineStr">
        <is>
          <t>rsm</t>
        </is>
      </c>
      <c r="C57" s="41" t="inlineStr">
        <is>
          <t>In table, not on list</t>
        </is>
      </c>
      <c r="D57" s="32" t="inlineStr">
        <is>
          <t>Same as above.</t>
        </is>
      </c>
      <c r="E57" s="37" t="n"/>
    </row>
    <row r="58">
      <c r="A58" s="32" t="n"/>
      <c r="B58" s="35" t="inlineStr">
        <is>
          <t>outside_sales_rep</t>
        </is>
      </c>
      <c r="C58" s="41" t="inlineStr">
        <is>
          <t>In table, not on list</t>
        </is>
      </c>
      <c r="D58" s="32" t="inlineStr">
        <is>
          <t>Same as above. The samples track reps with the Cc email instead.</t>
        </is>
      </c>
      <c r="E58" s="37" t="n"/>
    </row>
    <row r="59">
      <c r="A59" s="32" t="n"/>
      <c r="B59" s="35" t="inlineStr">
        <is>
          <t>status</t>
        </is>
      </c>
      <c r="C59" s="39" t="inlineStr">
        <is>
          <t>Tracking column</t>
        </is>
      </c>
      <c r="D59" s="32" t="inlineStr">
        <is>
          <t>Workflow status, e.g. pending / done / error.</t>
        </is>
      </c>
      <c r="E59" s="37" t="n"/>
    </row>
    <row r="60">
      <c r="A60" s="32" t="n"/>
      <c r="B60" s="35" t="inlineStr">
        <is>
          <t>customer_ref_id</t>
        </is>
      </c>
      <c r="C60" s="39" t="inlineStr">
        <is>
          <t>Tracking column</t>
        </is>
      </c>
      <c r="D60" s="32" t="inlineStr">
        <is>
          <t>The flow writes back the QBO customer Id.</t>
        </is>
      </c>
      <c r="E60" s="37" t="n"/>
    </row>
    <row r="61">
      <c r="A61" s="32" t="n"/>
      <c r="B61" s="35" t="inlineStr">
        <is>
          <t>estimate_id</t>
        </is>
      </c>
      <c r="C61" s="39" t="inlineStr">
        <is>
          <t>Tracking column</t>
        </is>
      </c>
      <c r="D61" s="32" t="inlineStr">
        <is>
          <t>The flow writes back the QBO estimate Id.</t>
        </is>
      </c>
      <c r="E61" s="37" t="n"/>
    </row>
    <row r="62">
      <c r="A62" s="32" t="n"/>
      <c r="B62" s="35" t="inlineStr">
        <is>
          <t>last_error</t>
        </is>
      </c>
      <c r="C62" s="39" t="inlineStr">
        <is>
          <t>Tracking column</t>
        </is>
      </c>
      <c r="D62" s="32" t="inlineStr">
        <is>
          <t>The flow's error message.</t>
        </is>
      </c>
      <c r="E62" s="37" t="n"/>
    </row>
  </sheetData>
  <dataValidations count="1">
    <dataValidation sqref="E5:E62" showDropDown="0" showInputMessage="0" showErrorMessage="0" allowBlank="1" type="list">
      <formula1>"Add column,Put in line_items_json,Set in flow,Drop column,Keep as is"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2" customWidth="1" min="1" max="1"/>
    <col width="12" customWidth="1" min="2" max="2"/>
    <col width="70" customWidth="1" min="3" max="3"/>
    <col width="16" customWidth="1" min="4" max="4"/>
  </cols>
  <sheetData>
    <row r="1">
      <c r="A1" s="1" t="inlineStr">
        <is>
          <t>Not used by the 5 estimates (taken off the main list)</t>
        </is>
      </c>
    </row>
    <row r="2">
      <c r="A2" s="28" t="inlineStr">
        <is>
          <t>To bring one back, choose 'Add back' in column D. It's then worth copying the item to a blank row on the Field List tab.</t>
        </is>
      </c>
    </row>
    <row r="4">
      <c r="A4" s="2" t="inlineStr">
        <is>
          <t>Data point</t>
        </is>
      </c>
      <c r="B4" s="2" t="inlineStr">
        <is>
          <t>Record</t>
        </is>
      </c>
      <c r="C4" s="2" t="inlineStr">
        <is>
          <t>Why excluded</t>
        </is>
      </c>
      <c r="D4" s="2" t="inlineStr">
        <is>
          <t>Your decision</t>
        </is>
      </c>
    </row>
    <row r="5">
      <c r="A5" s="32" t="inlineStr">
        <is>
          <t>Mobile phone</t>
        </is>
      </c>
      <c r="B5" s="32" t="inlineStr">
        <is>
          <t>Customer</t>
        </is>
      </c>
      <c r="C5" s="32" t="inlineStr">
        <is>
          <t>0/5</t>
        </is>
      </c>
      <c r="D5" s="37" t="n"/>
    </row>
    <row r="6">
      <c r="A6" s="32" t="inlineStr">
        <is>
          <t>Ship-from address</t>
        </is>
      </c>
      <c r="B6" s="32" t="inlineStr">
        <is>
          <t>Estimate</t>
        </is>
      </c>
      <c r="C6" s="32" t="inlineStr">
        <is>
          <t>0/5</t>
        </is>
      </c>
      <c r="D6" s="37" t="n"/>
    </row>
    <row r="7">
      <c r="A7" s="32" t="inlineStr">
        <is>
          <t>Project address / start-end dates / status</t>
        </is>
      </c>
      <c r="B7" s="32" t="inlineStr">
        <is>
          <t>Project</t>
        </is>
      </c>
      <c r="C7" s="32" t="inlineStr">
        <is>
          <t>0/5 (and dates can't be set through the API)</t>
        </is>
      </c>
      <c r="D7" s="37" t="n"/>
    </row>
    <row r="8">
      <c r="A8" s="32" t="inlineStr">
        <is>
          <t>Expiration date</t>
        </is>
      </c>
      <c r="B8" s="32" t="inlineStr">
        <is>
          <t>Estimate</t>
        </is>
      </c>
      <c r="C8" s="32" t="inlineStr">
        <is>
          <t>0/5</t>
        </is>
      </c>
      <c r="D8" s="37" t="n"/>
    </row>
    <row r="9">
      <c r="A9" s="32" t="inlineStr">
        <is>
          <t>Internal memo (PrivateNote)</t>
        </is>
      </c>
      <c r="B9" s="32" t="inlineStr">
        <is>
          <t>Estimate</t>
        </is>
      </c>
      <c r="C9" s="32" t="inlineStr">
        <is>
          <t>0/5</t>
        </is>
      </c>
      <c r="D9" s="37" t="n"/>
    </row>
    <row r="10">
      <c r="A10" s="32" t="inlineStr">
        <is>
          <t>Class / Location</t>
        </is>
      </c>
      <c r="B10" s="32" t="inlineStr">
        <is>
          <t>Estimate</t>
        </is>
      </c>
      <c r="C10" s="32" t="inlineStr">
        <is>
          <t>0/5</t>
        </is>
      </c>
      <c r="D10" s="37" t="n"/>
    </row>
    <row r="11">
      <c r="A11" s="32" t="inlineStr">
        <is>
          <t>Service date on lines</t>
        </is>
      </c>
      <c r="B11" s="32" t="inlineStr">
        <is>
          <t>Estimate</t>
        </is>
      </c>
      <c r="C11" s="32" t="inlineStr">
        <is>
          <t>0/5</t>
        </is>
      </c>
      <c r="D11" s="37" t="n"/>
    </row>
    <row r="12">
      <c r="A12" s="32" t="inlineStr">
        <is>
          <t>Discount line</t>
        </is>
      </c>
      <c r="B12" s="32" t="inlineStr">
        <is>
          <t>Estimate</t>
        </is>
      </c>
      <c r="C12" s="32" t="inlineStr">
        <is>
          <t>0/5 (1 of the earlier 10 had one)</t>
        </is>
      </c>
      <c r="D12" s="37" t="n"/>
    </row>
    <row r="13">
      <c r="A13" s="32" t="inlineStr">
        <is>
          <t>QBO shipping field (ShipAmt) / QBO deposit field</t>
        </is>
      </c>
      <c r="B13" s="32" t="inlineStr">
        <is>
          <t>Estimate</t>
        </is>
      </c>
      <c r="C13" s="32" t="inlineStr">
        <is>
          <t>0/5. Shipping and deposit are handled as fee lines and the Deposit Due field.</t>
        </is>
      </c>
      <c r="D13" s="37" t="n"/>
    </row>
    <row r="14">
      <c r="A14" s="32" t="inlineStr">
        <is>
          <t>Sales Rep custom field (legacy #2)</t>
        </is>
      </c>
      <c r="B14" s="32" t="inlineStr">
        <is>
          <t>Estimate</t>
        </is>
      </c>
      <c r="C14" s="32" t="inlineStr">
        <is>
          <t>0/5. Reps are tracked with the Cc email.</t>
        </is>
      </c>
      <c r="D14" s="37" t="n"/>
    </row>
    <row r="15">
      <c r="A15" s="32" t="inlineStr">
        <is>
          <t>Residential or Commercial / Dealer / Outside Sales Rep / RSM (newer custom fields)</t>
        </is>
      </c>
      <c r="B15" s="32" t="inlineStr">
        <is>
          <t>Estimate</t>
        </is>
      </c>
      <c r="C15" s="32" t="inlineStr">
        <is>
          <t>Can't be read or written through our current API. If your team fills these in on screen, move them back to the main list.</t>
        </is>
      </c>
      <c r="D15" s="37" t="n"/>
    </row>
    <row r="16">
      <c r="A16" s="32" t="inlineStr">
        <is>
          <t>Accepted date / status / linked invoice</t>
        </is>
      </c>
      <c r="B16" s="32" t="inlineStr">
        <is>
          <t>Estimate</t>
        </is>
      </c>
      <c r="C16" s="32" t="inlineStr">
        <is>
          <t>QBO sets these after the estimate is created (4/5 were converted to invoices).</t>
        </is>
      </c>
      <c r="D16" s="37" t="n"/>
    </row>
  </sheetData>
  <dataValidations count="1">
    <dataValidation sqref="D5:D16" showDropDown="0" showInputMessage="0" showErrorMessage="0" allowBlank="1" type="list">
      <formula1>"Leave out,Add back"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2026-09-24T17:01:48Z</dcterms:created>
  <dcterms:modified xsi:type="dcterms:W3CDTF">2026-09-24T17:01:48Z</dcterms:modified>
</cp:coreProperties>
</file>