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23E320C6-D35D-4F12-8E05-7A4324F5F766}" xr6:coauthVersionLast="47" xr6:coauthVersionMax="47" xr10:uidLastSave="{00000000-0000-0000-0000-000000000000}"/>
  <bookViews>
    <workbookView xWindow="-120" yWindow="-120" windowWidth="29040" windowHeight="15720" activeTab="8" xr2:uid="{91E91F24-9303-4710-8844-17011AFCC8F2}"/>
  </bookViews>
  <sheets>
    <sheet name="Jan 26" sheetId="21" r:id="rId1"/>
    <sheet name="Feb 26" sheetId="29" r:id="rId2"/>
    <sheet name="Mar 26" sheetId="26" r:id="rId3"/>
    <sheet name="Apr 26" sheetId="32" r:id="rId4"/>
    <sheet name="May 26" sheetId="33" r:id="rId5"/>
    <sheet name="Jun 26" sheetId="34" r:id="rId6"/>
    <sheet name="Jul 26" sheetId="36" r:id="rId7"/>
    <sheet name="Aug 26" sheetId="37" r:id="rId8"/>
    <sheet name="Sep 26" sheetId="38" r:id="rId9"/>
    <sheet name="CD GL" sheetId="23" r:id="rId10"/>
    <sheet name="Sheet1" sheetId="30" r:id="rId11"/>
    <sheet name="Sheet2" sheetId="31" r:id="rId12"/>
  </sheets>
  <externalReferences>
    <externalReference r:id="rId13"/>
    <externalReference r:id="rId14"/>
    <externalReference r:id="rId15"/>
  </externalReferences>
  <definedNames>
    <definedName name="_xlnm._FilterDatabase" localSheetId="3" hidden="1">'Apr 26'!$A$1:$M$214</definedName>
    <definedName name="_xlnm._FilterDatabase" localSheetId="7" hidden="1">'Aug 26'!$A$1:$M$223</definedName>
    <definedName name="_xlnm._FilterDatabase" localSheetId="9" hidden="1">'CD GL'!$A$5:$O$58</definedName>
    <definedName name="_xlnm._FilterDatabase" localSheetId="1" hidden="1">'Feb 26'!$A$1:$N$186</definedName>
    <definedName name="_xlnm._FilterDatabase" localSheetId="0" hidden="1">'Jan 26'!$A$1:$N$151</definedName>
    <definedName name="_xlnm._FilterDatabase" localSheetId="6" hidden="1">'Jul 26'!$A$1:$N$221</definedName>
    <definedName name="_xlnm._FilterDatabase" localSheetId="5" hidden="1">'Jun 26'!$A$1:$N$219</definedName>
    <definedName name="_xlnm._FilterDatabase" localSheetId="2" hidden="1">'Mar 26'!$A$1:$L$198</definedName>
    <definedName name="_xlnm._FilterDatabase" localSheetId="4" hidden="1">'May 26'!$A$1:$L$204</definedName>
    <definedName name="_xlnm._FilterDatabase" localSheetId="8" hidden="1">'Sep 26'!$A$1:$M$206</definedName>
    <definedName name="_xlnm._FilterDatabase" localSheetId="11" hidden="1">Sheet2!$A$1:$B$84</definedName>
  </definedNames>
  <calcPr calcId="191029" fullCalcOnLoad="1"/>
  <pivotCaches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<sst xmlns="http://schemas.openxmlformats.org/spreadsheetml/2006/main" count="7890" uniqueCount="864">
  <si>
    <t>Customer</t>
  </si>
  <si>
    <t>Q Number</t>
  </si>
  <si>
    <t>Region</t>
  </si>
  <si>
    <t>Payment Date</t>
  </si>
  <si>
    <t>Production Start Day</t>
  </si>
  <si>
    <t>Stage</t>
  </si>
  <si>
    <t>DEPOSIT</t>
  </si>
  <si>
    <t>FINAL</t>
  </si>
  <si>
    <t>TOTAL</t>
  </si>
  <si>
    <t>BOM Dep</t>
  </si>
  <si>
    <t>Dep to Rev</t>
  </si>
  <si>
    <t>AZ-R</t>
  </si>
  <si>
    <t>10/25/2024</t>
  </si>
  <si>
    <t>Pre-Production</t>
  </si>
  <si>
    <t>CA-C</t>
  </si>
  <si>
    <t>MD-C</t>
  </si>
  <si>
    <t>MD-R</t>
  </si>
  <si>
    <t>VA-C</t>
  </si>
  <si>
    <t>GA-R</t>
  </si>
  <si>
    <t>FL-R</t>
  </si>
  <si>
    <t>CO-R</t>
  </si>
  <si>
    <t>NV-R</t>
  </si>
  <si>
    <t>10/31/2024</t>
  </si>
  <si>
    <t>CA-R</t>
  </si>
  <si>
    <t>Catalyst Acoustics Group</t>
  </si>
  <si>
    <t>05/31/2022</t>
  </si>
  <si>
    <t>OH-C</t>
  </si>
  <si>
    <t>NV-C</t>
  </si>
  <si>
    <t>NY-R</t>
  </si>
  <si>
    <t>ID-C</t>
  </si>
  <si>
    <t>10/09/2024</t>
  </si>
  <si>
    <t>HI-R</t>
  </si>
  <si>
    <t>WA-R</t>
  </si>
  <si>
    <t>TX-C</t>
  </si>
  <si>
    <t>Golden Glass Inc.:Pepperdine University</t>
  </si>
  <si>
    <t>04/19/2024</t>
  </si>
  <si>
    <t>11/26/2024</t>
  </si>
  <si>
    <t>NJ-R</t>
  </si>
  <si>
    <t>CO-C</t>
  </si>
  <si>
    <t>OH-R</t>
  </si>
  <si>
    <t>TX-R</t>
  </si>
  <si>
    <t>Lunstrum Windows:Park Summit</t>
  </si>
  <si>
    <t>12/17/2024</t>
  </si>
  <si>
    <t>Mark Industries LTD:Worth SD P27</t>
  </si>
  <si>
    <t>IL-C</t>
  </si>
  <si>
    <t>IL-R</t>
  </si>
  <si>
    <t>Prestige Island Exports:ADR Entry Pivot Door</t>
  </si>
  <si>
    <t>Skyline Windows and Doors:Skyline 857 5th Ave</t>
  </si>
  <si>
    <t>04/30/2024</t>
  </si>
  <si>
    <t>The Window Authority of Houston:Lepie</t>
  </si>
  <si>
    <t>08/09/2024</t>
  </si>
  <si>
    <t>U.S. Architectural Glass and Metal:Obama Center</t>
  </si>
  <si>
    <t>Window Classics-Miami:Alvarez Res</t>
  </si>
  <si>
    <t>Total</t>
  </si>
  <si>
    <t>Adjusted Dep EOM</t>
  </si>
  <si>
    <t>QB</t>
  </si>
  <si>
    <t>Variance</t>
  </si>
  <si>
    <t>UT-R</t>
  </si>
  <si>
    <t>NH-R</t>
  </si>
  <si>
    <t>NY-C</t>
  </si>
  <si>
    <t>02/24/2025</t>
  </si>
  <si>
    <t>All New Glass:201 Fillmore</t>
  </si>
  <si>
    <t>WA-C</t>
  </si>
  <si>
    <t xml:space="preserve"> </t>
  </si>
  <si>
    <t>Glass Edge Inc.:51 Commons</t>
  </si>
  <si>
    <t>NE-C</t>
  </si>
  <si>
    <t>02/28/2025</t>
  </si>
  <si>
    <t>WI-R</t>
  </si>
  <si>
    <t>RPC InC:Weslaco Public Library</t>
  </si>
  <si>
    <t>03/20/2025</t>
  </si>
  <si>
    <t>Hasco Constrution:Sperryn Jones</t>
  </si>
  <si>
    <t>SN-R</t>
  </si>
  <si>
    <t>04/11/2025</t>
  </si>
  <si>
    <t>04/15/2025</t>
  </si>
  <si>
    <t>Wenatchee Glass:Lake Chelan Residence</t>
  </si>
  <si>
    <t>Crystal Glass Inc.:New Logan Elementry</t>
  </si>
  <si>
    <t>MI-C</t>
  </si>
  <si>
    <t>04/17/2025</t>
  </si>
  <si>
    <t>UT-C</t>
  </si>
  <si>
    <t>David Shuldiner Inc:450 Lexington</t>
  </si>
  <si>
    <t>Midway Glass &amp; Metal Installers, Inc.:Saddle River Day School</t>
  </si>
  <si>
    <t>NJ-C</t>
  </si>
  <si>
    <t>04/28/2025</t>
  </si>
  <si>
    <t>Socal Glass Inc.:The Standard Apartments</t>
  </si>
  <si>
    <t>Window Classics-Orlando:9712 Kilgore Road</t>
  </si>
  <si>
    <t>2115 Customer Deposits</t>
  </si>
  <si>
    <t>Infinity Group:Wilson Residence 77</t>
  </si>
  <si>
    <t>CT-R</t>
  </si>
  <si>
    <t>American Glass - Livermore:Sunset Clubhouse-2</t>
  </si>
  <si>
    <t>Unknown</t>
  </si>
  <si>
    <t>New Dep this Month</t>
  </si>
  <si>
    <t>Aragon Construction, Inc.:Penta (1) Interior</t>
  </si>
  <si>
    <t>Aragon Construction, Inc.:Penta (2) Exterior</t>
  </si>
  <si>
    <t>Keith Starkey:Starkey Residence</t>
  </si>
  <si>
    <t>The Window Store LLC:Black Spur Estate</t>
  </si>
  <si>
    <t>Image Builders Of Central Florida:Radius Finley Res</t>
  </si>
  <si>
    <t>Sinter Clad:Mountain View 1</t>
  </si>
  <si>
    <t>Sinter Clad:Mountain View  2</t>
  </si>
  <si>
    <t>Orange Mirror and Glass:Kitchen / Bar</t>
  </si>
  <si>
    <t>Progress Glass:1515 South Van Ness</t>
  </si>
  <si>
    <t>Turkel Design:Pettyboro Residence</t>
  </si>
  <si>
    <t>Environmental Glass Inc:Mitchell Elementary</t>
  </si>
  <si>
    <t>Terra Nova:Sierra View</t>
  </si>
  <si>
    <t>Heart of America Aston LLC:592 Aston</t>
  </si>
  <si>
    <t>Ken Caryl Glass:Barrett Residence</t>
  </si>
  <si>
    <t>All New Glass:Chanel UTC</t>
  </si>
  <si>
    <t>Lite Building Services:1420 King Street 6th Floor Ribbon Window</t>
  </si>
  <si>
    <t>Danco Group:4441 N Jokake Lift and Slide</t>
  </si>
  <si>
    <t>Avatar Design Build LLC:Avatar Custom Home</t>
  </si>
  <si>
    <t>Sierra Pacific Windows:Williams Residence</t>
  </si>
  <si>
    <t>Signature Glass &amp; Windows, Inc.:525 N Capitol</t>
  </si>
  <si>
    <t>Walters &amp; Wolf:Lulu's Place</t>
  </si>
  <si>
    <t>M2M Logistics LLC:Kuau</t>
  </si>
  <si>
    <t>08/26/2025</t>
  </si>
  <si>
    <t>08/27/2025</t>
  </si>
  <si>
    <t>.</t>
  </si>
  <si>
    <t>Washington Glass and Glazing:616 Battery</t>
  </si>
  <si>
    <t>Lunstrum Windows:Park Summit (2)</t>
  </si>
  <si>
    <t>Michelle Kay:The Kay Residence</t>
  </si>
  <si>
    <t>Caribbean Windows International:Seagrapes 2</t>
  </si>
  <si>
    <t>CAR-R</t>
  </si>
  <si>
    <t>Polk Architectural:100 Lighthouse Dr</t>
  </si>
  <si>
    <t>Debbie Piliero:46 Upper Rd</t>
  </si>
  <si>
    <t>DGB Glass Inc.:Hotel Grey</t>
  </si>
  <si>
    <t>Sierra Pacific - CA PPG 38 Elena</t>
  </si>
  <si>
    <t>Wenatchee Glass:Madison</t>
  </si>
  <si>
    <t>Marcel Martins:Laguna Doors</t>
  </si>
  <si>
    <t>Portalais:Micron B42</t>
  </si>
  <si>
    <t>09/29/2025</t>
  </si>
  <si>
    <t>09/30/2025</t>
  </si>
  <si>
    <t>6/16/2025</t>
  </si>
  <si>
    <t>Window Classics Corp:1315 S Ocean</t>
  </si>
  <si>
    <t>Pella Windows and Doors  - OH:Edwards Steel Project</t>
  </si>
  <si>
    <t>GP Glass &amp; Mirror LLC:Windows &amp; Sliders</t>
  </si>
  <si>
    <t>Barbara Bellio:Bellio Residence</t>
  </si>
  <si>
    <t>Biery Cheese Company:Silo Radius</t>
  </si>
  <si>
    <t>Advanced Windows:Golden Hill</t>
  </si>
  <si>
    <t>Sierra Pacific Windows - UT:Langston Main House</t>
  </si>
  <si>
    <t>D &amp; R Glass:Cedar and Sage</t>
  </si>
  <si>
    <t>ZELHAM, INC.:Hampton Inn South Plainfield</t>
  </si>
  <si>
    <t>J Shuman Door Installation:Liubov Residence</t>
  </si>
  <si>
    <t>MT-C</t>
  </si>
  <si>
    <t>Lake Glass:Hotel Bozeman</t>
  </si>
  <si>
    <t>All New Glass:201 Fillmore 1st Floor</t>
  </si>
  <si>
    <t>Builders Direct Supply:4545 North-Studio</t>
  </si>
  <si>
    <t>Builders Direct Supply:North 4545</t>
  </si>
  <si>
    <t>LiveMetta Pilates:LiveMetta Encinitas</t>
  </si>
  <si>
    <t>Jungsten Construction Inc.:TNT Project</t>
  </si>
  <si>
    <t>Danco Group:4441 N Jokake House</t>
  </si>
  <si>
    <t>Royal Waikiki LLC:5699 Kalanianaole Hwy (doors)</t>
  </si>
  <si>
    <t>Royal Waikiki LLC:5699 Kalanianaole Hwy (windows)</t>
  </si>
  <si>
    <t>Reeves Ace Hardware:Lynch - Mefford</t>
  </si>
  <si>
    <t>Scott Metelmann:1515 North Wells Street</t>
  </si>
  <si>
    <t>Sanding</t>
  </si>
  <si>
    <t>Sierra Pacific Windows - UT:Payne House</t>
  </si>
  <si>
    <t>Sierra Pacific Windows - UT:Casamigo 2 Awnings</t>
  </si>
  <si>
    <t>Eagle Glass Service LLC:Bullard King</t>
  </si>
  <si>
    <t>NA-C</t>
  </si>
  <si>
    <t>American Products Inc (API):Lululemon Boston</t>
  </si>
  <si>
    <t>J Shuman Door Installation:Andrew Nguyen</t>
  </si>
  <si>
    <t>Sierra Pacific - CA:PPG 38 Elena Kitchen Window</t>
  </si>
  <si>
    <t>Builders Direct Supply:Direct Doors</t>
  </si>
  <si>
    <t>Sierra Pacific Windows - UT:Geary Project</t>
  </si>
  <si>
    <t>D&amp;A Glass:Camas Grill T.I.</t>
  </si>
  <si>
    <t>Phoenix Glass Company:Top of Crystal</t>
  </si>
  <si>
    <t>PM Steel Fabrication, LLC:Empire Glass</t>
  </si>
  <si>
    <t>Aragon Construction, Inc.:Puente Hills</t>
  </si>
  <si>
    <t>Jonah Monroe:Monroe Residence</t>
  </si>
  <si>
    <t>Capitol Glass Company:99 Rhode Island</t>
  </si>
  <si>
    <t>Best Contracting LLC:UCSB San Benito Housing</t>
  </si>
  <si>
    <t>Constructa:Nuevo Proyecto en Punta Mita</t>
  </si>
  <si>
    <t>Shipp Group:102 Mcknight Dr</t>
  </si>
  <si>
    <t>Castle House Distributors Inc.:Nila Bugala Door</t>
  </si>
  <si>
    <t>D&amp;A Glass:Turf Club</t>
  </si>
  <si>
    <t>Element Facades 13:299 MILWAUKEE</t>
  </si>
  <si>
    <t>Cheryl Partee:Partee Residence</t>
  </si>
  <si>
    <t>11/17/2025</t>
  </si>
  <si>
    <t>11/19/2025</t>
  </si>
  <si>
    <t>11/20/2025</t>
  </si>
  <si>
    <t>11/21/2025</t>
  </si>
  <si>
    <t>11/24/2025</t>
  </si>
  <si>
    <t>11/25/2025</t>
  </si>
  <si>
    <t>MX-C</t>
  </si>
  <si>
    <t>Jackson Design Home Remodeling:Multi-Slide Corner</t>
  </si>
  <si>
    <t>Ikirkpatrick Construction:Stewart Residence 3</t>
  </si>
  <si>
    <t>Sierra Pacific Windows-CO:TS.30 Quote</t>
  </si>
  <si>
    <t>Sierra Pacific Windows - UT:Lambert Residence</t>
  </si>
  <si>
    <t>E &amp; Z Glass &amp; Window:Sfondrini Residence</t>
  </si>
  <si>
    <t>Lunstrum Windows:ARE Fitness</t>
  </si>
  <si>
    <t>Akis Doganis:Doganis Residence</t>
  </si>
  <si>
    <t>Tridel Construction:Players Canyon - Doors</t>
  </si>
  <si>
    <t>Signature Custom Homes:Messinger Door's</t>
  </si>
  <si>
    <t>Sierra Pacific - CA:Bi-Fold Window</t>
  </si>
  <si>
    <t>12/01/2025</t>
  </si>
  <si>
    <t>12/02/2025</t>
  </si>
  <si>
    <t>12/04/2025</t>
  </si>
  <si>
    <t>12/05/2025</t>
  </si>
  <si>
    <t>12/09/2025</t>
  </si>
  <si>
    <t>MP Service:37 Painted Feather Way -77's Tracks</t>
  </si>
  <si>
    <t>Lindsay Glass Systems:Print Shop</t>
  </si>
  <si>
    <t>Onsite Products:Perrotta - Hoboken</t>
  </si>
  <si>
    <t>Precision Glass Co.:2340 Gamay</t>
  </si>
  <si>
    <t>Sierra Pacific - CA:Haig Residence</t>
  </si>
  <si>
    <t>Integrated Glass Concepts, Inc:Diablo Valley College</t>
  </si>
  <si>
    <t>Sierra Pacific Windows - UT:SPW_Quote 85102912</t>
  </si>
  <si>
    <t>Coltin Craigo:Alphorn Road</t>
  </si>
  <si>
    <t>Fast Glass:Brockway</t>
  </si>
  <si>
    <t>Wenatchee Glass:Kozari</t>
  </si>
  <si>
    <t>12/15/2025</t>
  </si>
  <si>
    <t>12/16/2025</t>
  </si>
  <si>
    <t>12/17/2025</t>
  </si>
  <si>
    <t>12/19/2025</t>
  </si>
  <si>
    <t>Lunstrum Windows:Park Summit-1</t>
  </si>
  <si>
    <t>Reeves Ace Hardware:Bock / Hudson</t>
  </si>
  <si>
    <t>Builders FirstSource/Dixieline Lumber &amp; Home Center:Jody Doors</t>
  </si>
  <si>
    <t>Capitol Glass Company:Sunnydale Block 7</t>
  </si>
  <si>
    <t>EAP Glass:4th Street North Apts</t>
  </si>
  <si>
    <t>12/29/2025</t>
  </si>
  <si>
    <t>12/30/2025</t>
  </si>
  <si>
    <t>81492-R1</t>
  </si>
  <si>
    <t>Dec Deposit to Rev</t>
  </si>
  <si>
    <t>Jan 2026</t>
  </si>
  <si>
    <t>Canceled 1/14</t>
  </si>
  <si>
    <t>Dugally Oberfeld, Inc.:Cox</t>
  </si>
  <si>
    <t>Gen 3 Hospitality:Richardson House</t>
  </si>
  <si>
    <t>Sierra Pacific Windows - UT:DM20</t>
  </si>
  <si>
    <t>Natural Domain Interiors, LLC:Brooks Project</t>
  </si>
  <si>
    <t>Builders Direct Supply:Snell and Wilmer</t>
  </si>
  <si>
    <t>Walters &amp; Wolf:HRHC Live Theater</t>
  </si>
  <si>
    <t>C Thru Glass:Caesars Republic Pool Club Lounge</t>
  </si>
  <si>
    <t>Hardman Glazing Management LLC:Brown Shop</t>
  </si>
  <si>
    <t>Helou Construction:Rosebowl South Endzone Club</t>
  </si>
  <si>
    <t>Tzahi Salomon:Summerlin Project</t>
  </si>
  <si>
    <t>Stratos Development Inc:Kanani Residence</t>
  </si>
  <si>
    <t>Heritage Glass:DCI Pittock</t>
  </si>
  <si>
    <t>Classic Carpentry Inc.:CC Project / 262 Mermaid's Bight</t>
  </si>
  <si>
    <t>The Coastal Windows &amp; Door Center NC:Zucker - 315 Summer Rest</t>
  </si>
  <si>
    <t>Bulldog Diversified Construction:Bulldog Folding Door</t>
  </si>
  <si>
    <t>Shobha Reddy:Shobha Reddy Project</t>
  </si>
  <si>
    <t>Nosan Signature Homes</t>
  </si>
  <si>
    <t>Specialty North American:Squeri Res</t>
  </si>
  <si>
    <t>L.P. Glazing &amp; Consulting:San Ysidro</t>
  </si>
  <si>
    <t>01/06/2026</t>
  </si>
  <si>
    <t>01/07/2026</t>
  </si>
  <si>
    <t>01/08/2026</t>
  </si>
  <si>
    <t>01/12/2026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</si>
  <si>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</si>
  <si>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</si>
  <si>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</si>
  <si>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</si>
  <si>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</si>
  <si>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</si>
  <si>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</si>
  <si>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OR-C</t>
  </si>
  <si>
    <t>ID-R</t>
  </si>
  <si>
    <t>NC-R</t>
  </si>
  <si>
    <t>MI-R</t>
  </si>
  <si>
    <t>1/31/2026 End of day</t>
  </si>
  <si>
    <t>Elaine Fitzpatrick:Fitzpatrick Residence</t>
  </si>
  <si>
    <t>Primary Glazing:Callan - Bldg B</t>
  </si>
  <si>
    <t>Triple R Construction Inc.:Goettl</t>
  </si>
  <si>
    <t>Socal Glass Inc.:Racquet Club</t>
  </si>
  <si>
    <t>Larry Walsh:Walsh Project</t>
  </si>
  <si>
    <t>Sierra Pacific Windows - UT:Pratt Window 883-9035</t>
  </si>
  <si>
    <t>Sierra Pacific - CA:Ikeda Pivot Door</t>
  </si>
  <si>
    <t>BMG Door &amp; Glass:Zamora Residence</t>
  </si>
  <si>
    <t>Keystone Distribution:The Holland</t>
  </si>
  <si>
    <t>01/28/2026</t>
  </si>
  <si>
    <t>01/29/2026</t>
  </si>
  <si>
    <t>01/30/2026</t>
  </si>
  <si>
    <t>Brett Hill Construction, Inc:4895 Kalanianaole</t>
  </si>
  <si>
    <t>Sol Installs.:Little Residence</t>
  </si>
  <si>
    <t>Brad Lager:Palmer</t>
  </si>
  <si>
    <t>Builders Direct Supply:Marriott</t>
  </si>
  <si>
    <t>CK2 Contracting:1221 W. Washington</t>
  </si>
  <si>
    <t>Hardman Glazing Management LLC:Hinged Door</t>
  </si>
  <si>
    <t>Trendex Window &amp; Door:1826 S Bayshore Lane</t>
  </si>
  <si>
    <t>Sound Glass:Sound Glass Showroom</t>
  </si>
  <si>
    <t>Capitol Glass &amp; Aluminum Co.:Cypress Village</t>
  </si>
  <si>
    <t>The Big Door Company:Conner Cohn</t>
  </si>
  <si>
    <t>BMG Door &amp; Glass:Rowley</t>
  </si>
  <si>
    <t>MO-R</t>
  </si>
  <si>
    <t>Henry Grause:Grause Residence</t>
  </si>
  <si>
    <t>FL-C</t>
  </si>
  <si>
    <t>Feb Deposit to Rev</t>
  </si>
  <si>
    <t>Stefl Devolpment:Okauchee Lake House</t>
  </si>
  <si>
    <t>Ford Metro Inc:Chapter / Ann Arbor</t>
  </si>
  <si>
    <t>Mazzarino Construction &amp; Development, LTD:Park City Project</t>
  </si>
  <si>
    <t>David Ostrander:Ostrander Residence Remodel</t>
  </si>
  <si>
    <t>Sunshine Glass, LLC:415 College Main</t>
  </si>
  <si>
    <t>Nihar Shah:SHAH Residence</t>
  </si>
  <si>
    <t>02/10/2026</t>
  </si>
  <si>
    <t>02/11/2026</t>
  </si>
  <si>
    <t>02/12/2026</t>
  </si>
  <si>
    <t>02/13/2026</t>
  </si>
  <si>
    <t>MN-R</t>
  </si>
  <si>
    <t>DC-R</t>
  </si>
  <si>
    <t>Cancelled 2/12/26</t>
  </si>
  <si>
    <t>Transaction date</t>
  </si>
  <si>
    <t>Transaction type</t>
  </si>
  <si>
    <t>Num</t>
  </si>
  <si>
    <t>Name</t>
  </si>
  <si>
    <t>Memo/Description</t>
  </si>
  <si>
    <t>Account full name</t>
  </si>
  <si>
    <t>Item split account</t>
  </si>
  <si>
    <t>Amount</t>
  </si>
  <si>
    <t>Balance</t>
  </si>
  <si>
    <t>Credit</t>
  </si>
  <si>
    <t>Debit</t>
  </si>
  <si>
    <t>Beginning Balance</t>
  </si>
  <si>
    <t>Invoice</t>
  </si>
  <si>
    <t>Deposit for Sales Order</t>
  </si>
  <si>
    <t>Accounts Receivable</t>
  </si>
  <si>
    <t>Credit Memo</t>
  </si>
  <si>
    <t>Adjusted EOM</t>
  </si>
  <si>
    <t>02/16/2026</t>
  </si>
  <si>
    <t>Pro Glass:ProGlass Trailside</t>
  </si>
  <si>
    <t>Builders Direct Supply:Larroque Door</t>
  </si>
  <si>
    <t>Advanced Windows:1990 K Street</t>
  </si>
  <si>
    <t>02/17/2026</t>
  </si>
  <si>
    <t>Vegas Window Pros:Hinged Doors</t>
  </si>
  <si>
    <t>Merlin Custom Home Builders:Rumbolz</t>
  </si>
  <si>
    <t>02/19/2026</t>
  </si>
  <si>
    <t>Doors, Etc.:Doors Etc HSW</t>
  </si>
  <si>
    <t>02/20/2026</t>
  </si>
  <si>
    <t>Turkel Design:Turkel Systems:GAL Residence</t>
  </si>
  <si>
    <t>Sierra Pacific - CA:Pivot Door with Sidelite</t>
  </si>
  <si>
    <t>MA-R</t>
  </si>
  <si>
    <t>Feb 2026</t>
  </si>
  <si>
    <t>Precision Glass Co.:2348 Rosewood</t>
  </si>
  <si>
    <t>Giroux Glass:SoCalGas Loggia</t>
  </si>
  <si>
    <t>Sierra Pacific Windows - UT:Peterson Res Lot 5</t>
  </si>
  <si>
    <t>Chris &amp; Kareen Brown:By Woods Door</t>
  </si>
  <si>
    <t>Vision Enclosure Walls:DFW Terminal C</t>
  </si>
  <si>
    <t>Emerald Glass:The Frank</t>
  </si>
  <si>
    <t>Sierra Pacific Windows - UT:Awning Window</t>
  </si>
  <si>
    <t>Desert Window Systems:Lennar</t>
  </si>
  <si>
    <t>Newton Construction:7612 Tiny Tortoise</t>
  </si>
  <si>
    <t>Mesa Properties:4901 Lakeshore Dr.</t>
  </si>
  <si>
    <t>Franklin Herbas:Herbas Folding</t>
  </si>
  <si>
    <t>GP Glass &amp; Mirror LLC:George_Additional Windows</t>
  </si>
  <si>
    <t>Sightlines Glass:Blue Martini</t>
  </si>
  <si>
    <t>Vegas Window Pros:Robert 2 Windows</t>
  </si>
  <si>
    <t>02/23/2026</t>
  </si>
  <si>
    <t>02/24/2026</t>
  </si>
  <si>
    <t>02/25/2026</t>
  </si>
  <si>
    <t>02/26/2026</t>
  </si>
  <si>
    <t>02/27/2026</t>
  </si>
  <si>
    <t>2/28/2026 End of day</t>
  </si>
  <si>
    <t>Powder coat</t>
  </si>
  <si>
    <t>Coating</t>
  </si>
  <si>
    <t>Cutting</t>
  </si>
  <si>
    <t xml:space="preserve">Assembly </t>
  </si>
  <si>
    <t>Pull Material</t>
  </si>
  <si>
    <t>On Hold</t>
  </si>
  <si>
    <t>Discount Glass &amp; Mirror Inc.:Encinitas</t>
  </si>
  <si>
    <t>Builders FirstSource/Dixieline Lumber &amp; Home Center:Dixieline Lumber &amp; Home Center:Rick Moore</t>
  </si>
  <si>
    <t>Sierra Pacific - CA:1161 Bay Laurel St - Steel</t>
  </si>
  <si>
    <t>Crisci Builders:Lot 147 Addition</t>
  </si>
  <si>
    <t>Chase Kloehn:Kloehn Remodel</t>
  </si>
  <si>
    <t>J Shuman Door Installation:Chacon Residence</t>
  </si>
  <si>
    <t>Pinnacle Windows and Doors:WR54</t>
  </si>
  <si>
    <t>A&amp;A Window Products Inc:45 Littles Road</t>
  </si>
  <si>
    <t>Glass and Metals, Inc:2100 Crystal</t>
  </si>
  <si>
    <t>Alli Construction:Chaparral Janiga Residence</t>
  </si>
  <si>
    <t>Sierra Pacific - CA:Aluminum Window</t>
  </si>
  <si>
    <t>Sierra Pacific Windows - UT:Smith Entry Door</t>
  </si>
  <si>
    <t>Chopper Dawson INC:Daniel Res</t>
  </si>
  <si>
    <t>VA-R</t>
  </si>
  <si>
    <t>Aune Brothers Construction:2460 Cajon Lane</t>
  </si>
  <si>
    <t>NC-C</t>
  </si>
  <si>
    <t>1st Choice Glass:MUSC - Clemson</t>
  </si>
  <si>
    <t>Donatello Bonasera Development, LLC:The F Penthouse</t>
  </si>
  <si>
    <t>J Shuman Door Installation:Rob Poynter</t>
  </si>
  <si>
    <t>Zachary Sheilds:Shields Slider</t>
  </si>
  <si>
    <t>Donatello Bonasera Development, LLC:Casa Faten</t>
  </si>
  <si>
    <t>Sierra Paciffic -CO - Steel Clad Pivot Door</t>
  </si>
  <si>
    <t>Sargent Construction:Russell Dentisty</t>
  </si>
  <si>
    <t>Dan and Molly Dirscherl:Dirscherl Cabana</t>
  </si>
  <si>
    <t>Teddy Anderson:Anderson Project</t>
  </si>
  <si>
    <t>Angie Nyborg:Nyborg Residence</t>
  </si>
  <si>
    <t>Kirk Johnson:Johnson Project</t>
  </si>
  <si>
    <t>Environmental Glass Inc:Ann Arbor Thurston</t>
  </si>
  <si>
    <t>JDM Folder</t>
  </si>
  <si>
    <t>Residential or Commercial</t>
  </si>
  <si>
    <t>03/02/2026</t>
  </si>
  <si>
    <t>16480</t>
  </si>
  <si>
    <t>DGMCA</t>
  </si>
  <si>
    <t>Office Building</t>
  </si>
  <si>
    <t>16481</t>
  </si>
  <si>
    <t>DIXCA</t>
  </si>
  <si>
    <t>Residential -Single Family</t>
  </si>
  <si>
    <t>16483</t>
  </si>
  <si>
    <t>TRCAZ</t>
  </si>
  <si>
    <t>16486</t>
  </si>
  <si>
    <t>IGCT</t>
  </si>
  <si>
    <t>03/03/2026</t>
  </si>
  <si>
    <t>16487</t>
  </si>
  <si>
    <t>SPWCA</t>
  </si>
  <si>
    <t>16489</t>
  </si>
  <si>
    <t>CCWI</t>
  </si>
  <si>
    <t>16490</t>
  </si>
  <si>
    <t>CBNV</t>
  </si>
  <si>
    <t>16492</t>
  </si>
  <si>
    <t>SPWUT</t>
  </si>
  <si>
    <t>16493</t>
  </si>
  <si>
    <t>03/04/2026</t>
  </si>
  <si>
    <t>16494</t>
  </si>
  <si>
    <t>CKNV</t>
  </si>
  <si>
    <t>16495</t>
  </si>
  <si>
    <t>JSDICA-2</t>
  </si>
  <si>
    <t>16496</t>
  </si>
  <si>
    <t>PWDAZ</t>
  </si>
  <si>
    <t>03/06/2026</t>
  </si>
  <si>
    <t>16500</t>
  </si>
  <si>
    <t>AAWPMA</t>
  </si>
  <si>
    <t>03/09/2026</t>
  </si>
  <si>
    <t>16501</t>
  </si>
  <si>
    <t>GAMVA</t>
  </si>
  <si>
    <t>Bar / Restaurants</t>
  </si>
  <si>
    <t>16506</t>
  </si>
  <si>
    <t>ACCA</t>
  </si>
  <si>
    <t>16507</t>
  </si>
  <si>
    <t>LGSTX</t>
  </si>
  <si>
    <t>16508</t>
  </si>
  <si>
    <t>16509</t>
  </si>
  <si>
    <t>SPW</t>
  </si>
  <si>
    <t>16512</t>
  </si>
  <si>
    <t>MDVA</t>
  </si>
  <si>
    <t>03/10/2026</t>
  </si>
  <si>
    <t>16513</t>
  </si>
  <si>
    <t>ABCAZ</t>
  </si>
  <si>
    <t>16514</t>
  </si>
  <si>
    <t>FCGNC</t>
  </si>
  <si>
    <t>Educational Facility</t>
  </si>
  <si>
    <t>16515</t>
  </si>
  <si>
    <t>WVGDWA</t>
  </si>
  <si>
    <t>16517</t>
  </si>
  <si>
    <t>TFPCA</t>
  </si>
  <si>
    <t>03/11/2026</t>
  </si>
  <si>
    <t>16518</t>
  </si>
  <si>
    <t>JSDICA</t>
  </si>
  <si>
    <t>Retail</t>
  </si>
  <si>
    <t>16520</t>
  </si>
  <si>
    <t>Deposit for Sales Order - 25% Second Deposit</t>
  </si>
  <si>
    <t>LWCA</t>
  </si>
  <si>
    <t>16521</t>
  </si>
  <si>
    <t>ZSNV</t>
  </si>
  <si>
    <t>16526</t>
  </si>
  <si>
    <t>CFCA-1</t>
  </si>
  <si>
    <t>03/12/2026</t>
  </si>
  <si>
    <t>16522</t>
  </si>
  <si>
    <t>EGIMI</t>
  </si>
  <si>
    <t>16523</t>
  </si>
  <si>
    <t>16524</t>
  </si>
  <si>
    <t>Sierra Pacific Windows-CO:Steel Clad Pivot Door</t>
  </si>
  <si>
    <t>SPWCO</t>
  </si>
  <si>
    <t>16525</t>
  </si>
  <si>
    <t>ANGWA</t>
  </si>
  <si>
    <t>16527</t>
  </si>
  <si>
    <t>SCWA</t>
  </si>
  <si>
    <t>16528</t>
  </si>
  <si>
    <t>DMDNJ</t>
  </si>
  <si>
    <t>16529</t>
  </si>
  <si>
    <t>TAUT</t>
  </si>
  <si>
    <t>03/13/2026</t>
  </si>
  <si>
    <t>16530</t>
  </si>
  <si>
    <t>DSINY</t>
  </si>
  <si>
    <t>16531</t>
  </si>
  <si>
    <t>Sierra Pacific - CA:Bathroom Window</t>
  </si>
  <si>
    <t>16532</t>
  </si>
  <si>
    <t>Sierra Pacific - AZ:Bruhn Residence</t>
  </si>
  <si>
    <t>SPWAZ</t>
  </si>
  <si>
    <t>16533</t>
  </si>
  <si>
    <t>Sierra Pacific Windows-CO:Solitude Ranch</t>
  </si>
  <si>
    <t>16534</t>
  </si>
  <si>
    <t>HGOR</t>
  </si>
  <si>
    <t>03/16/2026</t>
  </si>
  <si>
    <t>16536</t>
  </si>
  <si>
    <t>16537</t>
  </si>
  <si>
    <t>AGCA-4</t>
  </si>
  <si>
    <t>Country Clubs / Private Clubs</t>
  </si>
  <si>
    <t>16538</t>
  </si>
  <si>
    <t>16539</t>
  </si>
  <si>
    <t>JDCA</t>
  </si>
  <si>
    <t>16541</t>
  </si>
  <si>
    <t>ZIID</t>
  </si>
  <si>
    <t>Hotel / Resort</t>
  </si>
  <si>
    <t>16542</t>
  </si>
  <si>
    <t>NRNV-1</t>
  </si>
  <si>
    <t>16543</t>
  </si>
  <si>
    <t>JPCA</t>
  </si>
  <si>
    <t>EOM Dep</t>
  </si>
  <si>
    <t>Change</t>
  </si>
  <si>
    <t>02/02/2026</t>
  </si>
  <si>
    <t>E &amp; Z Glass &amp; Window:Cotton On Dallas Galleria</t>
  </si>
  <si>
    <t>Polk Architectural:HSB 116</t>
  </si>
  <si>
    <t>American Glass &amp; Mirror Company:1000 Nevillewood Drive</t>
  </si>
  <si>
    <t>Sierra Pacific Windows - UT:Aluminum Sliding Doors</t>
  </si>
  <si>
    <t>JDP Associates:Shohet Project</t>
  </si>
  <si>
    <t>Royal Palm Aluminum, Inc.:399 Royal Palm Way</t>
  </si>
  <si>
    <t>Premium Glass Inc.:Double Casement</t>
  </si>
  <si>
    <t>Capitol Glass Company:The Eliza</t>
  </si>
  <si>
    <t>Devoe Custom Homes:Vanderveen</t>
  </si>
  <si>
    <t>Dynamic Glass:Antero Resources</t>
  </si>
  <si>
    <t>HI-C</t>
  </si>
  <si>
    <t>Maryl Construction:Hapuna Villa</t>
  </si>
  <si>
    <t>Mar 2026</t>
  </si>
  <si>
    <t>Chuck Hamilton Construction Inc.:Shueck Pool House</t>
  </si>
  <si>
    <t>AR-R</t>
  </si>
  <si>
    <t>Island Tiles:Hilton Ballroom Doors</t>
  </si>
  <si>
    <t>BB-C</t>
  </si>
  <si>
    <t>CAC Aluminum &amp; Glass Inc.:355 Deerfield Sliding Doors</t>
  </si>
  <si>
    <t>Stratos Development Inc:Eclipse Reidence</t>
  </si>
  <si>
    <t>J Shuman Door Installation:Jared Lou</t>
  </si>
  <si>
    <t>Ajay Glass &amp; Mirror Co., Inc.:Billitier</t>
  </si>
  <si>
    <t>Don's Mobile Glass:Grossi</t>
  </si>
  <si>
    <t>GP Glass &amp; Mirror LLC:George_Additional Fixed Window</t>
  </si>
  <si>
    <t>American Products Inc (API):LuLulemon Boston Panel</t>
  </si>
  <si>
    <t>03/17/2026</t>
  </si>
  <si>
    <t>16545</t>
  </si>
  <si>
    <t>16547</t>
  </si>
  <si>
    <t>16548</t>
  </si>
  <si>
    <t>16549</t>
  </si>
  <si>
    <t>03/18/2026</t>
  </si>
  <si>
    <t>16552</t>
  </si>
  <si>
    <t>16553</t>
  </si>
  <si>
    <t>16555</t>
  </si>
  <si>
    <t>16560</t>
  </si>
  <si>
    <t>16561</t>
  </si>
  <si>
    <t>16562</t>
  </si>
  <si>
    <t>03/19/2026</t>
  </si>
  <si>
    <t>16565</t>
  </si>
  <si>
    <t>16567</t>
  </si>
  <si>
    <t>16569</t>
  </si>
  <si>
    <t>16570</t>
  </si>
  <si>
    <t>16573</t>
  </si>
  <si>
    <t>16574</t>
  </si>
  <si>
    <t>03/20/2026</t>
  </si>
  <si>
    <t>16575</t>
  </si>
  <si>
    <t>16576</t>
  </si>
  <si>
    <t>16577</t>
  </si>
  <si>
    <t>16578</t>
  </si>
  <si>
    <t>03/23/2026</t>
  </si>
  <si>
    <t>16580</t>
  </si>
  <si>
    <t>03/24/2026</t>
  </si>
  <si>
    <t>16582</t>
  </si>
  <si>
    <t>16583</t>
  </si>
  <si>
    <t>16585</t>
  </si>
  <si>
    <t>03/25/2026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</si>
  <si>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</si>
  <si>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</si>
  <si>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</si>
  <si>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</si>
  <si>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</si>
  <si>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</si>
  <si>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</si>
  <si>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</si>
  <si>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</si>
  <si>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</si>
  <si>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03/26/2026</t>
  </si>
  <si>
    <t>16601</t>
  </si>
  <si>
    <t>16602</t>
  </si>
  <si>
    <t>16603</t>
  </si>
  <si>
    <t>Deposit for Sales Order- CO1</t>
  </si>
  <si>
    <t>Row Labels</t>
  </si>
  <si>
    <t>Grand Total</t>
  </si>
  <si>
    <t>Sum of Amount</t>
  </si>
  <si>
    <t>Project</t>
  </si>
  <si>
    <t>Discount Glass &amp; Mirror Inc.:Cardella</t>
  </si>
  <si>
    <t>Builders FirstSource/Dixieline Lumber &amp; Home Center:Bhill Orange County</t>
  </si>
  <si>
    <t>Savery Creek Enterprises:Semple Residence</t>
  </si>
  <si>
    <t>WY-R</t>
  </si>
  <si>
    <t>Roxie Glass:EMS</t>
  </si>
  <si>
    <t>Peak Glass Inc.:Thornton ID 13 Door</t>
  </si>
  <si>
    <t>Edge Design and Construction INC:Brooks Project Add On</t>
  </si>
  <si>
    <t>03/31/2026 End of day</t>
  </si>
  <si>
    <t>Assembly</t>
  </si>
  <si>
    <t>86496-1</t>
  </si>
  <si>
    <t>Apr 2026</t>
  </si>
  <si>
    <t>4/19/2024</t>
  </si>
  <si>
    <t>AFR Construction:Boe Dekker</t>
  </si>
  <si>
    <t>BMG Door &amp; Glass:Unell  Door</t>
  </si>
  <si>
    <t>Buzick Construction, Inc.:Big Blue Bar</t>
  </si>
  <si>
    <t>C Thru Glass:Mt. Charleston Lodge</t>
  </si>
  <si>
    <t>Charles Chou:Chou Folding Window</t>
  </si>
  <si>
    <t>Classic Glass:Hotel Mohi</t>
  </si>
  <si>
    <t>Elite Glazing Inc.:RSF Clubhouse</t>
  </si>
  <si>
    <t>Flat Iron Development Co:Brandon Baca Voyage</t>
  </si>
  <si>
    <t>Gallatin Glass Works Inc:5026 Iron Ridge Patio</t>
  </si>
  <si>
    <t>Goldfinch Brothers:Stoel Rives L48</t>
  </si>
  <si>
    <t>Green Glass:Overland</t>
  </si>
  <si>
    <t>Hall Aluminum Products:TT Union Building D</t>
  </si>
  <si>
    <t>Hardman Glazing Management LLC:800 Corte Madera</t>
  </si>
  <si>
    <t>Hardman Glazing Management LLC:Utility building - 800 Corte Madera</t>
  </si>
  <si>
    <t>Jeff Kohler:Living Room</t>
  </si>
  <si>
    <t>Jeremy D. Whalon:Whaleon Residence</t>
  </si>
  <si>
    <t>LV Windows &amp; Doors:Solup</t>
  </si>
  <si>
    <t>Marvin Design Gallery:81st Plc Remodel</t>
  </si>
  <si>
    <t>McCrossin:Leahey Residence</t>
  </si>
  <si>
    <t>Newton Construction:1865 Woodhaven</t>
  </si>
  <si>
    <t>Polk Architectural:The League Georgetown</t>
  </si>
  <si>
    <t>Rafael Construction Inc.:1239 Gloria Mountain Residence</t>
  </si>
  <si>
    <t>Sound Glass:Collin Pearson</t>
  </si>
  <si>
    <t>Tier One Custom Windows:5431 Tortuga Trail</t>
  </si>
  <si>
    <t>Onsite Products:Perrotta - Hoboken Remake</t>
  </si>
  <si>
    <t>Pacific Glazing Contractors:Netflix Bldg G - Pacific</t>
  </si>
  <si>
    <t>Sierra Pacific Windows - UT:Lot 44</t>
  </si>
  <si>
    <t>Sound Glass:Albrecht</t>
  </si>
  <si>
    <t>PA-R</t>
  </si>
  <si>
    <t>MT-R</t>
  </si>
  <si>
    <t>KY-C</t>
  </si>
  <si>
    <t>IN-C</t>
  </si>
  <si>
    <t>Invoiced This Month</t>
  </si>
  <si>
    <t>Aune Brothers Construction:Lake Havasu Multi Slide</t>
  </si>
  <si>
    <t>Callender's House of Glass:750 Picacho Ln</t>
  </si>
  <si>
    <t>James Stevens:1633 Seal Way</t>
  </si>
  <si>
    <t>Oksana Pavlowsky:Pavlowsky Folding Door</t>
  </si>
  <si>
    <t>McInerney &amp; Associates:Au Chavel</t>
  </si>
  <si>
    <t>TN-C</t>
  </si>
  <si>
    <t>Cancelled 4/21</t>
  </si>
  <si>
    <t>Sierra Pacific - CA:Alair Huestis Folding Door</t>
  </si>
  <si>
    <t>Clear Solutions Group:Xs Remodel</t>
  </si>
  <si>
    <t>Devoe Custom Homes:Bodnar</t>
  </si>
  <si>
    <t>Rafael Construction Inc.:1239 Gloria Mountain Rd - Master Bedroom</t>
  </si>
  <si>
    <t>Pella OKC:Hoffman-Lenox</t>
  </si>
  <si>
    <t>Integrated Door &amp; Window Systems:102 McKnight Dr- Phase 2</t>
  </si>
  <si>
    <t>J Shuman Door Installation:Nandini Saraiya</t>
  </si>
  <si>
    <t>Platinum Glass LLC:JP Morgan Chase 9th</t>
  </si>
  <si>
    <t>Martin Doors Of Nevada:Five Guys</t>
  </si>
  <si>
    <t>Reeves Ace Hardware:Bock / Hoyer</t>
  </si>
  <si>
    <t>Kyle Spvey:Miami Beach Condo</t>
  </si>
  <si>
    <t>Elham Taherian:2180 Havensight Add On</t>
  </si>
  <si>
    <t>True U Renovations and Construction LLC:80 Grand Masters Dr</t>
  </si>
  <si>
    <t>OK-R</t>
  </si>
  <si>
    <t>Builders Direct Supply:Christian Rooney</t>
  </si>
  <si>
    <t>Bill Jaeger:Jaeger Sliders</t>
  </si>
  <si>
    <t>Commercial Contractors, Inc.:Flabletics Tampa FL</t>
  </si>
  <si>
    <t>Polk Architectural:530 Pecan Creek Dr</t>
  </si>
  <si>
    <t>Polk Architectural:Oso Drive</t>
  </si>
  <si>
    <t>Echelon Builders LLC:Residential</t>
  </si>
  <si>
    <t>Clerestory LLC:Malireddy Pivot Door</t>
  </si>
  <si>
    <t>4/30/2026 End of day</t>
  </si>
  <si>
    <t>Powder Coat</t>
  </si>
  <si>
    <t>Robert Barclay &amp; Julia Santos:1019 Lochland Rd</t>
  </si>
  <si>
    <t>MSW Glass Inc. d.b.a Skyline Glass Inc:Candela's Apartments</t>
  </si>
  <si>
    <t>Boyett Construction Inc:Ian</t>
  </si>
  <si>
    <t>Boulder Ridge Sash &amp; Door:129 Tahoe Tavern</t>
  </si>
  <si>
    <t>Peak Glass Inc.:19240 Christopher Court</t>
  </si>
  <si>
    <t>Architectural Glass &amp; Design:9825 Stonecrest</t>
  </si>
  <si>
    <t>James Stevens:Seal Way Folding</t>
  </si>
  <si>
    <t>Wenatchee Glass:Rick Fadler</t>
  </si>
  <si>
    <t>Glass House LLC:Red Arrow</t>
  </si>
  <si>
    <t>Kelly Maiello Architects:Large Conference Room Job</t>
  </si>
  <si>
    <t>OR-R</t>
  </si>
  <si>
    <t>PA-C</t>
  </si>
  <si>
    <t>SPI Fenestration:Shady Canyon Project</t>
  </si>
  <si>
    <t>Glass Concepts:WIC</t>
  </si>
  <si>
    <t>J Shuman Door Installation:Marzalek Folding Door</t>
  </si>
  <si>
    <t>Skylia Group:Belly Hawaii 2</t>
  </si>
  <si>
    <t>Builders Direct Supply:Keel Residence</t>
  </si>
  <si>
    <t>Tridel Construction:2769 Marnay Lane</t>
  </si>
  <si>
    <t>Maxwell Construction:Kane County Office of Tourism</t>
  </si>
  <si>
    <t>Desert Window Systems:Lennar 2</t>
  </si>
  <si>
    <t>GP Glass &amp; Mirror LLC:George_Pivot Door and Trapezoids</t>
  </si>
  <si>
    <t>Sunstride Construction:Everwild Project</t>
  </si>
  <si>
    <t>HBS Inc.:Holloway</t>
  </si>
  <si>
    <t>05/11/2026</t>
  </si>
  <si>
    <t>05/13/2026</t>
  </si>
  <si>
    <t>05/14/2026</t>
  </si>
  <si>
    <t>05/15/2026</t>
  </si>
  <si>
    <t>May 2026</t>
  </si>
  <si>
    <t>Reflection Window &amp; Wall:Bally's Chicago Casino</t>
  </si>
  <si>
    <t>J Shuman Door Installation:Arnaud Slider</t>
  </si>
  <si>
    <t>Charlotte Rosiak:1805 Villa De Conde Way Entry</t>
  </si>
  <si>
    <t>JDP Associates:Aldo House</t>
  </si>
  <si>
    <t>Triple R Construction Inc.:Saenz</t>
  </si>
  <si>
    <t>Sierra Pacific - CA:Hoag</t>
  </si>
  <si>
    <t>Glass House Products:Lawther Remodel</t>
  </si>
  <si>
    <t>Dynamic Builders LHC:1821 Pinion Tree Dr Flex Counter</t>
  </si>
  <si>
    <t>Norden Construction:Ashler Hills Project</t>
  </si>
  <si>
    <t>Tier One Custom Windows:5431 Tortuga trail - add on</t>
  </si>
  <si>
    <t>Jones Paint &amp; Glass:Control Booth</t>
  </si>
  <si>
    <t>Sierra Pacific - CA:Potgieter and Hammond Residence</t>
  </si>
  <si>
    <t>Builders FirstSource/Dixieline Lumber &amp; Home Center:1416 Stone Canyon Rd</t>
  </si>
  <si>
    <t>Builders FirstSource/Dixieline Lumber &amp; Home Center:Kyle Newport</t>
  </si>
  <si>
    <t>HBS Inc.:Burns</t>
  </si>
  <si>
    <t>Colindres and Associates:2528 Union St</t>
  </si>
  <si>
    <t>Precision Glass Co.:4574 Country</t>
  </si>
  <si>
    <t>Sierra Pacific - CA:2115 Oaks Steel Door</t>
  </si>
  <si>
    <t>JDP Associates:Bono LTS.30</t>
  </si>
  <si>
    <t>Velocity Glazing Inc.:Carmen Del Mar School</t>
  </si>
  <si>
    <t>Precision Glass Co.:235 Oak</t>
  </si>
  <si>
    <t>Giroux Glass:Sparks Training Facility</t>
  </si>
  <si>
    <t>Socal Glass Inc.:Pechanga Eagles Nest</t>
  </si>
  <si>
    <t>Tuscan iron Entry:Lyons/Fesmire</t>
  </si>
  <si>
    <t>5/31/2026 End of day</t>
  </si>
  <si>
    <t>TN-R</t>
  </si>
  <si>
    <t>June 2026</t>
  </si>
  <si>
    <t>Carmen Creek Homes:Hoskins LTS.30 &amp; French Door</t>
  </si>
  <si>
    <t>ROBERT COLAIANO:COLAIANO</t>
  </si>
  <si>
    <t>E &amp; Z Glass &amp; Window:Tollway Office Building</t>
  </si>
  <si>
    <t>Platinum Glass LLC:Phase 3 Library Door</t>
  </si>
  <si>
    <t>Ronny Jiji:Jiji Residence</t>
  </si>
  <si>
    <t>Sierra Pacific - CA:Entry Door for 630 Snowberry Loop</t>
  </si>
  <si>
    <t>New Freedom Properties:3048 Red Arrow</t>
  </si>
  <si>
    <t>RiverWoods Mill:Slade Quote</t>
  </si>
  <si>
    <t>Proper Construction:Mayorga Residence</t>
  </si>
  <si>
    <t>Builders FirstSource/Dixieline Lumber &amp; Home Center:107 Via Toluca</t>
  </si>
  <si>
    <t>Automatic Door &amp; Glass:633 St. Croix Add On</t>
  </si>
  <si>
    <t>Elite Glazing Group:LA Basketball</t>
  </si>
  <si>
    <t>Don's Mobile Glass:Michael Raimondo</t>
  </si>
  <si>
    <t>Ken Caryl Glass:Marcus Meyer</t>
  </si>
  <si>
    <t>Platinum Glass LLC:JP Morgan Chase 9th - 2nd</t>
  </si>
  <si>
    <t>Sierra Pacific Windows - WA:Wayside Pool House</t>
  </si>
  <si>
    <t>Walters &amp; Wolf - CA:UCB Bancroft</t>
  </si>
  <si>
    <t>Lighthouse Windows, Inc.:Warm Springs III - Lot 10</t>
  </si>
  <si>
    <t>James Bridgeford:Bridgeford Sliders</t>
  </si>
  <si>
    <t>Best Window Co.:Simms Residence</t>
  </si>
  <si>
    <t>Grand View Glass:LMAC Operable Glass Wall</t>
  </si>
  <si>
    <t>Don's Mobile Glass:Grossi Add On</t>
  </si>
  <si>
    <t>Signature Glass &amp; Windows, Inc.:3001 ECR</t>
  </si>
  <si>
    <t>KCR Development:Rec Pav 2</t>
  </si>
  <si>
    <t>J Shuman Door Installation:Hospitality Building</t>
  </si>
  <si>
    <t>J Shuman Door Installation:Cord Project</t>
  </si>
  <si>
    <t>Kumara Valla:Valla Doors</t>
  </si>
  <si>
    <t>Sierra Pacific - CA:Aluminum Awning</t>
  </si>
  <si>
    <t>Pella OKC:Pella Bi-Fold</t>
  </si>
  <si>
    <t>Sierra Pacific - AZ:Folding Doors</t>
  </si>
  <si>
    <t>Crisci Builders:Lot 147 Add On</t>
  </si>
  <si>
    <t>AAC Glass Inc.:PUSD Folding Door</t>
  </si>
  <si>
    <t>Sierra Pacific - CA:Lackey Voyage Pivot Door</t>
  </si>
  <si>
    <t>John Burke:Burke Pivot</t>
  </si>
  <si>
    <t>BMG Door &amp; Glass:Halise Diamond</t>
  </si>
  <si>
    <t>Precision Glass Co.:525 Alden Ln</t>
  </si>
  <si>
    <t>Portland Millwork:Reser Residence</t>
  </si>
  <si>
    <t>Mazzarino Construction &amp; Development, LTD:Mazzarino Residence</t>
  </si>
  <si>
    <t>OK-C</t>
  </si>
  <si>
    <t>90500-1</t>
  </si>
  <si>
    <t>Patrick  Krejcik:Krejcik Project</t>
  </si>
  <si>
    <t>Keystone Distribution:The Martin</t>
  </si>
  <si>
    <t>Mike Opitz:Opitz Residence</t>
  </si>
  <si>
    <t>6/30/2026 End of day</t>
  </si>
  <si>
    <t>Test-Wall</t>
  </si>
  <si>
    <t>Steel</t>
  </si>
  <si>
    <t>LV Windows &amp; Doors:Showroom</t>
  </si>
  <si>
    <t>David Valvida:Valdivia Residence</t>
  </si>
  <si>
    <t>Kell-Chuck Glass Company:Drew Phillips</t>
  </si>
  <si>
    <t>Boulder Ridge Sash &amp; Door:1180 Squaw</t>
  </si>
  <si>
    <t>Akis Doganis:Doganis Residence - Add on</t>
  </si>
  <si>
    <t>Lincoln Glass &amp; Mirror:Concord</t>
  </si>
  <si>
    <t>Tier One Custom Windows:Wood Door</t>
  </si>
  <si>
    <t>Polk Architectural:Randy Rodgers</t>
  </si>
  <si>
    <t>Sanjay Narang:40782 Marino Court</t>
  </si>
  <si>
    <t>July 2026</t>
  </si>
  <si>
    <t>Midwest Glass and Glazing:Berkley RF - Revel Sports Tavern</t>
  </si>
  <si>
    <t>Precision Glass Co.:23 Kirkwood</t>
  </si>
  <si>
    <t>Redhawk Glass Inc:Granton Casino</t>
  </si>
  <si>
    <t>Precision Glass Co.:235 Oak - 2</t>
  </si>
  <si>
    <t>Cadowin, Inc:Simonson</t>
  </si>
  <si>
    <t>Christina Smith:Smith Residence</t>
  </si>
  <si>
    <t>Mexican Bar Co.:Mexican Bar Company</t>
  </si>
  <si>
    <t>Desert Window Systems:Agave Ridge Lot 54</t>
  </si>
  <si>
    <t>Desert Window Systems:Agave Ridge Lot 53</t>
  </si>
  <si>
    <t>Glass House Products:Lawther - add on</t>
  </si>
  <si>
    <t>KS-C</t>
  </si>
  <si>
    <t>ELMNTL:S2</t>
  </si>
  <si>
    <t>AFR Construction:107 Augusta Pl</t>
  </si>
  <si>
    <t>Sierra Pacific - CA:LTS.31 Door</t>
  </si>
  <si>
    <t>Four Corners Building Supply:Bonaire Park - Building A</t>
  </si>
  <si>
    <t>Arizona Glass Specialists:Greasewood Springs Community School</t>
  </si>
  <si>
    <t>Jeff  Crook:16 A Solitude</t>
  </si>
  <si>
    <t>Southwest Glass:Australia Exhibit</t>
  </si>
  <si>
    <t>SC-C</t>
  </si>
  <si>
    <t>AZ-C</t>
  </si>
  <si>
    <t>USVI-R</t>
  </si>
  <si>
    <t>NM-C</t>
  </si>
  <si>
    <t>American First Builders:Haven Lot #25</t>
  </si>
  <si>
    <t>E &amp; Z Glass &amp; Window:Sparrow Partners</t>
  </si>
  <si>
    <t>Lee Glass and Window:Eisenhower Elementary School Expansion</t>
  </si>
  <si>
    <t>Architectural Windows &amp; Doors - AZ:Schulte Project</t>
  </si>
  <si>
    <t>Elevate Home:4005 Alonzo Ave</t>
  </si>
  <si>
    <t>Linares Construction LLC:Spears Residence</t>
  </si>
  <si>
    <t>Westline Windows:Fir Way</t>
  </si>
  <si>
    <t>Mesa Properties:2435 Legacy Dr</t>
  </si>
  <si>
    <t>Tier One Custom Windows:1715 Sunset Dr</t>
  </si>
  <si>
    <t>Tier One Custom Windows:French Door</t>
  </si>
  <si>
    <t>FAS Exteriors:Shaughnessy Res 216034</t>
  </si>
  <si>
    <t>Sierra Pacific - CA:Alonso entry</t>
  </si>
  <si>
    <t>7/31/2026 End of day</t>
  </si>
  <si>
    <t>Aug 2026</t>
  </si>
  <si>
    <t>Invoiced this month</t>
  </si>
  <si>
    <t>Rick Roberson:Roberson</t>
  </si>
  <si>
    <t>Lakewood Glass &amp; Screen:Cohen Residence</t>
  </si>
  <si>
    <t>Maryl Construction:91108 Hapuna Villa Window</t>
  </si>
  <si>
    <t>Peak Glass Inc.:555 Scott Lane</t>
  </si>
  <si>
    <t>Sierra Pacific - CA:PO-56901526 Dyer Construction</t>
  </si>
  <si>
    <t>RKB Custom Homes:1064 Willowbrook</t>
  </si>
  <si>
    <t>Epsilon Windows &amp; Doors:Peggie Brown</t>
  </si>
  <si>
    <t>Michael Summers:8214 Dutch Harbor</t>
  </si>
  <si>
    <t>Clear Custom:Newport Radius</t>
  </si>
  <si>
    <t>8G Solutions:Marina Square</t>
  </si>
  <si>
    <t>American Eagle Glass, LLC:AAA Blue Diamond</t>
  </si>
  <si>
    <t>Liberty Glass &amp; Metal Inc:Irvine</t>
  </si>
  <si>
    <t>BMG Door &amp; Glass:Brown Window</t>
  </si>
  <si>
    <t>Brandon's Handyman Services:Kathy Wilson Windows v4</t>
  </si>
  <si>
    <t>RiverWoods Mill:Jeperson Remodel 4 PHASE 1</t>
  </si>
  <si>
    <t/>
  </si>
  <si>
    <t>Charlotte Glass:Bridgeway Station West Building</t>
  </si>
  <si>
    <t>Polk Architectural:247 Mesa Dr</t>
  </si>
  <si>
    <t>Capitol Glass Company:34th and San Pablo</t>
  </si>
  <si>
    <t>Garry and Angie Tomashowski:Tomashowski</t>
  </si>
  <si>
    <t>Sunset Glazing:6th &amp; Palm</t>
  </si>
  <si>
    <t>Aaron K. Martinez:Martinez Pivot</t>
  </si>
  <si>
    <t>Dan Gudov:Gudov Pivot</t>
  </si>
  <si>
    <t>Sierra Pacific - CA:PO- 569-1530 A-Frame Builders</t>
  </si>
  <si>
    <t>Builders Direct Supply:Johnson Entry Door</t>
  </si>
  <si>
    <t>Newton Construction:Delarosa</t>
  </si>
  <si>
    <t>Architectural Windows &amp; Doors:NM Remodel</t>
  </si>
  <si>
    <t>Colorado Building Supply:Mayberry Ranch</t>
  </si>
  <si>
    <t>Klein-Dickert Milwaukee, Inc.:Artalia Senior Living</t>
  </si>
  <si>
    <t>NM-R</t>
  </si>
  <si>
    <t>WI-C</t>
  </si>
  <si>
    <t>Parial 8/14</t>
  </si>
  <si>
    <t>8/31/2026 End of day</t>
  </si>
  <si>
    <t>AVI Windows &amp; Doors:McCorkle</t>
  </si>
  <si>
    <t>St George Windows, Doors &amp; More LLC:Dunes 10 Doors</t>
  </si>
  <si>
    <t>Stroker:Stroker Residence</t>
  </si>
  <si>
    <t>JDM Contractors:JSSK</t>
  </si>
  <si>
    <t>Atlantic Window &amp; Door:St Street Brooklyn</t>
  </si>
  <si>
    <t>OC PATIO DOORS:Victoria's Casement</t>
  </si>
  <si>
    <t>AS Designs:39 Melanie Lane</t>
  </si>
  <si>
    <t>Elham Taherian:2180 Havensight Add On 2</t>
  </si>
  <si>
    <t>Sep 2026</t>
  </si>
  <si>
    <t>Canceled 9/4/2026</t>
  </si>
  <si>
    <t>JDP Associates:AULT PROJECT</t>
  </si>
  <si>
    <t>Harmon Inc - MD:725 W 12th St</t>
  </si>
  <si>
    <t>Integrity Design &amp; Build, LLC:Hughes Residence</t>
  </si>
  <si>
    <t>Elaine Fitzpatrick:Fitzpatrick Garage</t>
  </si>
  <si>
    <t>Epic Design Group Inc.:Lake Residence</t>
  </si>
  <si>
    <t>Tier One Custom Windows:21830 Briarcliff Dr</t>
  </si>
  <si>
    <t>Ken Caryl Glass:McDonald Audi</t>
  </si>
  <si>
    <t>Turkel Design:Turkel Systems:Robbins</t>
  </si>
  <si>
    <t>J Shuman Door Installation:1420 University Ave</t>
  </si>
  <si>
    <t>J Shuman Door Installation:1285 W Edmundson Ave</t>
  </si>
  <si>
    <t>Walters &amp; Wolf - CA:HRHC Podium</t>
  </si>
  <si>
    <t xml:space="preserve">New Dep </t>
  </si>
  <si>
    <t>Aragon Construction, Inc.:216B - Replacement</t>
  </si>
  <si>
    <t>Kirk Moore:41 Caminito Amore</t>
  </si>
  <si>
    <t>Hidden Ridge Construction:310 Cold Smoke</t>
  </si>
  <si>
    <t>J Shuman Door Installation:1901 Gilman Ranch Rd</t>
  </si>
  <si>
    <t>Wenatchee Glass:Henley -MS</t>
  </si>
  <si>
    <t>Progress Glass:Marin Art &amp; Garden Center</t>
  </si>
  <si>
    <t>JDP Associates:Aldo Residence Add On</t>
  </si>
  <si>
    <t>Sierra Pacific - CA:Fir Mountain Garage Sauna</t>
  </si>
  <si>
    <t>Daniels Glass, Inc:Detroit Pistons Locker Room</t>
  </si>
  <si>
    <t>Sierra Pacific - CA:4545 Tremont Doors</t>
  </si>
  <si>
    <t>Ajay Glass &amp; Mirror Co., Inc.:Billiter South</t>
  </si>
  <si>
    <t>Ajay Glass &amp; Mirror Co., Inc.:Sayers Resident</t>
  </si>
  <si>
    <t>Window Installation Specialists:SDCCD Student Housing</t>
  </si>
  <si>
    <t>Sierra Pacific - CA:1850 White Oak Dr. Corner Unit (TS.XO)</t>
  </si>
  <si>
    <t>Sierra Pacific - CA:1850 White Oak</t>
  </si>
  <si>
    <t>Scanlon Construction:736 El Medio</t>
  </si>
  <si>
    <t>9/25/2026 End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</si>
</sst>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\$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3" fillId="0" borderId="7"/>
    <xf numFmtId="0" fontId="13" fillId="0" borderId="0"/>
    <xf numFmtId="0" fontId="13" fillId="0" borderId="8"/>
  </cellStyleXfs>
  <cellXfs count="96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4" fontId="3" fillId="0" borderId="3" xfId="0" applyNumberFormat="1" applyFont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/>
    <xf numFmtId="0" fontId="6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wrapText="1"/>
    </xf>
    <xf numFmtId="49" fontId="6" fillId="2" borderId="2" xfId="0" applyNumberFormat="1" applyFont="1" applyFill="1" applyBorder="1" applyAlignment="1">
      <alignment horizontal="center" vertical="center"/>
    </xf>
    <xf numFmtId="44" fontId="6" fillId="2" borderId="3" xfId="1" applyNumberFormat="1" applyFont="1" applyFill="1" applyBorder="1" applyAlignment="1">
      <alignment horizontal="center" vertical="center"/>
    </xf>
    <xf numFmtId="44" fontId="8" fillId="2" borderId="4" xfId="0" applyNumberFormat="1" applyFont="1" applyFill="1" applyBorder="1" applyAlignment="1">
      <alignment horizontal="center" vertical="center"/>
    </xf>
    <xf numFmtId="44" fontId="8" fillId="2" borderId="5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/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wrapText="1"/>
    </xf>
    <xf numFmtId="49" fontId="6" fillId="0" borderId="2" xfId="0" applyNumberFormat="1" applyFont="1" applyBorder="1" applyAlignment="1">
      <alignment horizontal="center" vertical="center"/>
    </xf>
    <xf numFmtId="44" fontId="6" fillId="0" borderId="3" xfId="1" applyNumberFormat="1" applyFont="1" applyFill="1" applyBorder="1" applyAlignment="1">
      <alignment horizontal="center" vertical="center"/>
    </xf>
    <xf numFmtId="44" fontId="8" fillId="0" borderId="4" xfId="0" applyNumberFormat="1" applyFont="1" applyBorder="1" applyAlignment="1">
      <alignment horizontal="center" vertical="center"/>
    </xf>
    <xf numFmtId="44" fontId="8" fillId="0" borderId="5" xfId="0" applyNumberFormat="1" applyFont="1" applyBorder="1" applyAlignment="1">
      <alignment horizontal="center" vertical="center"/>
    </xf>
    <xf numFmtId="44" fontId="6" fillId="3" borderId="3" xfId="1" applyNumberFormat="1" applyFont="1" applyFill="1" applyBorder="1" applyAlignment="1">
      <alignment horizontal="center" vertical="center"/>
    </xf>
    <xf numFmtId="0" fontId="4" fillId="0" borderId="1" xfId="0" applyFont="1" applyBorder="1"/>
    <xf numFmtId="44" fontId="8" fillId="0" borderId="3" xfId="0" applyNumberFormat="1" applyFont="1" applyBorder="1" applyAlignment="1">
      <alignment horizontal="center" vertical="center"/>
    </xf>
    <xf numFmtId="49" fontId="4" fillId="0" borderId="5" xfId="0" applyNumberFormat="1" applyFont="1" applyBorder="1"/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7" fillId="0" borderId="5" xfId="0" applyFont="1" applyBorder="1" applyAlignment="1">
      <alignment horizontal="center" vertical="center"/>
    </xf>
    <xf numFmtId="44" fontId="10" fillId="0" borderId="5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44" fontId="8" fillId="0" borderId="0" xfId="0" applyNumberFormat="1" applyFont="1"/>
    <xf numFmtId="44" fontId="0" fillId="0" borderId="0" xfId="0" applyNumberFormat="1"/>
    <xf numFmtId="164" fontId="0" fillId="0" borderId="0" xfId="0" applyNumberFormat="1"/>
    <xf numFmtId="0" fontId="2" fillId="0" borderId="7" xfId="0" applyFont="1" applyBorder="1" applyAlignment="1">
      <alignment horizontal="center" vertical="center"/>
    </xf>
    <xf numFmtId="44" fontId="8" fillId="0" borderId="7" xfId="0" applyNumberFormat="1" applyFont="1" applyBorder="1"/>
    <xf numFmtId="164" fontId="9" fillId="0" borderId="0" xfId="0" applyNumberFormat="1" applyFont="1"/>
    <xf numFmtId="43" fontId="0" fillId="0" borderId="0" xfId="1" applyFont="1"/>
    <xf numFmtId="14" fontId="6" fillId="2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65" fontId="0" fillId="0" borderId="0" xfId="1" applyNumberFormat="1" applyFont="1"/>
    <xf numFmtId="44" fontId="3" fillId="0" borderId="5" xfId="0" applyNumberFormat="1" applyFont="1" applyBorder="1" applyAlignment="1">
      <alignment horizontal="center" vertical="center"/>
    </xf>
    <xf numFmtId="0" fontId="10" fillId="2" borderId="1" xfId="0" applyFont="1" applyFill="1" applyBorder="1"/>
    <xf numFmtId="49" fontId="4" fillId="0" borderId="2" xfId="0" applyNumberFormat="1" applyFont="1" applyBorder="1" applyAlignment="1">
      <alignment horizontal="center" vertical="center" wrapText="1"/>
    </xf>
    <xf numFmtId="44" fontId="6" fillId="4" borderId="3" xfId="1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/>
    <xf numFmtId="14" fontId="14" fillId="4" borderId="2" xfId="0" applyNumberFormat="1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0" fontId="12" fillId="0" borderId="0" xfId="2" applyAlignment="1">
      <alignment wrapText="1"/>
    </xf>
    <xf numFmtId="0" fontId="12" fillId="0" borderId="0" xfId="2"/>
    <xf numFmtId="0" fontId="15" fillId="0" borderId="7" xfId="3" applyFont="1" applyAlignment="1">
      <alignment horizontal="center" wrapText="1"/>
    </xf>
    <xf numFmtId="0" fontId="16" fillId="0" borderId="0" xfId="0" applyFont="1" applyAlignment="1">
      <alignment wrapText="1"/>
    </xf>
    <xf numFmtId="4" fontId="16" fillId="0" borderId="0" xfId="0" applyNumberFormat="1" applyFont="1" applyAlignment="1">
      <alignment wrapText="1"/>
    </xf>
    <xf numFmtId="44" fontId="6" fillId="5" borderId="3" xfId="1" applyNumberFormat="1" applyFont="1" applyFill="1" applyBorder="1" applyAlignment="1">
      <alignment horizontal="center" vertical="center"/>
    </xf>
    <xf numFmtId="44" fontId="8" fillId="5" borderId="4" xfId="0" applyNumberFormat="1" applyFont="1" applyFill="1" applyBorder="1" applyAlignment="1">
      <alignment horizontal="center" vertical="center"/>
    </xf>
    <xf numFmtId="44" fontId="8" fillId="5" borderId="5" xfId="0" applyNumberFormat="1" applyFont="1" applyFill="1" applyBorder="1" applyAlignment="1">
      <alignment horizontal="center" vertical="center"/>
    </xf>
    <xf numFmtId="44" fontId="8" fillId="4" borderId="4" xfId="0" applyNumberFormat="1" applyFont="1" applyFill="1" applyBorder="1" applyAlignment="1">
      <alignment horizontal="center" vertical="center"/>
    </xf>
    <xf numFmtId="44" fontId="8" fillId="4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/>
    <xf numFmtId="14" fontId="6" fillId="6" borderId="2" xfId="0" applyNumberFormat="1" applyFont="1" applyFill="1" applyBorder="1" applyAlignment="1">
      <alignment horizontal="center" vertical="center"/>
    </xf>
    <xf numFmtId="44" fontId="8" fillId="6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6" fontId="17" fillId="0" borderId="8" xfId="0" applyNumberFormat="1" applyFont="1" applyBorder="1" applyAlignment="1">
      <alignment wrapText="1"/>
    </xf>
    <xf numFmtId="4" fontId="12" fillId="0" borderId="0" xfId="2" applyNumberFormat="1"/>
    <xf numFmtId="14" fontId="16" fillId="0" borderId="0" xfId="0" applyNumberFormat="1" applyFont="1" applyAlignment="1">
      <alignment horizontal="left" wrapText="1"/>
    </xf>
    <xf numFmtId="4" fontId="18" fillId="4" borderId="0" xfId="0" applyNumberFormat="1" applyFont="1" applyFill="1" applyAlignment="1">
      <alignment wrapText="1"/>
    </xf>
    <xf numFmtId="4" fontId="16" fillId="4" borderId="0" xfId="0" applyNumberFormat="1" applyFont="1" applyFill="1" applyAlignment="1">
      <alignment wrapText="1"/>
    </xf>
    <xf numFmtId="0" fontId="16" fillId="4" borderId="0" xfId="0" applyFont="1" applyFill="1" applyAlignment="1">
      <alignment wrapText="1"/>
    </xf>
    <xf numFmtId="165" fontId="0" fillId="0" borderId="0" xfId="1" applyNumberFormat="1" applyFont="1" applyFill="1"/>
    <xf numFmtId="0" fontId="15" fillId="0" borderId="7" xfId="3" applyFont="1" applyAlignment="1">
      <alignment horizontal="center"/>
    </xf>
    <xf numFmtId="0" fontId="16" fillId="0" borderId="0" xfId="0" applyFont="1"/>
    <xf numFmtId="4" fontId="16" fillId="0" borderId="0" xfId="0" applyNumberFormat="1" applyFont="1"/>
    <xf numFmtId="1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4" fontId="14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5" fillId="3" borderId="1" xfId="0" applyNumberFormat="1" applyFont="1" applyFill="1" applyBorder="1"/>
    <xf numFmtId="0" fontId="6" fillId="4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wrapText="1"/>
    </xf>
    <xf numFmtId="43" fontId="8" fillId="2" borderId="5" xfId="1" applyFont="1" applyFill="1" applyBorder="1" applyAlignment="1">
      <alignment horizontal="center" vertical="center"/>
    </xf>
    <xf numFmtId="44" fontId="8" fillId="2" borderId="5" xfId="0" quotePrefix="1" applyNumberFormat="1" applyFont="1" applyFill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44" fontId="6" fillId="7" borderId="3" xfId="1" applyNumberFormat="1" applyFont="1" applyFill="1" applyBorder="1" applyAlignment="1">
      <alignment horizontal="center" vertical="center"/>
    </xf>
    <xf numFmtId="44" fontId="8" fillId="7" borderId="4" xfId="0" applyNumberFormat="1" applyFont="1" applyFill="1" applyBorder="1" applyAlignment="1">
      <alignment horizontal="center" vertical="center"/>
    </xf>
    <xf numFmtId="44" fontId="8" fillId="7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wrapText="1"/>
    </xf>
    <xf numFmtId="14" fontId="6" fillId="2" borderId="6" xfId="0" applyNumberFormat="1" applyFont="1" applyFill="1" applyBorder="1" applyAlignment="1">
      <alignment horizontal="center" vertical="center"/>
    </xf>
    <xf numFmtId="44" fontId="10" fillId="0" borderId="3" xfId="0" applyNumberFormat="1" applyFont="1" applyBorder="1"/>
    <xf numFmtId="44" fontId="6" fillId="2" borderId="5" xfId="1" applyNumberFormat="1" applyFont="1" applyFill="1" applyBorder="1" applyAlignment="1">
      <alignment horizontal="center" vertical="center"/>
    </xf>
    <xf numFmtId="44" fontId="10" fillId="0" borderId="4" xfId="0" applyNumberFormat="1" applyFont="1" applyBorder="1"/>
    <xf numFmtId="49" fontId="5" fillId="4" borderId="1" xfId="0" applyNumberFormat="1" applyFont="1" applyFill="1" applyBorder="1"/>
  </cellXfs>
  <cellStyles count="6">
    <cellStyle name="Comma" xfId="1" builtinId="3"/>
    <cellStyle name="GroupedCellStyle" xfId="4" xr:uid="{A0F9C0D9-8925-41A2-9B63-C4A9285855F7}"/>
    <cellStyle name="HeaderCellStyle" xfId="3" xr:uid="{175F0A3E-79E4-4C40-9E24-460B8A366193}"/>
    <cellStyle name="Normal" xfId="0" builtinId="0"/>
    <cellStyle name="Normal 2" xfId="2" xr:uid="{94414356-3FD0-42E0-9C83-2CBC79B4C083}"/>
    <cellStyle name="TotalCellStyle" xfId="5" xr:uid="{B7F19308-3578-4A5C-BA95-5E269A9C8CF5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5" formatCode="_(* #,##0.00_);_(* \(#,##0.00\);_(* &quot;-&quot;??_);_(@_)"/>
    </dxf>
  </dxfs>
  <tableStyles count="1" defaultTableStyle="TableStyleMedium2" defaultPivotStyle="PivotStyleLight16">
    <tableStyle name="Invisible" pivot="0" table="0" count="0" xr9:uid="{80C0978B-4764-458B-B077-609F3ADCBC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2026\Jobs%20Stage%202026\As%20of%20073126.xlsx" TargetMode="External"/><Relationship Id="rId1" Type="http://schemas.openxmlformats.org/officeDocument/2006/relationships/externalLinkPath" Target="2026/Jobs%20Stage%202026/As%20of%200731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ndawindowsdoors-my.sharepoint.com/personal/george_panda-windows_com/Documents/As%20of%2012312025.xlsx" TargetMode="External"/><Relationship Id="rId1" Type="http://schemas.openxmlformats.org/officeDocument/2006/relationships/externalLinkPath" Target="https://pandawindowsdoors-my.sharepoint.com/personal/george_panda-windows_com/Documents/As%20of%201231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rge\Downloads\Invoicing_1781791798.xlsx" TargetMode="External"/><Relationship Id="rId1" Type="http://schemas.openxmlformats.org/officeDocument/2006/relationships/externalLinkPath" Target="file:///C:\Users\george\Downloads\Invoicing_178179179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 26"/>
      <sheetName val="Pre Production"/>
      <sheetName val="Production"/>
      <sheetName val="Completed"/>
    </sheetNames>
    <sheetDataSet>
      <sheetData sheetId="0"/>
      <sheetData sheetId="1">
        <row r="1">
          <cell r="B1" t="str">
            <v>Q Number</v>
          </cell>
          <cell r="C1" t="str">
            <v>Region</v>
          </cell>
          <cell r="D1" t="str">
            <v>Payment Date</v>
          </cell>
          <cell r="E1" t="str">
            <v>Production Start Day</v>
          </cell>
        </row>
        <row r="2">
          <cell r="B2">
            <v>88562</v>
          </cell>
          <cell r="C2" t="str">
            <v>NC-C</v>
          </cell>
          <cell r="D2">
            <v>46091</v>
          </cell>
          <cell r="E2" t="str">
            <v>Pre-Production</v>
          </cell>
        </row>
        <row r="3">
          <cell r="B3">
            <v>88164</v>
          </cell>
          <cell r="C3" t="str">
            <v>CA-C</v>
          </cell>
          <cell r="D3">
            <v>46195</v>
          </cell>
          <cell r="E3" t="str">
            <v>Pre-Production</v>
          </cell>
        </row>
        <row r="4">
          <cell r="B4">
            <v>87616</v>
          </cell>
          <cell r="C4" t="str">
            <v>MD-C</v>
          </cell>
          <cell r="D4">
            <v>46069</v>
          </cell>
          <cell r="E4" t="str">
            <v>Pre-Production</v>
          </cell>
        </row>
        <row r="5">
          <cell r="B5">
            <v>87185</v>
          </cell>
          <cell r="C5" t="str">
            <v>NV-R</v>
          </cell>
          <cell r="D5">
            <v>45995</v>
          </cell>
          <cell r="E5" t="str">
            <v>Pre-Production</v>
          </cell>
        </row>
        <row r="6">
          <cell r="B6">
            <v>88159</v>
          </cell>
          <cell r="C6" t="str">
            <v>CA-C</v>
          </cell>
          <cell r="D6">
            <v>46148</v>
          </cell>
          <cell r="E6" t="str">
            <v>Pre-Production</v>
          </cell>
        </row>
        <row r="7">
          <cell r="B7">
            <v>89869</v>
          </cell>
          <cell r="C7" t="str">
            <v>NV-R</v>
          </cell>
          <cell r="D7">
            <v>46181</v>
          </cell>
          <cell r="E7" t="str">
            <v>Pre-Production</v>
          </cell>
        </row>
        <row r="8">
          <cell r="B8">
            <v>87022</v>
          </cell>
          <cell r="C8" t="str">
            <v>CA-C</v>
          </cell>
          <cell r="D8">
            <v>45981</v>
          </cell>
          <cell r="E8" t="str">
            <v>Pre-Production</v>
          </cell>
        </row>
        <row r="9">
          <cell r="B9">
            <v>89319</v>
          </cell>
          <cell r="C9" t="str">
            <v>OK-R</v>
          </cell>
          <cell r="D9">
            <v>46182</v>
          </cell>
          <cell r="E9" t="str">
            <v>Pre-Production</v>
          </cell>
        </row>
        <row r="10">
          <cell r="B10">
            <v>89197</v>
          </cell>
          <cell r="C10" t="str">
            <v>AZ-R</v>
          </cell>
          <cell r="D10">
            <v>46198</v>
          </cell>
          <cell r="E10" t="str">
            <v>Pre-Production</v>
          </cell>
        </row>
        <row r="11">
          <cell r="B11">
            <v>89792</v>
          </cell>
          <cell r="C11" t="str">
            <v>CA-R</v>
          </cell>
          <cell r="D11">
            <v>46140</v>
          </cell>
          <cell r="E11" t="str">
            <v>Pre-Production</v>
          </cell>
        </row>
        <row r="12">
          <cell r="B12">
            <v>89873</v>
          </cell>
          <cell r="C12" t="str">
            <v>CA-R</v>
          </cell>
          <cell r="D12">
            <v>46168</v>
          </cell>
          <cell r="E12" t="str">
            <v>Pre-Production</v>
          </cell>
        </row>
        <row r="13">
          <cell r="B13">
            <v>89607</v>
          </cell>
          <cell r="C13" t="str">
            <v>NV-C</v>
          </cell>
          <cell r="D13">
            <v>46126</v>
          </cell>
          <cell r="E13" t="str">
            <v>Pre-Production</v>
          </cell>
        </row>
        <row r="14">
          <cell r="B14">
            <v>84966</v>
          </cell>
          <cell r="C14" t="str">
            <v>CA-C</v>
          </cell>
          <cell r="D14">
            <v>46099</v>
          </cell>
          <cell r="E14" t="str">
            <v>Pre-Production</v>
          </cell>
        </row>
        <row r="15">
          <cell r="B15" t="str">
            <v>Unknown</v>
          </cell>
          <cell r="C15"/>
          <cell r="D15">
            <v>44712</v>
          </cell>
          <cell r="E15" t="str">
            <v>Pre-Production</v>
          </cell>
        </row>
        <row r="16">
          <cell r="B16">
            <v>88845</v>
          </cell>
          <cell r="C16" t="str">
            <v>CA-C</v>
          </cell>
          <cell r="D16">
            <v>46115</v>
          </cell>
          <cell r="E16" t="str">
            <v>Pre-Production</v>
          </cell>
        </row>
        <row r="17">
          <cell r="B17">
            <v>89254</v>
          </cell>
          <cell r="C17" t="str">
            <v>GA-R</v>
          </cell>
          <cell r="D17">
            <v>46142</v>
          </cell>
          <cell r="E17" t="str">
            <v>Pre-Production</v>
          </cell>
        </row>
        <row r="18">
          <cell r="B18">
            <v>83108</v>
          </cell>
          <cell r="C18" t="str">
            <v>MI-C</v>
          </cell>
          <cell r="D18">
            <v>45764</v>
          </cell>
          <cell r="E18" t="str">
            <v>Pre-Production</v>
          </cell>
        </row>
        <row r="19">
          <cell r="B19">
            <v>85777</v>
          </cell>
          <cell r="C19" t="str">
            <v>NJ-R</v>
          </cell>
          <cell r="D19">
            <v>46093</v>
          </cell>
          <cell r="E19" t="str">
            <v>Pre-Production</v>
          </cell>
        </row>
        <row r="20">
          <cell r="B20">
            <v>88756</v>
          </cell>
          <cell r="C20" t="str">
            <v>CA-R</v>
          </cell>
          <cell r="D20">
            <v>46092</v>
          </cell>
          <cell r="E20" t="str">
            <v>Pre-Production</v>
          </cell>
        </row>
        <row r="21">
          <cell r="B21">
            <v>85504</v>
          </cell>
          <cell r="C21" t="str">
            <v>CO-C</v>
          </cell>
          <cell r="D21">
            <v>46100</v>
          </cell>
          <cell r="E21" t="str">
            <v>Pre-Production</v>
          </cell>
        </row>
        <row r="22">
          <cell r="B22">
            <v>90706</v>
          </cell>
          <cell r="C22" t="str">
            <v>CA-C</v>
          </cell>
          <cell r="D22">
            <v>46181</v>
          </cell>
          <cell r="E22" t="str">
            <v>Pre-Production</v>
          </cell>
        </row>
        <row r="23">
          <cell r="B23">
            <v>84161</v>
          </cell>
          <cell r="C23" t="str">
            <v>MI-C</v>
          </cell>
          <cell r="D23">
            <v>46013</v>
          </cell>
          <cell r="E23" t="str">
            <v>Pre-Production</v>
          </cell>
        </row>
        <row r="24">
          <cell r="B24" t="str">
            <v>81492-R1</v>
          </cell>
          <cell r="C24" t="str">
            <v>MI-C</v>
          </cell>
          <cell r="D24">
            <v>45868</v>
          </cell>
          <cell r="E24" t="str">
            <v>Pre-Production</v>
          </cell>
        </row>
        <row r="25">
          <cell r="B25">
            <v>87492</v>
          </cell>
          <cell r="C25" t="str">
            <v>MN-R</v>
          </cell>
          <cell r="D25">
            <v>46063</v>
          </cell>
          <cell r="E25" t="str">
            <v>Pre-Production</v>
          </cell>
        </row>
        <row r="26">
          <cell r="B26">
            <v>89539</v>
          </cell>
          <cell r="C26" t="str">
            <v>CA-C</v>
          </cell>
          <cell r="D26">
            <v>46170</v>
          </cell>
          <cell r="E26" t="str">
            <v>Pre-Production</v>
          </cell>
        </row>
        <row r="27">
          <cell r="B27">
            <v>88012</v>
          </cell>
          <cell r="C27" t="str">
            <v>VA-C</v>
          </cell>
          <cell r="D27">
            <v>46086</v>
          </cell>
          <cell r="E27" t="str">
            <v>Pre-Production</v>
          </cell>
        </row>
        <row r="28">
          <cell r="B28">
            <v>90930</v>
          </cell>
          <cell r="C28" t="str">
            <v>TX-R</v>
          </cell>
          <cell r="D28">
            <v>46163</v>
          </cell>
          <cell r="E28" t="str">
            <v>Pre-Production</v>
          </cell>
        </row>
        <row r="29">
          <cell r="B29">
            <v>89287</v>
          </cell>
          <cell r="C29" t="str">
            <v>WA-C</v>
          </cell>
          <cell r="D29">
            <v>46113</v>
          </cell>
          <cell r="E29" t="str">
            <v>Pre-Production</v>
          </cell>
        </row>
        <row r="30">
          <cell r="B30">
            <v>89541</v>
          </cell>
          <cell r="C30" t="str">
            <v>CO-C</v>
          </cell>
          <cell r="D30">
            <v>46185</v>
          </cell>
          <cell r="E30" t="str">
            <v>Pre-Production</v>
          </cell>
        </row>
        <row r="31">
          <cell r="B31">
            <v>87391</v>
          </cell>
          <cell r="C31" t="str">
            <v>FL-R</v>
          </cell>
          <cell r="D31">
            <v>46168</v>
          </cell>
          <cell r="E31" t="str">
            <v>Pre-Production</v>
          </cell>
        </row>
        <row r="32">
          <cell r="B32">
            <v>86579</v>
          </cell>
          <cell r="C32" t="str">
            <v>CA-R</v>
          </cell>
          <cell r="D32">
            <v>46188</v>
          </cell>
          <cell r="E32" t="str">
            <v>Pre-Production</v>
          </cell>
        </row>
        <row r="33">
          <cell r="B33">
            <v>89168</v>
          </cell>
          <cell r="C33" t="str">
            <v>CA-R</v>
          </cell>
          <cell r="D33">
            <v>46136</v>
          </cell>
          <cell r="E33" t="str">
            <v>Pre-Production</v>
          </cell>
        </row>
        <row r="34">
          <cell r="B34">
            <v>89722</v>
          </cell>
          <cell r="C34" t="str">
            <v>OH-R</v>
          </cell>
          <cell r="D34">
            <v>46120</v>
          </cell>
          <cell r="E34" t="str">
            <v>Pre-Production</v>
          </cell>
        </row>
        <row r="35">
          <cell r="B35">
            <v>86092</v>
          </cell>
          <cell r="C35" t="str">
            <v>CA-R</v>
          </cell>
          <cell r="D35">
            <v>46120</v>
          </cell>
          <cell r="E35" t="str">
            <v>Pre-Production</v>
          </cell>
        </row>
        <row r="36">
          <cell r="B36">
            <v>88266</v>
          </cell>
          <cell r="C36" t="str">
            <v>HI-R</v>
          </cell>
          <cell r="D36">
            <v>46188</v>
          </cell>
          <cell r="E36" t="str">
            <v>Pre-Production</v>
          </cell>
        </row>
        <row r="37">
          <cell r="B37">
            <v>78503</v>
          </cell>
          <cell r="C37" t="str">
            <v>NY-R</v>
          </cell>
          <cell r="D37">
            <v>45825</v>
          </cell>
          <cell r="E37" t="str">
            <v>Pre-Production</v>
          </cell>
        </row>
        <row r="38">
          <cell r="B38">
            <v>90032</v>
          </cell>
          <cell r="C38" t="str">
            <v>PA-C</v>
          </cell>
          <cell r="D38">
            <v>46150</v>
          </cell>
          <cell r="E38" t="str">
            <v>Pre-Production</v>
          </cell>
        </row>
        <row r="39">
          <cell r="B39">
            <v>90364</v>
          </cell>
          <cell r="C39" t="str">
            <v>CO-R</v>
          </cell>
          <cell r="D39">
            <v>46181</v>
          </cell>
          <cell r="E39" t="str">
            <v>Pre-Production</v>
          </cell>
        </row>
        <row r="40">
          <cell r="B40">
            <v>88971</v>
          </cell>
          <cell r="C40" t="str">
            <v>TX-C</v>
          </cell>
          <cell r="D40">
            <v>46202</v>
          </cell>
          <cell r="E40" t="str">
            <v>Pre-Production</v>
          </cell>
        </row>
        <row r="41">
          <cell r="B41">
            <v>88804</v>
          </cell>
          <cell r="C41" t="str">
            <v>CA-R</v>
          </cell>
          <cell r="D41">
            <v>46189</v>
          </cell>
          <cell r="E41" t="str">
            <v>Pre-Production</v>
          </cell>
        </row>
        <row r="42">
          <cell r="B42">
            <v>91004</v>
          </cell>
          <cell r="C42" t="str">
            <v>CA-C</v>
          </cell>
          <cell r="D42">
            <v>46182</v>
          </cell>
          <cell r="E42" t="str">
            <v>Pre-Production</v>
          </cell>
        </row>
        <row r="43">
          <cell r="B43">
            <v>80858</v>
          </cell>
          <cell r="C43" t="str">
            <v>IL-C</v>
          </cell>
          <cell r="D43">
            <v>45987</v>
          </cell>
          <cell r="E43" t="str">
            <v>Pre-Production</v>
          </cell>
        </row>
        <row r="44">
          <cell r="B44">
            <v>89558</v>
          </cell>
          <cell r="C44" t="str">
            <v>FL-R</v>
          </cell>
          <cell r="D44">
            <v>46203</v>
          </cell>
          <cell r="E44" t="str">
            <v>Pre-Production</v>
          </cell>
        </row>
        <row r="45">
          <cell r="B45">
            <v>86208</v>
          </cell>
          <cell r="C45" t="str">
            <v>CO-C</v>
          </cell>
          <cell r="D45">
            <v>46143</v>
          </cell>
          <cell r="E45" t="str">
            <v>Pre-Production</v>
          </cell>
        </row>
        <row r="46">
          <cell r="B46">
            <v>89295</v>
          </cell>
          <cell r="C46" t="str">
            <v>NV-R</v>
          </cell>
          <cell r="D46">
            <v>46127</v>
          </cell>
          <cell r="E46" t="str">
            <v>Pre-Production</v>
          </cell>
        </row>
        <row r="47">
          <cell r="B47">
            <v>88850</v>
          </cell>
          <cell r="C47" t="str">
            <v>CA-C</v>
          </cell>
          <cell r="D47">
            <v>46115</v>
          </cell>
          <cell r="E47" t="str">
            <v>Pre-Production</v>
          </cell>
        </row>
        <row r="48">
          <cell r="B48">
            <v>87536</v>
          </cell>
          <cell r="C48" t="str">
            <v>OK-C</v>
          </cell>
          <cell r="D48">
            <v>46190</v>
          </cell>
          <cell r="E48" t="str">
            <v>Pre-Production</v>
          </cell>
        </row>
        <row r="49">
          <cell r="B49">
            <v>90985</v>
          </cell>
          <cell r="C49" t="str">
            <v>CA-C</v>
          </cell>
          <cell r="D49">
            <v>46177</v>
          </cell>
          <cell r="E49" t="str">
            <v>Pre-Production</v>
          </cell>
        </row>
        <row r="50">
          <cell r="B50">
            <v>89071</v>
          </cell>
          <cell r="C50" t="str">
            <v>OR-R</v>
          </cell>
          <cell r="D50">
            <v>46199</v>
          </cell>
          <cell r="E50" t="str">
            <v>Pre-Production</v>
          </cell>
        </row>
        <row r="51">
          <cell r="B51">
            <v>90293</v>
          </cell>
          <cell r="C51" t="str">
            <v>IL-C</v>
          </cell>
          <cell r="D51">
            <v>46160</v>
          </cell>
          <cell r="E51" t="str">
            <v>Pre-Production</v>
          </cell>
        </row>
        <row r="52">
          <cell r="B52">
            <v>88063</v>
          </cell>
          <cell r="C52" t="str">
            <v>CA-R</v>
          </cell>
          <cell r="D52">
            <v>46169</v>
          </cell>
          <cell r="E52" t="str">
            <v>Pre-Production</v>
          </cell>
        </row>
        <row r="53">
          <cell r="B53">
            <v>90567</v>
          </cell>
          <cell r="C53" t="str">
            <v>CA-R</v>
          </cell>
          <cell r="D53">
            <v>46198</v>
          </cell>
          <cell r="E53" t="str">
            <v>Pre-Production</v>
          </cell>
        </row>
        <row r="54">
          <cell r="B54">
            <v>90741</v>
          </cell>
          <cell r="C54" t="str">
            <v>CA-R</v>
          </cell>
          <cell r="D54">
            <v>46168</v>
          </cell>
          <cell r="E54" t="str">
            <v>Pre-Production</v>
          </cell>
        </row>
        <row r="55">
          <cell r="B55">
            <v>86062</v>
          </cell>
          <cell r="C55" t="str">
            <v>WA-R</v>
          </cell>
          <cell r="D55">
            <v>46181</v>
          </cell>
          <cell r="E55" t="str">
            <v>Pre-Production</v>
          </cell>
        </row>
        <row r="56">
          <cell r="B56">
            <v>86334</v>
          </cell>
          <cell r="C56" t="str">
            <v>CA-R</v>
          </cell>
          <cell r="D56">
            <v>45890</v>
          </cell>
          <cell r="E56" t="str">
            <v>Pre-Production</v>
          </cell>
        </row>
        <row r="57">
          <cell r="B57">
            <v>87599</v>
          </cell>
          <cell r="C57" t="str">
            <v>NV-C</v>
          </cell>
          <cell r="D57">
            <v>46080</v>
          </cell>
          <cell r="E57" t="str">
            <v>Pre-Production</v>
          </cell>
        </row>
        <row r="58">
          <cell r="B58">
            <v>87059</v>
          </cell>
          <cell r="C58" t="str">
            <v>CA-C</v>
          </cell>
          <cell r="D58">
            <v>46188</v>
          </cell>
          <cell r="E58" t="str">
            <v>Pre-Production</v>
          </cell>
        </row>
        <row r="59">
          <cell r="B59">
            <v>88512</v>
          </cell>
          <cell r="C59" t="str">
            <v>CA-C</v>
          </cell>
          <cell r="D59">
            <v>46171</v>
          </cell>
          <cell r="E59" t="str">
            <v>Pre-Production</v>
          </cell>
        </row>
        <row r="60">
          <cell r="B60">
            <v>86157</v>
          </cell>
          <cell r="C60" t="str">
            <v>CA-R</v>
          </cell>
          <cell r="D60">
            <v>46101</v>
          </cell>
          <cell r="E60" t="str">
            <v>Pre-Production</v>
          </cell>
        </row>
        <row r="61">
          <cell r="B61">
            <v>86089</v>
          </cell>
          <cell r="C61" t="str">
            <v>CA-R</v>
          </cell>
          <cell r="D61">
            <v>46038</v>
          </cell>
          <cell r="E61" t="str">
            <v>Pre-Production</v>
          </cell>
        </row>
        <row r="62">
          <cell r="B62">
            <v>87805</v>
          </cell>
          <cell r="C62" t="str">
            <v>TX-C</v>
          </cell>
          <cell r="D62">
            <v>46065</v>
          </cell>
          <cell r="E62" t="str">
            <v>Pre-Production</v>
          </cell>
        </row>
        <row r="63">
          <cell r="B63">
            <v>85860</v>
          </cell>
          <cell r="C63" t="str">
            <v>CO-C</v>
          </cell>
          <cell r="D63">
            <v>45826</v>
          </cell>
          <cell r="E63" t="str">
            <v>Pre-Production</v>
          </cell>
        </row>
        <row r="64">
          <cell r="B64">
            <v>88397</v>
          </cell>
          <cell r="C64" t="str">
            <v>FL-R</v>
          </cell>
          <cell r="D64">
            <v>46062</v>
          </cell>
          <cell r="E64" t="str">
            <v>Pre-Production</v>
          </cell>
        </row>
        <row r="65">
          <cell r="B65">
            <v>90359</v>
          </cell>
          <cell r="C65" t="str">
            <v>NV-R</v>
          </cell>
          <cell r="D65" t="str">
            <v>05/15/2026</v>
          </cell>
          <cell r="E65" t="str">
            <v>Pre-Production</v>
          </cell>
        </row>
        <row r="66">
          <cell r="B66">
            <v>84246</v>
          </cell>
          <cell r="C66" t="str">
            <v>NV-R</v>
          </cell>
          <cell r="D66">
            <v>45995</v>
          </cell>
          <cell r="E66" t="str">
            <v>Pre-Production</v>
          </cell>
        </row>
        <row r="67">
          <cell r="B67">
            <v>87450</v>
          </cell>
          <cell r="C67" t="str">
            <v>MA-R</v>
          </cell>
          <cell r="D67">
            <v>46073</v>
          </cell>
          <cell r="E67" t="str">
            <v>Pre-Production</v>
          </cell>
        </row>
        <row r="68">
          <cell r="B68">
            <v>86704</v>
          </cell>
          <cell r="C68" t="str">
            <v>TX-C</v>
          </cell>
          <cell r="D68">
            <v>46076</v>
          </cell>
          <cell r="E68" t="str">
            <v>Pre-Production</v>
          </cell>
        </row>
        <row r="69">
          <cell r="B69">
            <v>87035</v>
          </cell>
          <cell r="C69" t="str">
            <v>CA-C</v>
          </cell>
          <cell r="D69">
            <v>46182</v>
          </cell>
          <cell r="E69" t="str">
            <v>Pre-Production</v>
          </cell>
        </row>
        <row r="70">
          <cell r="B70">
            <v>91262</v>
          </cell>
          <cell r="C70" t="str">
            <v>NV-C</v>
          </cell>
          <cell r="D70">
            <v>46204</v>
          </cell>
          <cell r="E70" t="str">
            <v>Pre-Production</v>
          </cell>
        </row>
        <row r="71">
          <cell r="B71">
            <v>91224</v>
          </cell>
          <cell r="C71" t="str">
            <v>CA-R</v>
          </cell>
          <cell r="D71">
            <v>46206</v>
          </cell>
          <cell r="E71" t="str">
            <v>Pre-Production</v>
          </cell>
        </row>
        <row r="72">
          <cell r="B72">
            <v>90719</v>
          </cell>
          <cell r="C72" t="str">
            <v>WA-C</v>
          </cell>
          <cell r="D72">
            <v>46206</v>
          </cell>
          <cell r="E72" t="str">
            <v>Pre-Production</v>
          </cell>
        </row>
        <row r="73">
          <cell r="B73">
            <v>91559</v>
          </cell>
          <cell r="C73" t="str">
            <v>NV-R</v>
          </cell>
          <cell r="D73">
            <v>46210</v>
          </cell>
          <cell r="E73" t="str">
            <v>Pre-Production</v>
          </cell>
        </row>
        <row r="74">
          <cell r="B74">
            <v>89522</v>
          </cell>
          <cell r="C74" t="str">
            <v>CA-C</v>
          </cell>
          <cell r="D74">
            <v>46210</v>
          </cell>
          <cell r="E74" t="str">
            <v>Pre-Production</v>
          </cell>
        </row>
        <row r="75">
          <cell r="B75">
            <v>91258</v>
          </cell>
          <cell r="C75" t="str">
            <v>NV-R</v>
          </cell>
          <cell r="D75">
            <v>46210</v>
          </cell>
          <cell r="E75" t="str">
            <v>Pre-Production</v>
          </cell>
        </row>
        <row r="76">
          <cell r="B76">
            <v>91029</v>
          </cell>
          <cell r="C76" t="str">
            <v>TX-R</v>
          </cell>
          <cell r="D76">
            <v>46210</v>
          </cell>
          <cell r="E76" t="str">
            <v>Pre-Production</v>
          </cell>
        </row>
        <row r="77">
          <cell r="B77">
            <v>91599</v>
          </cell>
          <cell r="C77" t="str">
            <v>CA-R</v>
          </cell>
          <cell r="D77">
            <v>46213</v>
          </cell>
          <cell r="E77" t="str">
            <v>Pre-Production</v>
          </cell>
        </row>
        <row r="78">
          <cell r="B78">
            <v>90916</v>
          </cell>
          <cell r="C78" t="str">
            <v>CA-C</v>
          </cell>
          <cell r="D78">
            <v>46216</v>
          </cell>
          <cell r="E78" t="str">
            <v>Pre-Production</v>
          </cell>
        </row>
        <row r="79">
          <cell r="B79">
            <v>87583</v>
          </cell>
          <cell r="C79" t="str">
            <v>CA-R</v>
          </cell>
          <cell r="D79">
            <v>46217</v>
          </cell>
          <cell r="E79" t="str">
            <v>Pre-Production</v>
          </cell>
        </row>
        <row r="80">
          <cell r="B80">
            <v>88593</v>
          </cell>
          <cell r="C80" t="str">
            <v>TX-C</v>
          </cell>
          <cell r="D80">
            <v>46218</v>
          </cell>
          <cell r="E80" t="str">
            <v>Pre-Production</v>
          </cell>
        </row>
        <row r="81">
          <cell r="B81">
            <v>91574</v>
          </cell>
          <cell r="C81" t="str">
            <v>NV-R</v>
          </cell>
          <cell r="D81">
            <v>46218</v>
          </cell>
          <cell r="E81" t="str">
            <v>Pre-Production</v>
          </cell>
        </row>
        <row r="82">
          <cell r="B82">
            <v>90986</v>
          </cell>
          <cell r="C82" t="str">
            <v>NV-R</v>
          </cell>
          <cell r="D82">
            <v>46218</v>
          </cell>
          <cell r="E82" t="str">
            <v>Pre-Production</v>
          </cell>
        </row>
        <row r="83">
          <cell r="B83">
            <v>91743</v>
          </cell>
          <cell r="C83" t="str">
            <v>TX-R</v>
          </cell>
          <cell r="D83">
            <v>46220</v>
          </cell>
          <cell r="E83" t="str">
            <v>Pre-Production</v>
          </cell>
        </row>
        <row r="84">
          <cell r="B84">
            <v>89863</v>
          </cell>
          <cell r="C84" t="str">
            <v>CO-R</v>
          </cell>
          <cell r="D84">
            <v>46223</v>
          </cell>
          <cell r="E84" t="str">
            <v>Pre-Production</v>
          </cell>
        </row>
        <row r="85">
          <cell r="B85">
            <v>89725</v>
          </cell>
          <cell r="C85" t="str">
            <v>NV-R</v>
          </cell>
          <cell r="D85">
            <v>46223</v>
          </cell>
          <cell r="E85" t="str">
            <v>Pre-Production</v>
          </cell>
        </row>
        <row r="86">
          <cell r="B86">
            <v>91679</v>
          </cell>
          <cell r="C86" t="str">
            <v>CA-R</v>
          </cell>
          <cell r="D86">
            <v>46224</v>
          </cell>
          <cell r="E86" t="str">
            <v>Pre-Production</v>
          </cell>
        </row>
        <row r="87">
          <cell r="B87">
            <v>91704</v>
          </cell>
          <cell r="C87" t="str">
            <v>SC-C</v>
          </cell>
          <cell r="D87">
            <v>46225</v>
          </cell>
          <cell r="E87" t="str">
            <v>Pre-Production</v>
          </cell>
        </row>
        <row r="88">
          <cell r="B88">
            <v>90366</v>
          </cell>
          <cell r="C88" t="str">
            <v>AZ-C</v>
          </cell>
          <cell r="D88">
            <v>46225</v>
          </cell>
          <cell r="E88" t="str">
            <v>Pre-Production</v>
          </cell>
        </row>
        <row r="89">
          <cell r="B89">
            <v>91192</v>
          </cell>
          <cell r="C89" t="str">
            <v>USVI-R</v>
          </cell>
          <cell r="D89">
            <v>46226</v>
          </cell>
          <cell r="E89" t="str">
            <v>Pre-Production</v>
          </cell>
        </row>
        <row r="90">
          <cell r="B90">
            <v>87176</v>
          </cell>
          <cell r="C90" t="str">
            <v>NM-C</v>
          </cell>
          <cell r="D90">
            <v>46227</v>
          </cell>
          <cell r="E90" t="str">
            <v>Pre-Production</v>
          </cell>
        </row>
        <row r="91">
          <cell r="B91">
            <v>91539</v>
          </cell>
          <cell r="C91" t="str">
            <v>AZ-R</v>
          </cell>
          <cell r="D91">
            <v>46227</v>
          </cell>
          <cell r="E91" t="str">
            <v>Pre-Production</v>
          </cell>
        </row>
        <row r="92">
          <cell r="B92">
            <v>87546</v>
          </cell>
          <cell r="C92" t="str">
            <v>TX-C</v>
          </cell>
          <cell r="D92">
            <v>46230</v>
          </cell>
          <cell r="E92" t="str">
            <v>Pre-Production</v>
          </cell>
        </row>
        <row r="93">
          <cell r="B93">
            <v>90333</v>
          </cell>
          <cell r="C93" t="str">
            <v>OK-C</v>
          </cell>
          <cell r="D93">
            <v>46230</v>
          </cell>
          <cell r="E93" t="str">
            <v>Pre-Production</v>
          </cell>
        </row>
        <row r="94">
          <cell r="B94">
            <v>91313</v>
          </cell>
          <cell r="C94" t="str">
            <v>AZ-R</v>
          </cell>
          <cell r="D94">
            <v>46230</v>
          </cell>
          <cell r="E94" t="str">
            <v>Pre-Production</v>
          </cell>
        </row>
        <row r="95">
          <cell r="B95">
            <v>91449</v>
          </cell>
          <cell r="C95" t="str">
            <v>CA-R</v>
          </cell>
          <cell r="D95">
            <v>46230</v>
          </cell>
          <cell r="E95" t="str">
            <v>Pre-Production</v>
          </cell>
        </row>
        <row r="96">
          <cell r="B96">
            <v>91495</v>
          </cell>
          <cell r="C96" t="str">
            <v>GA-R</v>
          </cell>
          <cell r="D96">
            <v>46231</v>
          </cell>
          <cell r="E96" t="str">
            <v>Pre-Production</v>
          </cell>
        </row>
        <row r="97">
          <cell r="B97">
            <v>91683</v>
          </cell>
          <cell r="C97" t="str">
            <v>CA-R</v>
          </cell>
          <cell r="D97">
            <v>46231</v>
          </cell>
          <cell r="E97" t="str">
            <v>Pre-Production</v>
          </cell>
        </row>
        <row r="98">
          <cell r="B98">
            <v>85687</v>
          </cell>
          <cell r="C98" t="str">
            <v>CO-R</v>
          </cell>
          <cell r="D98">
            <v>46231</v>
          </cell>
          <cell r="E98" t="str">
            <v>Pre-Production</v>
          </cell>
        </row>
        <row r="99">
          <cell r="B99">
            <v>91560</v>
          </cell>
          <cell r="C99" t="str">
            <v>NV-R</v>
          </cell>
          <cell r="D99">
            <v>46232</v>
          </cell>
          <cell r="E99" t="str">
            <v>Pre-Production</v>
          </cell>
        </row>
        <row r="100">
          <cell r="B100">
            <v>90548</v>
          </cell>
          <cell r="C100" t="str">
            <v>NV-R</v>
          </cell>
          <cell r="D100">
            <v>46232</v>
          </cell>
          <cell r="E100" t="str">
            <v>Pre-Production</v>
          </cell>
        </row>
        <row r="101">
          <cell r="B101">
            <v>90324</v>
          </cell>
          <cell r="C101" t="str">
            <v>FL-R</v>
          </cell>
          <cell r="D101">
            <v>46233</v>
          </cell>
          <cell r="E101" t="str">
            <v>Pre-Production</v>
          </cell>
        </row>
        <row r="102">
          <cell r="B102">
            <v>91860</v>
          </cell>
          <cell r="C102" t="str">
            <v>NV-R</v>
          </cell>
          <cell r="D102">
            <v>46233</v>
          </cell>
          <cell r="E102" t="str">
            <v>Pre-Production</v>
          </cell>
        </row>
        <row r="103">
          <cell r="B103"/>
          <cell r="C103"/>
          <cell r="D103"/>
          <cell r="E103"/>
        </row>
        <row r="104">
          <cell r="B104"/>
          <cell r="C104" t="str">
            <v>.</v>
          </cell>
          <cell r="D104" t="str">
            <v>Total</v>
          </cell>
          <cell r="E104"/>
        </row>
      </sheetData>
      <sheetData sheetId="2">
        <row r="1">
          <cell r="B1" t="str">
            <v>Q Number</v>
          </cell>
          <cell r="C1" t="str">
            <v>Region</v>
          </cell>
          <cell r="D1" t="str">
            <v>Payment Date</v>
          </cell>
          <cell r="E1" t="str">
            <v>Production Start Day</v>
          </cell>
          <cell r="F1" t="str">
            <v>Stage</v>
          </cell>
        </row>
        <row r="2">
          <cell r="B2">
            <v>89155</v>
          </cell>
          <cell r="C2" t="str">
            <v>CA-R</v>
          </cell>
          <cell r="D2">
            <v>46209</v>
          </cell>
          <cell r="E2">
            <v>46220</v>
          </cell>
          <cell r="F2" t="str">
            <v>Cutting</v>
          </cell>
        </row>
        <row r="3">
          <cell r="B3">
            <v>89731</v>
          </cell>
          <cell r="C3" t="str">
            <v>CA-R</v>
          </cell>
          <cell r="D3">
            <v>46147</v>
          </cell>
          <cell r="E3">
            <v>46216</v>
          </cell>
          <cell r="F3" t="str">
            <v>Assembly</v>
          </cell>
        </row>
        <row r="4">
          <cell r="B4">
            <v>88674</v>
          </cell>
          <cell r="C4" t="str">
            <v>HI-R</v>
          </cell>
          <cell r="D4">
            <v>46055</v>
          </cell>
          <cell r="E4">
            <v>46132</v>
          </cell>
          <cell r="F4" t="str">
            <v>Assembly</v>
          </cell>
        </row>
        <row r="5">
          <cell r="B5">
            <v>85791</v>
          </cell>
          <cell r="C5" t="str">
            <v>CA-R</v>
          </cell>
          <cell r="D5">
            <v>45959</v>
          </cell>
          <cell r="E5">
            <v>46206</v>
          </cell>
          <cell r="F5" t="str">
            <v>Powder Coat</v>
          </cell>
        </row>
        <row r="6">
          <cell r="B6">
            <v>90329</v>
          </cell>
          <cell r="C6" t="str">
            <v>CA-R</v>
          </cell>
          <cell r="D6" t="str">
            <v>05/14/2026</v>
          </cell>
          <cell r="E6">
            <v>46191</v>
          </cell>
          <cell r="F6" t="str">
            <v>Assembly</v>
          </cell>
        </row>
        <row r="7">
          <cell r="B7">
            <v>83690</v>
          </cell>
          <cell r="C7" t="str">
            <v>CA-R</v>
          </cell>
          <cell r="D7">
            <v>45959</v>
          </cell>
          <cell r="E7">
            <v>46206</v>
          </cell>
          <cell r="F7" t="str">
            <v>Cutting</v>
          </cell>
        </row>
        <row r="8">
          <cell r="B8">
            <v>88510</v>
          </cell>
          <cell r="C8" t="str">
            <v>CA-R</v>
          </cell>
          <cell r="D8">
            <v>46181</v>
          </cell>
          <cell r="E8">
            <v>46212</v>
          </cell>
          <cell r="F8" t="str">
            <v>Cutting</v>
          </cell>
        </row>
        <row r="9">
          <cell r="B9">
            <v>90207</v>
          </cell>
          <cell r="C9" t="str">
            <v>CA-R</v>
          </cell>
          <cell r="D9">
            <v>46168</v>
          </cell>
          <cell r="E9">
            <v>46224</v>
          </cell>
          <cell r="F9" t="str">
            <v>Cutting</v>
          </cell>
        </row>
        <row r="10">
          <cell r="B10">
            <v>91001</v>
          </cell>
          <cell r="C10" t="str">
            <v>UT-R</v>
          </cell>
          <cell r="D10">
            <v>46175</v>
          </cell>
          <cell r="E10">
            <v>46198</v>
          </cell>
          <cell r="F10" t="str">
            <v>Assembly</v>
          </cell>
        </row>
        <row r="11">
          <cell r="B11">
            <v>90923</v>
          </cell>
          <cell r="C11" t="str">
            <v>NV-R</v>
          </cell>
          <cell r="D11">
            <v>46160</v>
          </cell>
          <cell r="E11">
            <v>46206</v>
          </cell>
          <cell r="F11" t="str">
            <v>Assembly</v>
          </cell>
        </row>
        <row r="12">
          <cell r="B12">
            <v>91153</v>
          </cell>
          <cell r="C12" t="str">
            <v>TX-R</v>
          </cell>
          <cell r="D12">
            <v>46217</v>
          </cell>
          <cell r="E12">
            <v>46232</v>
          </cell>
          <cell r="F12" t="str">
            <v>Pull Material</v>
          </cell>
        </row>
        <row r="13">
          <cell r="B13">
            <v>89296</v>
          </cell>
          <cell r="C13" t="str">
            <v>AR-R</v>
          </cell>
          <cell r="D13">
            <v>46100</v>
          </cell>
          <cell r="E13">
            <v>46162</v>
          </cell>
          <cell r="F13" t="str">
            <v>Assembly</v>
          </cell>
        </row>
        <row r="14">
          <cell r="B14">
            <v>88868</v>
          </cell>
          <cell r="C14" t="str">
            <v>IL-R</v>
          </cell>
          <cell r="D14">
            <v>46059</v>
          </cell>
          <cell r="E14">
            <v>46181</v>
          </cell>
          <cell r="F14" t="str">
            <v>Coating</v>
          </cell>
        </row>
        <row r="15">
          <cell r="B15">
            <v>89829</v>
          </cell>
          <cell r="C15" t="str">
            <v>NV-C</v>
          </cell>
          <cell r="D15">
            <v>46134</v>
          </cell>
          <cell r="E15">
            <v>46183</v>
          </cell>
          <cell r="F15" t="str">
            <v>Coating</v>
          </cell>
        </row>
        <row r="16">
          <cell r="B16">
            <v>91035</v>
          </cell>
          <cell r="C16" t="str">
            <v>CA-C</v>
          </cell>
          <cell r="D16">
            <v>46169</v>
          </cell>
          <cell r="E16">
            <v>46217</v>
          </cell>
          <cell r="F16" t="str">
            <v>Assembly</v>
          </cell>
        </row>
        <row r="17">
          <cell r="B17">
            <v>90388</v>
          </cell>
          <cell r="C17" t="str">
            <v>FL-C</v>
          </cell>
          <cell r="D17">
            <v>46140</v>
          </cell>
          <cell r="E17">
            <v>46219</v>
          </cell>
          <cell r="F17" t="str">
            <v>Powder Coat</v>
          </cell>
        </row>
        <row r="18">
          <cell r="B18">
            <v>90595</v>
          </cell>
          <cell r="C18" t="str">
            <v>NV-R</v>
          </cell>
          <cell r="D18">
            <v>46195</v>
          </cell>
          <cell r="E18">
            <v>46175</v>
          </cell>
          <cell r="F18" t="str">
            <v>Test Wall</v>
          </cell>
        </row>
        <row r="19">
          <cell r="B19">
            <v>90600</v>
          </cell>
          <cell r="C19" t="str">
            <v>NV-R</v>
          </cell>
          <cell r="D19" t="str">
            <v>05/15/2026</v>
          </cell>
          <cell r="E19">
            <v>46189</v>
          </cell>
          <cell r="F19" t="str">
            <v>Assembly</v>
          </cell>
        </row>
        <row r="20">
          <cell r="B20">
            <v>90858</v>
          </cell>
          <cell r="C20" t="str">
            <v>CA-R</v>
          </cell>
          <cell r="D20">
            <v>46185</v>
          </cell>
          <cell r="E20">
            <v>46204</v>
          </cell>
          <cell r="F20" t="str">
            <v>Assembly</v>
          </cell>
        </row>
        <row r="21">
          <cell r="B21">
            <v>90442</v>
          </cell>
          <cell r="C21" t="str">
            <v>CA-R</v>
          </cell>
          <cell r="D21">
            <v>46181</v>
          </cell>
          <cell r="E21">
            <v>46232</v>
          </cell>
          <cell r="F21" t="str">
            <v>Pull Material</v>
          </cell>
        </row>
        <row r="22">
          <cell r="B22">
            <v>83729</v>
          </cell>
          <cell r="C22" t="str">
            <v>CA-R</v>
          </cell>
          <cell r="D22">
            <v>46028</v>
          </cell>
          <cell r="E22">
            <v>46155</v>
          </cell>
          <cell r="F22" t="str">
            <v>Assembly</v>
          </cell>
        </row>
        <row r="23">
          <cell r="B23">
            <v>90853</v>
          </cell>
          <cell r="C23" t="str">
            <v>TX-R</v>
          </cell>
          <cell r="D23">
            <v>46177</v>
          </cell>
          <cell r="E23">
            <v>46202</v>
          </cell>
          <cell r="F23" t="str">
            <v>Assembly</v>
          </cell>
        </row>
        <row r="24">
          <cell r="B24">
            <v>89324</v>
          </cell>
          <cell r="C24" t="str">
            <v>HI-R</v>
          </cell>
          <cell r="D24">
            <v>46141</v>
          </cell>
          <cell r="E24">
            <v>46197</v>
          </cell>
          <cell r="F24" t="str">
            <v>Coating</v>
          </cell>
        </row>
        <row r="25">
          <cell r="B25">
            <v>86960</v>
          </cell>
          <cell r="C25" t="str">
            <v>CO-C</v>
          </cell>
          <cell r="D25">
            <v>45986</v>
          </cell>
          <cell r="E25">
            <v>46224</v>
          </cell>
          <cell r="F25" t="str">
            <v>Coating</v>
          </cell>
        </row>
        <row r="26">
          <cell r="B26">
            <v>85987</v>
          </cell>
          <cell r="C26" t="str">
            <v>CA-C</v>
          </cell>
          <cell r="D26">
            <v>46115</v>
          </cell>
          <cell r="E26">
            <v>46177</v>
          </cell>
          <cell r="F26" t="str">
            <v>Coating</v>
          </cell>
        </row>
        <row r="27">
          <cell r="B27">
            <v>88082</v>
          </cell>
          <cell r="C27" t="str">
            <v>CA-C</v>
          </cell>
          <cell r="D27">
            <v>46076</v>
          </cell>
          <cell r="E27">
            <v>46204</v>
          </cell>
          <cell r="F27" t="str">
            <v>Coating</v>
          </cell>
        </row>
        <row r="28">
          <cell r="B28">
            <v>90365</v>
          </cell>
          <cell r="C28" t="str">
            <v>CO-C</v>
          </cell>
          <cell r="D28" t="str">
            <v>05/11/2026</v>
          </cell>
          <cell r="E28">
            <v>46225</v>
          </cell>
          <cell r="F28" t="str">
            <v>Cutting</v>
          </cell>
        </row>
        <row r="29">
          <cell r="B29">
            <v>89161</v>
          </cell>
          <cell r="C29" t="str">
            <v>NV-R</v>
          </cell>
          <cell r="D29">
            <v>46149</v>
          </cell>
          <cell r="E29">
            <v>46231</v>
          </cell>
          <cell r="F29" t="str">
            <v>Pull Material</v>
          </cell>
        </row>
        <row r="30">
          <cell r="B30">
            <v>87359</v>
          </cell>
          <cell r="C30" t="str">
            <v>IN-C</v>
          </cell>
          <cell r="D30">
            <v>46125</v>
          </cell>
          <cell r="E30">
            <v>46216</v>
          </cell>
          <cell r="F30" t="str">
            <v>Assembly</v>
          </cell>
        </row>
        <row r="31">
          <cell r="B31">
            <v>89412</v>
          </cell>
          <cell r="C31" t="str">
            <v>CA-R</v>
          </cell>
          <cell r="D31">
            <v>46126</v>
          </cell>
          <cell r="E31">
            <v>46191</v>
          </cell>
          <cell r="F31" t="str">
            <v>Coating</v>
          </cell>
        </row>
        <row r="32">
          <cell r="B32">
            <v>89867</v>
          </cell>
          <cell r="C32" t="str">
            <v>CA-R</v>
          </cell>
          <cell r="D32">
            <v>46126</v>
          </cell>
          <cell r="E32">
            <v>46192</v>
          </cell>
          <cell r="F32" t="str">
            <v>Coating</v>
          </cell>
        </row>
        <row r="33">
          <cell r="B33">
            <v>84210</v>
          </cell>
          <cell r="C33" t="str">
            <v>IL-C</v>
          </cell>
          <cell r="D33">
            <v>45876</v>
          </cell>
          <cell r="E33">
            <v>46164</v>
          </cell>
          <cell r="F33" t="str">
            <v>Coating</v>
          </cell>
        </row>
        <row r="34">
          <cell r="B34">
            <v>88155</v>
          </cell>
          <cell r="C34" t="str">
            <v>CA-R</v>
          </cell>
          <cell r="D34">
            <v>46135</v>
          </cell>
          <cell r="E34">
            <v>46163</v>
          </cell>
          <cell r="F34" t="str">
            <v>Assembly</v>
          </cell>
        </row>
        <row r="35">
          <cell r="B35">
            <v>87488</v>
          </cell>
          <cell r="C35" t="str">
            <v>CA-C</v>
          </cell>
          <cell r="D35">
            <v>46007</v>
          </cell>
          <cell r="E35">
            <v>46195</v>
          </cell>
          <cell r="F35" t="str">
            <v>Assembly</v>
          </cell>
        </row>
        <row r="36">
          <cell r="B36">
            <v>89316</v>
          </cell>
          <cell r="C36" t="str">
            <v>BB-C</v>
          </cell>
          <cell r="D36">
            <v>46100</v>
          </cell>
          <cell r="E36">
            <v>46174</v>
          </cell>
          <cell r="F36" t="str">
            <v>CNC</v>
          </cell>
        </row>
        <row r="37">
          <cell r="B37">
            <v>90536</v>
          </cell>
          <cell r="C37" t="str">
            <v>CA-R</v>
          </cell>
          <cell r="D37">
            <v>46160</v>
          </cell>
          <cell r="E37">
            <v>46211</v>
          </cell>
          <cell r="F37" t="str">
            <v>Cutting</v>
          </cell>
        </row>
        <row r="38">
          <cell r="B38">
            <v>90305</v>
          </cell>
          <cell r="C38" t="str">
            <v>CA-R</v>
          </cell>
          <cell r="D38">
            <v>46188</v>
          </cell>
          <cell r="E38">
            <v>46224</v>
          </cell>
          <cell r="F38" t="str">
            <v>Cutting</v>
          </cell>
        </row>
        <row r="39">
          <cell r="B39">
            <v>90956</v>
          </cell>
          <cell r="C39" t="str">
            <v>NV-R</v>
          </cell>
          <cell r="D39">
            <v>46182</v>
          </cell>
          <cell r="E39">
            <v>46216</v>
          </cell>
          <cell r="F39" t="str">
            <v>Assembly</v>
          </cell>
        </row>
        <row r="40">
          <cell r="B40">
            <v>90809</v>
          </cell>
          <cell r="C40" t="str">
            <v>NV-R</v>
          </cell>
          <cell r="D40">
            <v>46162</v>
          </cell>
          <cell r="E40">
            <v>46210</v>
          </cell>
          <cell r="F40" t="str">
            <v>Assembly</v>
          </cell>
        </row>
        <row r="41">
          <cell r="B41">
            <v>90987</v>
          </cell>
          <cell r="C41" t="str">
            <v>NV-R</v>
          </cell>
          <cell r="D41">
            <v>46170</v>
          </cell>
          <cell r="E41">
            <v>46210</v>
          </cell>
          <cell r="F41" t="str">
            <v>Assembly</v>
          </cell>
        </row>
        <row r="42">
          <cell r="B42">
            <v>91288</v>
          </cell>
          <cell r="C42" t="str">
            <v>CA-R</v>
          </cell>
          <cell r="D42">
            <v>46198</v>
          </cell>
          <cell r="E42">
            <v>46230</v>
          </cell>
          <cell r="F42" t="str">
            <v>Pull Material</v>
          </cell>
        </row>
        <row r="43">
          <cell r="B43">
            <v>89293</v>
          </cell>
          <cell r="C43" t="str">
            <v>FL-R</v>
          </cell>
          <cell r="D43">
            <v>46139</v>
          </cell>
          <cell r="E43">
            <v>46169</v>
          </cell>
          <cell r="F43" t="str">
            <v>Coating</v>
          </cell>
        </row>
        <row r="44">
          <cell r="B44">
            <v>85604</v>
          </cell>
          <cell r="C44" t="str">
            <v>VA-C</v>
          </cell>
          <cell r="D44">
            <v>45881</v>
          </cell>
          <cell r="E44">
            <v>46156</v>
          </cell>
          <cell r="F44" t="str">
            <v>Assembly</v>
          </cell>
        </row>
        <row r="45">
          <cell r="B45">
            <v>90183</v>
          </cell>
          <cell r="C45" t="str">
            <v>UT-C</v>
          </cell>
          <cell r="D45" t="str">
            <v>05/15/2026</v>
          </cell>
          <cell r="E45">
            <v>46184</v>
          </cell>
          <cell r="F45" t="str">
            <v>Coating</v>
          </cell>
        </row>
        <row r="46">
          <cell r="B46">
            <v>90746</v>
          </cell>
          <cell r="C46" t="str">
            <v>TX-R</v>
          </cell>
          <cell r="D46">
            <v>46199</v>
          </cell>
          <cell r="E46">
            <v>46225</v>
          </cell>
          <cell r="F46" t="str">
            <v>Cutting</v>
          </cell>
        </row>
        <row r="47">
          <cell r="B47">
            <v>90089</v>
          </cell>
          <cell r="C47" t="str">
            <v>TN-C</v>
          </cell>
          <cell r="D47">
            <v>46133</v>
          </cell>
          <cell r="E47">
            <v>46224</v>
          </cell>
          <cell r="F47" t="str">
            <v>Cutting</v>
          </cell>
        </row>
        <row r="48">
          <cell r="B48">
            <v>87824</v>
          </cell>
          <cell r="C48" t="str">
            <v>CO-R</v>
          </cell>
          <cell r="D48">
            <v>46079</v>
          </cell>
          <cell r="E48">
            <v>46189</v>
          </cell>
          <cell r="F48" t="str">
            <v>Assembly</v>
          </cell>
        </row>
        <row r="49">
          <cell r="B49">
            <v>91626</v>
          </cell>
          <cell r="C49" t="str">
            <v>KS-C</v>
          </cell>
          <cell r="D49">
            <v>46216</v>
          </cell>
          <cell r="E49">
            <v>46227</v>
          </cell>
          <cell r="F49" t="str">
            <v>Assembly</v>
          </cell>
        </row>
        <row r="50">
          <cell r="B50">
            <v>89161</v>
          </cell>
          <cell r="C50" t="str">
            <v>NV-R</v>
          </cell>
          <cell r="D50">
            <v>46177</v>
          </cell>
          <cell r="E50">
            <v>46231</v>
          </cell>
          <cell r="F50" t="str">
            <v>Pull Material</v>
          </cell>
        </row>
        <row r="51">
          <cell r="B51">
            <v>90873</v>
          </cell>
          <cell r="C51" t="str">
            <v>AZ-R</v>
          </cell>
          <cell r="D51">
            <v>46164</v>
          </cell>
          <cell r="E51">
            <v>46204</v>
          </cell>
          <cell r="F51" t="str">
            <v>Pull Material</v>
          </cell>
        </row>
        <row r="52">
          <cell r="B52">
            <v>89066</v>
          </cell>
          <cell r="C52" t="str">
            <v>CO-R</v>
          </cell>
          <cell r="D52">
            <v>46202</v>
          </cell>
          <cell r="E52">
            <v>46233</v>
          </cell>
          <cell r="F52" t="str">
            <v>Pull Material</v>
          </cell>
        </row>
        <row r="53">
          <cell r="B53">
            <v>85309</v>
          </cell>
          <cell r="C53" t="str">
            <v>OK-R</v>
          </cell>
          <cell r="D53">
            <v>46135</v>
          </cell>
          <cell r="E53">
            <v>46189</v>
          </cell>
          <cell r="F53" t="str">
            <v>Coating</v>
          </cell>
        </row>
        <row r="54">
          <cell r="B54">
            <v>89429</v>
          </cell>
          <cell r="C54" t="str">
            <v>CA-C</v>
          </cell>
          <cell r="D54">
            <v>46136</v>
          </cell>
          <cell r="E54">
            <v>46197</v>
          </cell>
          <cell r="F54" t="str">
            <v>Assembly</v>
          </cell>
        </row>
        <row r="55">
          <cell r="B55">
            <v>91226</v>
          </cell>
          <cell r="C55" t="str">
            <v>CA-C</v>
          </cell>
          <cell r="D55">
            <v>46181</v>
          </cell>
          <cell r="E55">
            <v>46197</v>
          </cell>
          <cell r="F55" t="str">
            <v>Assembly</v>
          </cell>
        </row>
        <row r="56">
          <cell r="B56" t="str">
            <v>86011-R1</v>
          </cell>
          <cell r="C56" t="str">
            <v>TX-R</v>
          </cell>
          <cell r="D56">
            <v>46126</v>
          </cell>
          <cell r="E56">
            <v>46212</v>
          </cell>
          <cell r="F56" t="str">
            <v>Assembly</v>
          </cell>
        </row>
        <row r="57">
          <cell r="B57">
            <v>90447</v>
          </cell>
          <cell r="C57" t="str">
            <v>CA-R</v>
          </cell>
          <cell r="D57">
            <v>46216</v>
          </cell>
          <cell r="E57">
            <v>46227</v>
          </cell>
          <cell r="F57" t="str">
            <v>Powder Coat</v>
          </cell>
        </row>
        <row r="58">
          <cell r="B58">
            <v>91555</v>
          </cell>
          <cell r="C58" t="str">
            <v>CA-R</v>
          </cell>
          <cell r="D58">
            <v>46217</v>
          </cell>
          <cell r="E58">
            <v>46225</v>
          </cell>
          <cell r="F58" t="str">
            <v>Pull Material</v>
          </cell>
        </row>
        <row r="59">
          <cell r="B59">
            <v>90882</v>
          </cell>
          <cell r="C59" t="str">
            <v>CA-R</v>
          </cell>
          <cell r="D59">
            <v>46169</v>
          </cell>
          <cell r="E59">
            <v>46197</v>
          </cell>
          <cell r="F59" t="str">
            <v>Assembly</v>
          </cell>
        </row>
        <row r="60">
          <cell r="B60">
            <v>89582</v>
          </cell>
          <cell r="C60" t="str">
            <v>CA-R</v>
          </cell>
          <cell r="D60">
            <v>46199</v>
          </cell>
          <cell r="E60">
            <v>46216</v>
          </cell>
          <cell r="F60" t="str">
            <v>Assembly</v>
          </cell>
        </row>
        <row r="61">
          <cell r="B61">
            <v>90614</v>
          </cell>
          <cell r="C61" t="str">
            <v>NV-R</v>
          </cell>
          <cell r="D61">
            <v>46181</v>
          </cell>
          <cell r="E61">
            <v>46216</v>
          </cell>
          <cell r="F61" t="str">
            <v>Cutting</v>
          </cell>
        </row>
        <row r="62">
          <cell r="B62">
            <v>90085</v>
          </cell>
          <cell r="C62" t="str">
            <v>UT-R</v>
          </cell>
          <cell r="D62">
            <v>46178</v>
          </cell>
          <cell r="E62">
            <v>46202</v>
          </cell>
          <cell r="F62" t="str">
            <v>Assembly</v>
          </cell>
        </row>
        <row r="63">
          <cell r="B63">
            <v>89458</v>
          </cell>
          <cell r="C63" t="str">
            <v>CO-R</v>
          </cell>
          <cell r="D63">
            <v>46175</v>
          </cell>
          <cell r="E63">
            <v>46216</v>
          </cell>
          <cell r="F63" t="str">
            <v>Assembly</v>
          </cell>
        </row>
        <row r="64">
          <cell r="B64">
            <v>91143</v>
          </cell>
          <cell r="C64" t="str">
            <v>NV-R</v>
          </cell>
          <cell r="D64">
            <v>46177</v>
          </cell>
          <cell r="E64">
            <v>46212</v>
          </cell>
          <cell r="F64" t="str">
            <v>Assembly</v>
          </cell>
        </row>
        <row r="65">
          <cell r="B65">
            <v>88490</v>
          </cell>
          <cell r="C65" t="str">
            <v>FL-R</v>
          </cell>
          <cell r="D65">
            <v>46099</v>
          </cell>
          <cell r="E65">
            <v>46169</v>
          </cell>
          <cell r="F65" t="str">
            <v>Assembly</v>
          </cell>
        </row>
        <row r="66">
          <cell r="B66">
            <v>87713</v>
          </cell>
          <cell r="C66" t="str">
            <v>HI-R</v>
          </cell>
          <cell r="D66">
            <v>45960</v>
          </cell>
          <cell r="E66">
            <v>46168</v>
          </cell>
          <cell r="F66" t="str">
            <v>Coating</v>
          </cell>
        </row>
        <row r="67">
          <cell r="B67">
            <v>87716</v>
          </cell>
          <cell r="C67" t="str">
            <v>HI-R</v>
          </cell>
          <cell r="D67">
            <v>45960</v>
          </cell>
          <cell r="E67">
            <v>46177</v>
          </cell>
          <cell r="F67" t="str">
            <v>Coating</v>
          </cell>
        </row>
        <row r="68">
          <cell r="B68">
            <v>87145</v>
          </cell>
          <cell r="C68" t="str">
            <v>CA-R</v>
          </cell>
          <cell r="D68">
            <v>45982</v>
          </cell>
          <cell r="E68">
            <v>46153</v>
          </cell>
          <cell r="F68" t="str">
            <v>Powder Coat</v>
          </cell>
        </row>
        <row r="69">
          <cell r="B69">
            <v>90500.1</v>
          </cell>
          <cell r="C69" t="str">
            <v>AZ-R</v>
          </cell>
          <cell r="D69">
            <v>46195</v>
          </cell>
          <cell r="E69">
            <v>73</v>
          </cell>
          <cell r="F69" t="str">
            <v>Pull Material</v>
          </cell>
        </row>
        <row r="70">
          <cell r="B70">
            <v>88948</v>
          </cell>
          <cell r="C70" t="str">
            <v>CA-R</v>
          </cell>
          <cell r="D70">
            <v>46084</v>
          </cell>
          <cell r="E70">
            <v>46164</v>
          </cell>
          <cell r="F70" t="str">
            <v>Assembly</v>
          </cell>
        </row>
        <row r="71">
          <cell r="B71">
            <v>91019</v>
          </cell>
          <cell r="C71" t="str">
            <v>CA-R</v>
          </cell>
          <cell r="D71">
            <v>46189</v>
          </cell>
          <cell r="E71">
            <v>46199</v>
          </cell>
          <cell r="F71" t="str">
            <v>Assembly</v>
          </cell>
        </row>
        <row r="72">
          <cell r="B72">
            <v>89367</v>
          </cell>
          <cell r="C72" t="str">
            <v>UT-R</v>
          </cell>
          <cell r="D72">
            <v>46076</v>
          </cell>
          <cell r="E72">
            <v>46155</v>
          </cell>
          <cell r="F72" t="str">
            <v>Assembly</v>
          </cell>
        </row>
        <row r="73">
          <cell r="B73">
            <v>84075</v>
          </cell>
          <cell r="C73" t="str">
            <v>CA-C</v>
          </cell>
          <cell r="D73">
            <v>45894</v>
          </cell>
          <cell r="E73">
            <v>46154</v>
          </cell>
          <cell r="F73" t="str">
            <v>Assembly</v>
          </cell>
        </row>
        <row r="74">
          <cell r="B74">
            <v>84726</v>
          </cell>
          <cell r="C74" t="str">
            <v>CA-C</v>
          </cell>
          <cell r="D74">
            <v>45845</v>
          </cell>
          <cell r="E74">
            <v>46141</v>
          </cell>
          <cell r="F74" t="str">
            <v>Cutting</v>
          </cell>
        </row>
        <row r="75">
          <cell r="B75">
            <v>84719</v>
          </cell>
          <cell r="C75" t="str">
            <v>CA-C</v>
          </cell>
          <cell r="D75">
            <v>45845</v>
          </cell>
          <cell r="E75">
            <v>46133</v>
          </cell>
          <cell r="F75" t="str">
            <v>Assembly</v>
          </cell>
        </row>
        <row r="76">
          <cell r="B76">
            <v>88243</v>
          </cell>
          <cell r="C76" t="str">
            <v>NV-C</v>
          </cell>
          <cell r="D76" t="str">
            <v>05/13/2026</v>
          </cell>
          <cell r="E76">
            <v>46181</v>
          </cell>
          <cell r="F76" t="str">
            <v>Assembly</v>
          </cell>
        </row>
        <row r="77">
          <cell r="B77">
            <v>88206</v>
          </cell>
          <cell r="C77" t="str">
            <v>CA-C</v>
          </cell>
          <cell r="D77">
            <v>46050</v>
          </cell>
          <cell r="E77">
            <v>46182</v>
          </cell>
          <cell r="F77" t="str">
            <v>Coating</v>
          </cell>
        </row>
        <row r="78">
          <cell r="B78">
            <v>90634</v>
          </cell>
          <cell r="C78" t="str">
            <v>CA-R</v>
          </cell>
          <cell r="D78" t="str">
            <v>05/11/2026</v>
          </cell>
          <cell r="E78">
            <v>46199</v>
          </cell>
          <cell r="F78" t="str">
            <v>Assembly</v>
          </cell>
        </row>
        <row r="79">
          <cell r="B79">
            <v>90372</v>
          </cell>
          <cell r="C79" t="str">
            <v>CA-R</v>
          </cell>
          <cell r="D79" t="str">
            <v>05/15/2026</v>
          </cell>
          <cell r="E79">
            <v>46199</v>
          </cell>
          <cell r="F79" t="str">
            <v>Assembly</v>
          </cell>
        </row>
        <row r="80">
          <cell r="B80">
            <v>90686</v>
          </cell>
          <cell r="C80" t="str">
            <v>AZ-R</v>
          </cell>
          <cell r="D80">
            <v>46162</v>
          </cell>
          <cell r="E80">
            <v>46191</v>
          </cell>
          <cell r="F80" t="str">
            <v>Assembly</v>
          </cell>
        </row>
        <row r="81">
          <cell r="B81">
            <v>84221</v>
          </cell>
          <cell r="C81" t="str">
            <v>NH-R</v>
          </cell>
          <cell r="D81">
            <v>45863</v>
          </cell>
          <cell r="E81">
            <v>46177</v>
          </cell>
          <cell r="F81" t="str">
            <v>Assembly</v>
          </cell>
        </row>
        <row r="82">
          <cell r="B82">
            <v>89137</v>
          </cell>
          <cell r="C82" t="str">
            <v>TN-R</v>
          </cell>
          <cell r="D82">
            <v>46171</v>
          </cell>
          <cell r="E82">
            <v>46197</v>
          </cell>
          <cell r="F82" t="str">
            <v>Assembly</v>
          </cell>
        </row>
        <row r="83">
          <cell r="B83">
            <v>90031</v>
          </cell>
          <cell r="C83" t="str">
            <v>CA-C</v>
          </cell>
          <cell r="D83">
            <v>46170</v>
          </cell>
          <cell r="E83">
            <v>46217</v>
          </cell>
          <cell r="F83" t="str">
            <v>Coating</v>
          </cell>
        </row>
        <row r="85">
          <cell r="C85" t="str">
            <v>.</v>
          </cell>
          <cell r="D85" t="str">
            <v>Total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Total"/>
      <sheetName val="Sheet1"/>
    </sheetNames>
    <sheetDataSet>
      <sheetData sheetId="0" refreshError="1">
        <row r="1">
          <cell r="B1" t="str">
            <v>Q Number</v>
          </cell>
          <cell r="C1" t="str">
            <v>Region</v>
          </cell>
          <cell r="D1" t="str">
            <v>Payment Date</v>
          </cell>
          <cell r="E1" t="str">
            <v>Production Start Day</v>
          </cell>
          <cell r="F1" t="str">
            <v>Stage</v>
          </cell>
        </row>
        <row r="2">
          <cell r="B2">
            <v>74770</v>
          </cell>
          <cell r="C2" t="str">
            <v>CA-C</v>
          </cell>
          <cell r="D2" t="str">
            <v>09/19/2023</v>
          </cell>
          <cell r="E2">
            <v>45939</v>
          </cell>
          <cell r="F2">
            <v>46007</v>
          </cell>
        </row>
        <row r="3">
          <cell r="B3">
            <v>86065</v>
          </cell>
          <cell r="C3" t="str">
            <v>CA-C</v>
          </cell>
          <cell r="D3">
            <v>45881</v>
          </cell>
          <cell r="E3">
            <v>45938</v>
          </cell>
          <cell r="F3">
            <v>46002</v>
          </cell>
        </row>
        <row r="4">
          <cell r="B4">
            <v>84541</v>
          </cell>
          <cell r="C4" t="str">
            <v>MD-C</v>
          </cell>
          <cell r="D4">
            <v>45943</v>
          </cell>
          <cell r="E4" t="str">
            <v>Pre-Production</v>
          </cell>
          <cell r="F4" t="str">
            <v>Pre-Production</v>
          </cell>
        </row>
        <row r="5">
          <cell r="B5">
            <v>86419</v>
          </cell>
          <cell r="C5" t="str">
            <v>NV-R</v>
          </cell>
          <cell r="D5">
            <v>45932</v>
          </cell>
          <cell r="E5">
            <v>45958</v>
          </cell>
          <cell r="F5">
            <v>45996</v>
          </cell>
        </row>
        <row r="6">
          <cell r="B6">
            <v>87231</v>
          </cell>
          <cell r="C6" t="str">
            <v>NV-R</v>
          </cell>
          <cell r="D6">
            <v>45925</v>
          </cell>
          <cell r="E6">
            <v>45959</v>
          </cell>
          <cell r="F6">
            <v>46000</v>
          </cell>
        </row>
        <row r="7">
          <cell r="B7">
            <v>78377</v>
          </cell>
          <cell r="C7" t="str">
            <v>WA-C</v>
          </cell>
          <cell r="D7" t="str">
            <v>02/24/2025</v>
          </cell>
          <cell r="E7">
            <v>46007</v>
          </cell>
          <cell r="F7" t="str">
            <v>Powder coat</v>
          </cell>
        </row>
        <row r="8">
          <cell r="B8">
            <v>86050</v>
          </cell>
          <cell r="C8" t="str">
            <v>WA-C</v>
          </cell>
          <cell r="D8">
            <v>45954</v>
          </cell>
          <cell r="E8" t="str">
            <v>Pre-Production</v>
          </cell>
          <cell r="F8" t="str">
            <v>Pre-Production</v>
          </cell>
        </row>
        <row r="9">
          <cell r="B9">
            <v>83846</v>
          </cell>
          <cell r="C9" t="str">
            <v>WA-C</v>
          </cell>
          <cell r="D9">
            <v>45880</v>
          </cell>
          <cell r="E9" t="str">
            <v>Pre-Production</v>
          </cell>
          <cell r="F9" t="str">
            <v>Pre-Production</v>
          </cell>
        </row>
        <row r="10">
          <cell r="B10">
            <v>85639</v>
          </cell>
          <cell r="C10" t="str">
            <v>CA-C</v>
          </cell>
          <cell r="D10">
            <v>45805</v>
          </cell>
          <cell r="E10">
            <v>46015</v>
          </cell>
          <cell r="F10" t="str">
            <v>Pull Material</v>
          </cell>
        </row>
        <row r="11">
          <cell r="B11">
            <v>86924</v>
          </cell>
          <cell r="C11" t="str">
            <v>NA-C</v>
          </cell>
          <cell r="D11">
            <v>45965</v>
          </cell>
          <cell r="E11">
            <v>46013</v>
          </cell>
          <cell r="F11" t="str">
            <v>Powder coat</v>
          </cell>
        </row>
        <row r="12">
          <cell r="B12">
            <v>87651</v>
          </cell>
          <cell r="C12" t="str">
            <v>MT-R</v>
          </cell>
          <cell r="D12">
            <v>45940</v>
          </cell>
          <cell r="E12">
            <v>45947</v>
          </cell>
          <cell r="F12">
            <v>45996</v>
          </cell>
        </row>
        <row r="13">
          <cell r="B13">
            <v>84044</v>
          </cell>
          <cell r="C13" t="str">
            <v>CA-C</v>
          </cell>
          <cell r="D13">
            <v>45811</v>
          </cell>
          <cell r="E13">
            <v>46002</v>
          </cell>
          <cell r="F13" t="str">
            <v>Coating</v>
          </cell>
        </row>
        <row r="14">
          <cell r="B14">
            <v>84046</v>
          </cell>
          <cell r="C14" t="str">
            <v>CA-C</v>
          </cell>
          <cell r="D14">
            <v>45811</v>
          </cell>
          <cell r="E14">
            <v>46002</v>
          </cell>
          <cell r="F14" t="str">
            <v>Coating</v>
          </cell>
        </row>
        <row r="15">
          <cell r="B15">
            <v>82690</v>
          </cell>
          <cell r="C15" t="str">
            <v>CA-C</v>
          </cell>
          <cell r="D15" t="str">
            <v>11/17/2025</v>
          </cell>
          <cell r="E15" t="str">
            <v>Pre-Production</v>
          </cell>
          <cell r="F15" t="str">
            <v>Pre-Production</v>
          </cell>
        </row>
        <row r="16">
          <cell r="B16">
            <v>83447</v>
          </cell>
          <cell r="C16" t="str">
            <v>CA-C</v>
          </cell>
          <cell r="D16" t="str">
            <v>02/24/2025</v>
          </cell>
          <cell r="E16" t="str">
            <v>6/17/2025</v>
          </cell>
          <cell r="F16">
            <v>45993</v>
          </cell>
        </row>
        <row r="17">
          <cell r="B17">
            <v>84790</v>
          </cell>
          <cell r="C17" t="str">
            <v>MD-R</v>
          </cell>
          <cell r="D17">
            <v>45890</v>
          </cell>
          <cell r="E17">
            <v>45973</v>
          </cell>
          <cell r="F17" t="str">
            <v>Powder coat</v>
          </cell>
        </row>
        <row r="18">
          <cell r="B18">
            <v>87402</v>
          </cell>
          <cell r="C18" t="str">
            <v>NV-R</v>
          </cell>
          <cell r="D18">
            <v>45939</v>
          </cell>
          <cell r="E18" t="str">
            <v>Pre-Production</v>
          </cell>
          <cell r="F18" t="str">
            <v>Pre-Production</v>
          </cell>
        </row>
        <row r="19">
          <cell r="B19">
            <v>86620</v>
          </cell>
          <cell r="C19" t="str">
            <v>OR-C</v>
          </cell>
          <cell r="D19">
            <v>45880</v>
          </cell>
          <cell r="E19">
            <v>45968</v>
          </cell>
          <cell r="F19">
            <v>46020</v>
          </cell>
        </row>
        <row r="20">
          <cell r="B20">
            <v>87022</v>
          </cell>
          <cell r="C20" t="str">
            <v>CA-C</v>
          </cell>
          <cell r="D20" t="str">
            <v>11/20/2025</v>
          </cell>
          <cell r="E20" t="str">
            <v>Pre-Production</v>
          </cell>
          <cell r="F20" t="str">
            <v>Pre-Production</v>
          </cell>
        </row>
        <row r="21">
          <cell r="B21">
            <v>87104</v>
          </cell>
          <cell r="C21" t="str">
            <v>OH-C</v>
          </cell>
          <cell r="D21">
            <v>45939</v>
          </cell>
          <cell r="E21" t="str">
            <v>Pre-Production</v>
          </cell>
          <cell r="F21" t="str">
            <v>Pre-Production</v>
          </cell>
        </row>
        <row r="22">
          <cell r="B22">
            <v>87147</v>
          </cell>
          <cell r="C22" t="str">
            <v>NV-R</v>
          </cell>
          <cell r="D22">
            <v>45918</v>
          </cell>
          <cell r="E22">
            <v>45939</v>
          </cell>
          <cell r="F22">
            <v>45993</v>
          </cell>
        </row>
        <row r="23">
          <cell r="B23">
            <v>87299</v>
          </cell>
          <cell r="C23" t="str">
            <v>MD-R</v>
          </cell>
          <cell r="D23" t="str">
            <v>09/30/2025</v>
          </cell>
          <cell r="E23">
            <v>45966</v>
          </cell>
          <cell r="F23">
            <v>46014</v>
          </cell>
        </row>
        <row r="24">
          <cell r="B24">
            <v>86822</v>
          </cell>
          <cell r="C24" t="str">
            <v>CA-C</v>
          </cell>
          <cell r="D24">
            <v>45891</v>
          </cell>
          <cell r="E24">
            <v>45933</v>
          </cell>
          <cell r="F24">
            <v>46010</v>
          </cell>
        </row>
        <row r="25">
          <cell r="B25">
            <v>85791</v>
          </cell>
          <cell r="C25" t="str">
            <v>CA-R</v>
          </cell>
          <cell r="D25">
            <v>45959</v>
          </cell>
          <cell r="E25" t="str">
            <v>Pre-Production</v>
          </cell>
          <cell r="F25" t="str">
            <v>Pre-Production</v>
          </cell>
        </row>
        <row r="26">
          <cell r="B26">
            <v>87898</v>
          </cell>
          <cell r="C26" t="str">
            <v>CA-R</v>
          </cell>
          <cell r="D26">
            <v>45967</v>
          </cell>
          <cell r="E26">
            <v>46000</v>
          </cell>
          <cell r="F26" t="str">
            <v>Coating</v>
          </cell>
        </row>
        <row r="27">
          <cell r="B27">
            <v>83690</v>
          </cell>
          <cell r="C27" t="str">
            <v>CA-R</v>
          </cell>
          <cell r="D27">
            <v>45959</v>
          </cell>
          <cell r="E27" t="str">
            <v>Pre-Production</v>
          </cell>
          <cell r="F27" t="str">
            <v>Pre-Production</v>
          </cell>
        </row>
        <row r="28">
          <cell r="B28">
            <v>85475</v>
          </cell>
          <cell r="C28" t="str">
            <v>CA-R</v>
          </cell>
          <cell r="D28" t="str">
            <v>09/30/2025</v>
          </cell>
          <cell r="E28">
            <v>45968</v>
          </cell>
          <cell r="F28">
            <v>46022</v>
          </cell>
        </row>
        <row r="29">
          <cell r="B29">
            <v>85440</v>
          </cell>
          <cell r="C29" t="str">
            <v>CA-C</v>
          </cell>
          <cell r="D29" t="str">
            <v>11/19/2025</v>
          </cell>
          <cell r="E29" t="str">
            <v>Pre-Production</v>
          </cell>
          <cell r="F29" t="str">
            <v>Pre-Production</v>
          </cell>
        </row>
        <row r="30">
          <cell r="B30">
            <v>86709</v>
          </cell>
          <cell r="C30" t="str">
            <v>CAR-R</v>
          </cell>
          <cell r="D30">
            <v>45918</v>
          </cell>
          <cell r="E30">
            <v>45947</v>
          </cell>
          <cell r="F30">
            <v>46022</v>
          </cell>
        </row>
        <row r="31">
          <cell r="B31">
            <v>87308</v>
          </cell>
          <cell r="C31" t="str">
            <v>CAR-R</v>
          </cell>
          <cell r="D31">
            <v>45918</v>
          </cell>
          <cell r="E31">
            <v>45996</v>
          </cell>
          <cell r="F31" t="str">
            <v>Powder coat</v>
          </cell>
        </row>
        <row r="32">
          <cell r="B32">
            <v>88130</v>
          </cell>
          <cell r="C32" t="str">
            <v>CA-R</v>
          </cell>
          <cell r="D32" t="str">
            <v>11/24/2025</v>
          </cell>
          <cell r="E32">
            <v>46000</v>
          </cell>
          <cell r="F32" t="str">
            <v xml:space="preserve">Assembly </v>
          </cell>
        </row>
        <row r="33">
          <cell r="B33">
            <v>87153</v>
          </cell>
          <cell r="C33" t="str">
            <v>CA-R</v>
          </cell>
          <cell r="D33">
            <v>45950</v>
          </cell>
          <cell r="E33">
            <v>45958</v>
          </cell>
          <cell r="F33">
            <v>45993</v>
          </cell>
        </row>
        <row r="34">
          <cell r="B34" t="str">
            <v>Unknown</v>
          </cell>
          <cell r="D34" t="str">
            <v>05/31/2022</v>
          </cell>
          <cell r="E34" t="str">
            <v>Pre-Production</v>
          </cell>
          <cell r="F34" t="str">
            <v>Pre-Production</v>
          </cell>
        </row>
        <row r="35">
          <cell r="B35">
            <v>87268</v>
          </cell>
          <cell r="C35" t="str">
            <v>CA-R</v>
          </cell>
          <cell r="D35" t="str">
            <v>09/29/2025</v>
          </cell>
          <cell r="E35">
            <v>45952</v>
          </cell>
          <cell r="F35">
            <v>46000</v>
          </cell>
        </row>
        <row r="36">
          <cell r="B36">
            <v>86866</v>
          </cell>
          <cell r="C36" t="str">
            <v>CA-R</v>
          </cell>
          <cell r="D36" t="str">
            <v>11/25/2025</v>
          </cell>
          <cell r="E36">
            <v>46015</v>
          </cell>
          <cell r="F36" t="str">
            <v>Powder coat</v>
          </cell>
        </row>
        <row r="37">
          <cell r="B37">
            <v>83937</v>
          </cell>
          <cell r="C37" t="str">
            <v>MX-C</v>
          </cell>
          <cell r="D37" t="str">
            <v>11/20/2025</v>
          </cell>
          <cell r="E37" t="str">
            <v>Pre-Production</v>
          </cell>
          <cell r="F37" t="str">
            <v>Pre-Production</v>
          </cell>
        </row>
        <row r="38">
          <cell r="B38">
            <v>87656</v>
          </cell>
          <cell r="C38" t="str">
            <v>CA-R</v>
          </cell>
          <cell r="D38">
            <v>45973</v>
          </cell>
          <cell r="E38">
            <v>45986</v>
          </cell>
          <cell r="F38">
            <v>46022</v>
          </cell>
        </row>
        <row r="39">
          <cell r="B39">
            <v>83108</v>
          </cell>
          <cell r="C39" t="str">
            <v>MI-C</v>
          </cell>
          <cell r="D39" t="str">
            <v>04/17/2025</v>
          </cell>
          <cell r="E39" t="str">
            <v>Pre-Production</v>
          </cell>
          <cell r="F39" t="str">
            <v>Pre-Production</v>
          </cell>
        </row>
        <row r="40">
          <cell r="B40">
            <v>77141</v>
          </cell>
          <cell r="C40" t="str">
            <v>ID-C</v>
          </cell>
          <cell r="D40" t="str">
            <v>04/08/2024</v>
          </cell>
          <cell r="E40">
            <v>45938</v>
          </cell>
          <cell r="F40">
            <v>46007</v>
          </cell>
        </row>
        <row r="41">
          <cell r="B41">
            <v>84134</v>
          </cell>
          <cell r="C41" t="str">
            <v>CA-C</v>
          </cell>
          <cell r="D41">
            <v>45945</v>
          </cell>
          <cell r="E41" t="str">
            <v>Pre-Production</v>
          </cell>
          <cell r="F41" t="str">
            <v>Pre-Production</v>
          </cell>
        </row>
        <row r="42">
          <cell r="B42">
            <v>87768</v>
          </cell>
          <cell r="C42" t="str">
            <v>ID-C</v>
          </cell>
          <cell r="D42">
            <v>45971</v>
          </cell>
          <cell r="E42">
            <v>46000</v>
          </cell>
          <cell r="F42" t="str">
            <v>Coating</v>
          </cell>
        </row>
        <row r="43">
          <cell r="B43">
            <v>87822</v>
          </cell>
          <cell r="C43" t="str">
            <v>ID-C</v>
          </cell>
          <cell r="D43" t="str">
            <v>11/24/2025</v>
          </cell>
          <cell r="E43">
            <v>46001</v>
          </cell>
          <cell r="F43" t="str">
            <v>Powder coat</v>
          </cell>
        </row>
        <row r="44">
          <cell r="B44">
            <v>86461</v>
          </cell>
          <cell r="C44" t="str">
            <v>AZ-R</v>
          </cell>
          <cell r="D44">
            <v>45960</v>
          </cell>
          <cell r="E44" t="str">
            <v>Pre-Production</v>
          </cell>
          <cell r="F44" t="str">
            <v>Pre-Production</v>
          </cell>
        </row>
        <row r="45">
          <cell r="B45">
            <v>86656</v>
          </cell>
          <cell r="C45" t="str">
            <v>AZ-R</v>
          </cell>
          <cell r="D45">
            <v>45890</v>
          </cell>
          <cell r="E45" t="str">
            <v>Pre-Production</v>
          </cell>
          <cell r="F45" t="str">
            <v>Pre-Production</v>
          </cell>
        </row>
        <row r="46">
          <cell r="B46">
            <v>83623</v>
          </cell>
          <cell r="C46" t="str">
            <v>NY-C</v>
          </cell>
          <cell r="D46">
            <v>45859</v>
          </cell>
          <cell r="E46">
            <v>46020</v>
          </cell>
          <cell r="F46" t="str">
            <v>Pull Material</v>
          </cell>
        </row>
        <row r="47">
          <cell r="B47">
            <v>87161</v>
          </cell>
          <cell r="C47" t="str">
            <v>CA-R</v>
          </cell>
          <cell r="D47">
            <v>45924</v>
          </cell>
          <cell r="E47">
            <v>45992</v>
          </cell>
          <cell r="F47" t="str">
            <v>Steel Job</v>
          </cell>
        </row>
        <row r="48">
          <cell r="B48">
            <v>86965</v>
          </cell>
          <cell r="C48" t="str">
            <v>TX-C</v>
          </cell>
          <cell r="D48">
            <v>45924</v>
          </cell>
          <cell r="E48" t="str">
            <v>Pre-Production</v>
          </cell>
          <cell r="F48" t="str">
            <v>Pre-Production</v>
          </cell>
        </row>
        <row r="49">
          <cell r="B49">
            <v>86439</v>
          </cell>
          <cell r="C49" t="str">
            <v>CO-R</v>
          </cell>
          <cell r="D49">
            <v>45964</v>
          </cell>
          <cell r="E49">
            <v>46015</v>
          </cell>
          <cell r="F49" t="str">
            <v>Pull Material</v>
          </cell>
        </row>
        <row r="50">
          <cell r="B50">
            <v>83766</v>
          </cell>
          <cell r="C50" t="str">
            <v>CO-C</v>
          </cell>
          <cell r="D50" t="str">
            <v>02/27/2025</v>
          </cell>
          <cell r="E50" t="str">
            <v>7/30/2025</v>
          </cell>
          <cell r="F50">
            <v>46002</v>
          </cell>
        </row>
        <row r="51">
          <cell r="B51">
            <v>86960</v>
          </cell>
          <cell r="C51" t="str">
            <v>CO-C</v>
          </cell>
          <cell r="D51" t="str">
            <v>11/25/2025</v>
          </cell>
          <cell r="E51" t="str">
            <v>Pre-Production</v>
          </cell>
          <cell r="F51" t="str">
            <v>Pre-Production</v>
          </cell>
        </row>
        <row r="52">
          <cell r="B52" t="str">
            <v>81492-R1</v>
          </cell>
          <cell r="C52" t="str">
            <v>MI-C</v>
          </cell>
          <cell r="D52">
            <v>45868</v>
          </cell>
          <cell r="E52" t="str">
            <v>Pre-Production</v>
          </cell>
          <cell r="F52" t="str">
            <v>Pre-Production</v>
          </cell>
        </row>
        <row r="53">
          <cell r="B53">
            <v>85377</v>
          </cell>
          <cell r="C53" t="str">
            <v>AZ-C</v>
          </cell>
          <cell r="D53">
            <v>45912</v>
          </cell>
          <cell r="E53">
            <v>45944</v>
          </cell>
          <cell r="F53">
            <v>46010</v>
          </cell>
        </row>
        <row r="54">
          <cell r="B54">
            <v>77811</v>
          </cell>
          <cell r="C54" t="str">
            <v>TX-C</v>
          </cell>
          <cell r="D54" t="str">
            <v>05/28/2024</v>
          </cell>
          <cell r="E54" t="str">
            <v>8/8/2025</v>
          </cell>
          <cell r="F54">
            <v>45995</v>
          </cell>
        </row>
        <row r="55">
          <cell r="B55">
            <v>83172</v>
          </cell>
          <cell r="C55" t="str">
            <v>NE-C</v>
          </cell>
          <cell r="D55" t="str">
            <v>02/28/2025</v>
          </cell>
          <cell r="E55">
            <v>46003</v>
          </cell>
          <cell r="F55" t="str">
            <v>Powder coat</v>
          </cell>
        </row>
        <row r="56">
          <cell r="B56">
            <v>76624</v>
          </cell>
          <cell r="C56" t="str">
            <v>CA-C</v>
          </cell>
          <cell r="D56" t="str">
            <v>04/19/2024</v>
          </cell>
          <cell r="E56" t="str">
            <v>Pre-Production</v>
          </cell>
          <cell r="F56" t="str">
            <v>Pre-Production</v>
          </cell>
        </row>
        <row r="57">
          <cell r="B57">
            <v>87296</v>
          </cell>
          <cell r="C57" t="str">
            <v>NV-R</v>
          </cell>
          <cell r="D57">
            <v>45937</v>
          </cell>
          <cell r="E57">
            <v>45968</v>
          </cell>
          <cell r="F57" t="str">
            <v xml:space="preserve">Assembly </v>
          </cell>
        </row>
        <row r="58">
          <cell r="B58">
            <v>87330</v>
          </cell>
          <cell r="C58" t="str">
            <v>ID-R</v>
          </cell>
          <cell r="D58">
            <v>45932</v>
          </cell>
          <cell r="E58">
            <v>45967</v>
          </cell>
          <cell r="F58">
            <v>46009</v>
          </cell>
        </row>
        <row r="59">
          <cell r="B59">
            <v>81605</v>
          </cell>
          <cell r="C59" t="str">
            <v>ID-R</v>
          </cell>
          <cell r="D59" t="str">
            <v>01/17/2025</v>
          </cell>
          <cell r="E59" t="str">
            <v>10/2/2025</v>
          </cell>
          <cell r="F59">
            <v>46002</v>
          </cell>
        </row>
        <row r="60">
          <cell r="B60">
            <v>81604</v>
          </cell>
          <cell r="C60" t="str">
            <v>ID-R</v>
          </cell>
          <cell r="D60" t="str">
            <v>01/17/2025</v>
          </cell>
          <cell r="E60" t="str">
            <v>10/2/2025</v>
          </cell>
          <cell r="F60">
            <v>46002</v>
          </cell>
        </row>
        <row r="61">
          <cell r="B61">
            <v>82632</v>
          </cell>
          <cell r="C61" t="str">
            <v>SN-R</v>
          </cell>
          <cell r="D61" t="str">
            <v>04/11/2025</v>
          </cell>
          <cell r="E61" t="str">
            <v>Pre-Production</v>
          </cell>
          <cell r="F61" t="str">
            <v>Pre-Production</v>
          </cell>
        </row>
        <row r="62">
          <cell r="B62">
            <v>84210</v>
          </cell>
          <cell r="C62" t="str">
            <v>IL-C</v>
          </cell>
          <cell r="D62">
            <v>45876</v>
          </cell>
          <cell r="E62" t="str">
            <v>Pre-Production</v>
          </cell>
          <cell r="F62" t="str">
            <v>Pre-Production</v>
          </cell>
        </row>
        <row r="63">
          <cell r="B63">
            <v>83530</v>
          </cell>
          <cell r="C63" t="str">
            <v>CA-C</v>
          </cell>
          <cell r="D63">
            <v>45903</v>
          </cell>
          <cell r="E63">
            <v>45933</v>
          </cell>
          <cell r="F63">
            <v>46007</v>
          </cell>
        </row>
        <row r="64">
          <cell r="B64">
            <v>83530</v>
          </cell>
          <cell r="C64" t="str">
            <v>CA-C</v>
          </cell>
          <cell r="D64">
            <v>45974</v>
          </cell>
          <cell r="E64">
            <v>45933</v>
          </cell>
          <cell r="F64">
            <v>46007</v>
          </cell>
        </row>
        <row r="65">
          <cell r="B65">
            <v>75830</v>
          </cell>
          <cell r="C65" t="str">
            <v>FL-R</v>
          </cell>
          <cell r="D65">
            <v>45834</v>
          </cell>
          <cell r="E65">
            <v>45967</v>
          </cell>
          <cell r="F65" t="str">
            <v xml:space="preserve">Assembly </v>
          </cell>
        </row>
        <row r="66">
          <cell r="B66">
            <v>85175</v>
          </cell>
          <cell r="C66" t="str">
            <v>CT-R</v>
          </cell>
          <cell r="D66">
            <v>45805</v>
          </cell>
          <cell r="E66">
            <v>45992</v>
          </cell>
          <cell r="F66" t="str">
            <v>Powder coat</v>
          </cell>
        </row>
        <row r="67">
          <cell r="B67">
            <v>85934</v>
          </cell>
          <cell r="C67" t="str">
            <v>CA-R</v>
          </cell>
          <cell r="D67">
            <v>45925</v>
          </cell>
          <cell r="E67">
            <v>45952</v>
          </cell>
          <cell r="F67">
            <v>46007</v>
          </cell>
        </row>
        <row r="68">
          <cell r="B68">
            <v>86855</v>
          </cell>
          <cell r="C68" t="str">
            <v>CA-R</v>
          </cell>
          <cell r="D68">
            <v>45966</v>
          </cell>
          <cell r="E68">
            <v>46020</v>
          </cell>
          <cell r="F68" t="str">
            <v>Powder coat</v>
          </cell>
        </row>
        <row r="69">
          <cell r="B69">
            <v>86415</v>
          </cell>
          <cell r="C69" t="str">
            <v>CA-R</v>
          </cell>
          <cell r="D69">
            <v>45951</v>
          </cell>
          <cell r="E69">
            <v>46009</v>
          </cell>
          <cell r="F69" t="str">
            <v>Cutting</v>
          </cell>
        </row>
        <row r="70">
          <cell r="B70">
            <v>85822</v>
          </cell>
          <cell r="C70" t="str">
            <v>NY-R</v>
          </cell>
          <cell r="D70">
            <v>45848</v>
          </cell>
          <cell r="E70">
            <v>45959</v>
          </cell>
          <cell r="F70">
            <v>46010</v>
          </cell>
        </row>
        <row r="71">
          <cell r="B71">
            <v>87636</v>
          </cell>
          <cell r="C71" t="str">
            <v>MD-R</v>
          </cell>
          <cell r="D71" t="str">
            <v>11/19/2025</v>
          </cell>
          <cell r="E71">
            <v>46010</v>
          </cell>
          <cell r="F71" t="str">
            <v>On Hold Drawing Change/Cutting</v>
          </cell>
        </row>
        <row r="72">
          <cell r="B72">
            <v>84573</v>
          </cell>
          <cell r="C72" t="str">
            <v>HI-R</v>
          </cell>
          <cell r="D72">
            <v>45874</v>
          </cell>
          <cell r="E72" t="str">
            <v>9/25/2025</v>
          </cell>
          <cell r="F72">
            <v>46006</v>
          </cell>
        </row>
        <row r="73">
          <cell r="B73">
            <v>87431</v>
          </cell>
          <cell r="C73" t="str">
            <v>CA-R</v>
          </cell>
          <cell r="D73">
            <v>45937</v>
          </cell>
          <cell r="E73">
            <v>45995</v>
          </cell>
          <cell r="F73" t="str">
            <v xml:space="preserve">Assembly </v>
          </cell>
        </row>
        <row r="74">
          <cell r="B74">
            <v>87796</v>
          </cell>
          <cell r="C74" t="str">
            <v>CA-C</v>
          </cell>
          <cell r="D74">
            <v>45952</v>
          </cell>
          <cell r="E74">
            <v>45974</v>
          </cell>
          <cell r="F74">
            <v>46014</v>
          </cell>
        </row>
        <row r="75">
          <cell r="B75">
            <v>78503</v>
          </cell>
          <cell r="C75" t="str">
            <v>NY-R</v>
          </cell>
          <cell r="D75">
            <v>45825</v>
          </cell>
          <cell r="E75" t="str">
            <v>Pre-Production</v>
          </cell>
          <cell r="F75" t="str">
            <v>Pre-Production</v>
          </cell>
        </row>
        <row r="76">
          <cell r="B76">
            <v>84268</v>
          </cell>
          <cell r="C76" t="str">
            <v>CO-R</v>
          </cell>
          <cell r="D76">
            <v>45870</v>
          </cell>
          <cell r="E76" t="str">
            <v>Pre-Production</v>
          </cell>
          <cell r="F76" t="str">
            <v>Pre-Production</v>
          </cell>
        </row>
        <row r="77">
          <cell r="B77">
            <v>85182</v>
          </cell>
          <cell r="C77" t="str">
            <v>NV-R</v>
          </cell>
          <cell r="D77">
            <v>45868</v>
          </cell>
          <cell r="E77">
            <v>45974</v>
          </cell>
          <cell r="F77">
            <v>46001</v>
          </cell>
        </row>
        <row r="78">
          <cell r="B78">
            <v>85352</v>
          </cell>
          <cell r="C78" t="str">
            <v>MT-C</v>
          </cell>
          <cell r="D78">
            <v>45952</v>
          </cell>
          <cell r="E78" t="str">
            <v>Pre-Production</v>
          </cell>
          <cell r="F78" t="str">
            <v>Pre-Production</v>
          </cell>
        </row>
        <row r="79">
          <cell r="B79">
            <v>85604</v>
          </cell>
          <cell r="C79" t="str">
            <v>VA-C</v>
          </cell>
          <cell r="D79">
            <v>45881</v>
          </cell>
          <cell r="E79" t="str">
            <v>Pre-Production</v>
          </cell>
          <cell r="F79" t="str">
            <v>Pre-Production</v>
          </cell>
        </row>
        <row r="80">
          <cell r="B80">
            <v>87595</v>
          </cell>
          <cell r="C80" t="str">
            <v>CA-C</v>
          </cell>
          <cell r="D80">
            <v>45959</v>
          </cell>
          <cell r="E80" t="str">
            <v>Pre-Production</v>
          </cell>
          <cell r="F80" t="str">
            <v>Pre-Production</v>
          </cell>
        </row>
        <row r="81">
          <cell r="B81">
            <v>79059</v>
          </cell>
          <cell r="C81" t="str">
            <v>CA-C</v>
          </cell>
          <cell r="D81" t="str">
            <v>12/17/2024</v>
          </cell>
          <cell r="E81" t="str">
            <v>Pre-Production</v>
          </cell>
          <cell r="F81" t="str">
            <v>Pre-Production</v>
          </cell>
        </row>
        <row r="82">
          <cell r="B82">
            <v>83698</v>
          </cell>
          <cell r="C82" t="str">
            <v>CA-C</v>
          </cell>
          <cell r="D82">
            <v>45904</v>
          </cell>
          <cell r="E82" t="str">
            <v>Pre-Production</v>
          </cell>
          <cell r="F82" t="str">
            <v>Pre-Production</v>
          </cell>
        </row>
        <row r="83">
          <cell r="B83">
            <v>86716</v>
          </cell>
          <cell r="C83" t="str">
            <v>HI-R</v>
          </cell>
          <cell r="D83" t="str">
            <v>08/27/2025</v>
          </cell>
          <cell r="E83">
            <v>45940</v>
          </cell>
          <cell r="F83" t="str">
            <v xml:space="preserve">Assembly </v>
          </cell>
        </row>
        <row r="84">
          <cell r="B84">
            <v>86292</v>
          </cell>
          <cell r="C84" t="str">
            <v>CA-R</v>
          </cell>
          <cell r="D84" t="str">
            <v>09/29/2025</v>
          </cell>
          <cell r="E84">
            <v>45986</v>
          </cell>
          <cell r="F84" t="str">
            <v xml:space="preserve">Assembly </v>
          </cell>
        </row>
        <row r="85">
          <cell r="B85">
            <v>80858</v>
          </cell>
          <cell r="C85" t="str">
            <v>IL-C</v>
          </cell>
          <cell r="D85" t="str">
            <v>11/26/2024</v>
          </cell>
          <cell r="E85" t="str">
            <v>Pre-Production</v>
          </cell>
          <cell r="F85" t="str">
            <v>Pre-Production</v>
          </cell>
        </row>
        <row r="86">
          <cell r="B86">
            <v>86420</v>
          </cell>
          <cell r="C86" t="str">
            <v>TX-R</v>
          </cell>
          <cell r="D86">
            <v>45910</v>
          </cell>
          <cell r="E86">
            <v>45992</v>
          </cell>
          <cell r="F86" t="str">
            <v>Cutting</v>
          </cell>
        </row>
        <row r="87">
          <cell r="B87">
            <v>81326</v>
          </cell>
          <cell r="C87" t="str">
            <v>NJ-C</v>
          </cell>
          <cell r="D87" t="str">
            <v>04/28/2025</v>
          </cell>
          <cell r="E87" t="str">
            <v>Pre-Production</v>
          </cell>
          <cell r="F87" t="str">
            <v>Pre-Production</v>
          </cell>
        </row>
        <row r="88">
          <cell r="B88">
            <v>78496</v>
          </cell>
          <cell r="C88" t="str">
            <v>FL-R</v>
          </cell>
          <cell r="D88" t="str">
            <v>04/09/2025</v>
          </cell>
          <cell r="E88" t="str">
            <v>Pre-Production</v>
          </cell>
          <cell r="F88" t="str">
            <v>Cancel 16 Dec</v>
          </cell>
        </row>
        <row r="89">
          <cell r="B89">
            <v>85506</v>
          </cell>
          <cell r="C89" t="str">
            <v>NV-R</v>
          </cell>
          <cell r="D89">
            <v>45806</v>
          </cell>
          <cell r="E89" t="str">
            <v>7/14/2025</v>
          </cell>
          <cell r="F89">
            <v>46015</v>
          </cell>
        </row>
        <row r="90">
          <cell r="B90">
            <v>80262</v>
          </cell>
          <cell r="C90" t="str">
            <v>CA-C</v>
          </cell>
          <cell r="D90">
            <v>45855</v>
          </cell>
          <cell r="E90" t="str">
            <v>Pre-Production</v>
          </cell>
          <cell r="F90" t="str">
            <v>Pre-Production</v>
          </cell>
        </row>
        <row r="91">
          <cell r="B91">
            <v>86090</v>
          </cell>
          <cell r="C91" t="str">
            <v>OH-R</v>
          </cell>
          <cell r="D91">
            <v>45936</v>
          </cell>
          <cell r="E91">
            <v>45975</v>
          </cell>
          <cell r="F91" t="str">
            <v>Coating</v>
          </cell>
        </row>
        <row r="92">
          <cell r="B92">
            <v>87645</v>
          </cell>
          <cell r="C92" t="str">
            <v>CA-C</v>
          </cell>
          <cell r="D92">
            <v>45971</v>
          </cell>
          <cell r="E92" t="str">
            <v>Pre-Production</v>
          </cell>
          <cell r="F92" t="str">
            <v>Pre-Production</v>
          </cell>
        </row>
        <row r="93">
          <cell r="B93">
            <v>87446</v>
          </cell>
          <cell r="C93" t="str">
            <v>TX-C</v>
          </cell>
          <cell r="D93">
            <v>45971</v>
          </cell>
          <cell r="E93" t="str">
            <v>Pre-Production</v>
          </cell>
          <cell r="F93" t="str">
            <v>Pre-Production</v>
          </cell>
        </row>
        <row r="94">
          <cell r="B94">
            <v>85104</v>
          </cell>
          <cell r="C94" t="str">
            <v>TX-R</v>
          </cell>
          <cell r="D94">
            <v>45922</v>
          </cell>
          <cell r="E94">
            <v>46001</v>
          </cell>
          <cell r="F94" t="str">
            <v>Powder coat</v>
          </cell>
        </row>
        <row r="95">
          <cell r="B95">
            <v>86087</v>
          </cell>
          <cell r="C95" t="str">
            <v>UT-C</v>
          </cell>
          <cell r="D95" t="str">
            <v>09/30/2025</v>
          </cell>
          <cell r="E95" t="str">
            <v>Pre-Production</v>
          </cell>
          <cell r="F95" t="str">
            <v>Pre-Production</v>
          </cell>
        </row>
        <row r="96">
          <cell r="B96">
            <v>80158</v>
          </cell>
          <cell r="C96" t="str">
            <v>FL-R</v>
          </cell>
          <cell r="D96" t="str">
            <v>10/09/2024</v>
          </cell>
          <cell r="E96">
            <v>45940</v>
          </cell>
          <cell r="F96" t="str">
            <v>Powder coat</v>
          </cell>
        </row>
        <row r="97">
          <cell r="B97">
            <v>81910</v>
          </cell>
          <cell r="C97" t="str">
            <v>CA-C</v>
          </cell>
          <cell r="D97">
            <v>45859</v>
          </cell>
          <cell r="E97" t="str">
            <v>Pre-Production</v>
          </cell>
          <cell r="F97" t="str">
            <v>Pre-Production</v>
          </cell>
        </row>
        <row r="98">
          <cell r="B98">
            <v>84399</v>
          </cell>
          <cell r="C98" t="str">
            <v>CA-C</v>
          </cell>
          <cell r="D98">
            <v>45870</v>
          </cell>
          <cell r="E98">
            <v>45952</v>
          </cell>
          <cell r="F98">
            <v>46022</v>
          </cell>
        </row>
        <row r="99">
          <cell r="B99">
            <v>87887</v>
          </cell>
          <cell r="C99" t="str">
            <v>NV-R</v>
          </cell>
          <cell r="D99">
            <v>45965</v>
          </cell>
          <cell r="E99">
            <v>45986</v>
          </cell>
          <cell r="F99">
            <v>46008</v>
          </cell>
        </row>
        <row r="100">
          <cell r="B100">
            <v>87532</v>
          </cell>
          <cell r="C100" t="str">
            <v>GA-R</v>
          </cell>
          <cell r="D100">
            <v>45960</v>
          </cell>
          <cell r="E100">
            <v>45992</v>
          </cell>
          <cell r="F100" t="str">
            <v>Coating</v>
          </cell>
        </row>
        <row r="101">
          <cell r="B101">
            <v>86931</v>
          </cell>
          <cell r="C101" t="str">
            <v>NV-R</v>
          </cell>
          <cell r="D101">
            <v>45894</v>
          </cell>
          <cell r="E101">
            <v>45959</v>
          </cell>
          <cell r="F101">
            <v>46000</v>
          </cell>
        </row>
        <row r="102">
          <cell r="B102">
            <v>87713</v>
          </cell>
          <cell r="C102" t="str">
            <v>HI-R</v>
          </cell>
          <cell r="D102">
            <v>45960</v>
          </cell>
          <cell r="E102" t="str">
            <v>Pre-Production</v>
          </cell>
          <cell r="F102" t="str">
            <v>Pre-Production</v>
          </cell>
        </row>
        <row r="103">
          <cell r="B103">
            <v>87716</v>
          </cell>
          <cell r="C103" t="str">
            <v>HI-R</v>
          </cell>
          <cell r="D103">
            <v>45960</v>
          </cell>
          <cell r="E103" t="str">
            <v>Pre-Production</v>
          </cell>
          <cell r="F103" t="str">
            <v>Pre-Production</v>
          </cell>
        </row>
        <row r="104">
          <cell r="B104">
            <v>83381</v>
          </cell>
          <cell r="C104" t="str">
            <v>TX-C</v>
          </cell>
          <cell r="D104" t="str">
            <v>03/20/2025</v>
          </cell>
          <cell r="E104" t="str">
            <v>Pre-Production</v>
          </cell>
          <cell r="F104" t="str">
            <v>Pre-Production</v>
          </cell>
        </row>
        <row r="105">
          <cell r="B105">
            <v>86800</v>
          </cell>
          <cell r="C105" t="str">
            <v>IL-R</v>
          </cell>
          <cell r="D105">
            <v>45960</v>
          </cell>
          <cell r="E105">
            <v>46003</v>
          </cell>
          <cell r="F105" t="str">
            <v>Powder coat</v>
          </cell>
        </row>
        <row r="106">
          <cell r="B106">
            <v>87145</v>
          </cell>
          <cell r="C106" t="str">
            <v>CA-R</v>
          </cell>
          <cell r="D106" t="str">
            <v>11/21/2025</v>
          </cell>
          <cell r="E106" t="str">
            <v>Pre-Production</v>
          </cell>
          <cell r="F106" t="str">
            <v>Pre-Production</v>
          </cell>
        </row>
        <row r="107">
          <cell r="B107">
            <v>87123</v>
          </cell>
          <cell r="C107" t="str">
            <v>CA-R</v>
          </cell>
          <cell r="D107">
            <v>45923</v>
          </cell>
          <cell r="E107">
            <v>45938</v>
          </cell>
          <cell r="F107">
            <v>46007</v>
          </cell>
        </row>
        <row r="108">
          <cell r="B108">
            <v>87412</v>
          </cell>
          <cell r="C108" t="str">
            <v>CA-R</v>
          </cell>
          <cell r="D108">
            <v>45926</v>
          </cell>
          <cell r="E108" t="str">
            <v>Pre-Production</v>
          </cell>
          <cell r="F108" t="str">
            <v>Pre-Production</v>
          </cell>
        </row>
        <row r="109">
          <cell r="B109">
            <v>87418</v>
          </cell>
          <cell r="C109" t="str">
            <v>CA-R</v>
          </cell>
          <cell r="D109">
            <v>45957</v>
          </cell>
          <cell r="E109">
            <v>45967</v>
          </cell>
          <cell r="F109">
            <v>46007</v>
          </cell>
        </row>
        <row r="110">
          <cell r="B110">
            <v>88001</v>
          </cell>
          <cell r="C110" t="str">
            <v>CA-R</v>
          </cell>
          <cell r="D110">
            <v>45966</v>
          </cell>
          <cell r="E110" t="str">
            <v>Pre-Production</v>
          </cell>
          <cell r="F110" t="str">
            <v>Pre-Production</v>
          </cell>
        </row>
        <row r="111">
          <cell r="B111">
            <v>87908</v>
          </cell>
          <cell r="C111" t="str">
            <v>UT-R</v>
          </cell>
          <cell r="D111">
            <v>45964</v>
          </cell>
          <cell r="E111">
            <v>46010</v>
          </cell>
          <cell r="F111" t="str">
            <v>Powder coat</v>
          </cell>
        </row>
        <row r="112">
          <cell r="B112">
            <v>85711</v>
          </cell>
          <cell r="C112" t="str">
            <v>UT-R</v>
          </cell>
          <cell r="D112">
            <v>45967</v>
          </cell>
          <cell r="E112">
            <v>46008</v>
          </cell>
          <cell r="F112" t="str">
            <v>Pull Material</v>
          </cell>
        </row>
        <row r="113">
          <cell r="B113">
            <v>87399</v>
          </cell>
          <cell r="C113" t="str">
            <v>UT-R</v>
          </cell>
          <cell r="D113">
            <v>45944</v>
          </cell>
          <cell r="E113">
            <v>45994</v>
          </cell>
          <cell r="F113" t="str">
            <v xml:space="preserve">Assembly </v>
          </cell>
        </row>
        <row r="114">
          <cell r="B114">
            <v>87007</v>
          </cell>
          <cell r="C114" t="str">
            <v>UT-R</v>
          </cell>
          <cell r="D114">
            <v>45964</v>
          </cell>
          <cell r="E114">
            <v>46000</v>
          </cell>
          <cell r="F114" t="str">
            <v xml:space="preserve">Assembly </v>
          </cell>
        </row>
        <row r="115">
          <cell r="B115">
            <v>87670</v>
          </cell>
          <cell r="C115" t="str">
            <v>UT-R</v>
          </cell>
          <cell r="D115">
            <v>45951</v>
          </cell>
          <cell r="E115">
            <v>45981</v>
          </cell>
          <cell r="F115">
            <v>46022</v>
          </cell>
        </row>
        <row r="116">
          <cell r="B116">
            <v>86948</v>
          </cell>
          <cell r="C116" t="str">
            <v>UT-R</v>
          </cell>
          <cell r="D116">
            <v>45965</v>
          </cell>
          <cell r="E116">
            <v>45979</v>
          </cell>
          <cell r="F116">
            <v>46002</v>
          </cell>
        </row>
        <row r="117">
          <cell r="B117">
            <v>86334</v>
          </cell>
          <cell r="C117" t="str">
            <v>CA-R</v>
          </cell>
          <cell r="D117">
            <v>45890</v>
          </cell>
          <cell r="E117" t="str">
            <v>Pre-Production</v>
          </cell>
          <cell r="F117" t="str">
            <v>Pre-Production</v>
          </cell>
        </row>
        <row r="118">
          <cell r="B118">
            <v>84218</v>
          </cell>
          <cell r="C118" t="str">
            <v>CA-R</v>
          </cell>
          <cell r="D118">
            <v>45839</v>
          </cell>
          <cell r="E118">
            <v>45957</v>
          </cell>
          <cell r="F118">
            <v>46001</v>
          </cell>
        </row>
        <row r="119">
          <cell r="B119">
            <v>84075</v>
          </cell>
          <cell r="C119" t="str">
            <v>CA-C</v>
          </cell>
          <cell r="D119">
            <v>45894</v>
          </cell>
          <cell r="E119" t="str">
            <v>Pre-Production</v>
          </cell>
          <cell r="F119" t="str">
            <v>Pre-Production</v>
          </cell>
        </row>
        <row r="120">
          <cell r="B120">
            <v>84726</v>
          </cell>
          <cell r="C120" t="str">
            <v>CA-C</v>
          </cell>
          <cell r="D120">
            <v>45845</v>
          </cell>
          <cell r="E120" t="str">
            <v>Pre-Production</v>
          </cell>
          <cell r="F120" t="str">
            <v>Pre-Production</v>
          </cell>
        </row>
        <row r="121">
          <cell r="B121">
            <v>84719</v>
          </cell>
          <cell r="C121" t="str">
            <v>CA-C</v>
          </cell>
          <cell r="D121">
            <v>45845</v>
          </cell>
          <cell r="E121" t="str">
            <v>Pre-Production</v>
          </cell>
          <cell r="F121" t="str">
            <v>Pre-Production</v>
          </cell>
        </row>
        <row r="122">
          <cell r="B122">
            <v>79488</v>
          </cell>
          <cell r="C122" t="str">
            <v>NY-R</v>
          </cell>
          <cell r="D122" t="str">
            <v>04/30/2024</v>
          </cell>
          <cell r="E122">
            <v>46015</v>
          </cell>
          <cell r="F122" t="str">
            <v>Powder coat</v>
          </cell>
        </row>
        <row r="123">
          <cell r="B123">
            <v>82562</v>
          </cell>
          <cell r="C123" t="str">
            <v>CA-C</v>
          </cell>
          <cell r="D123">
            <v>45792</v>
          </cell>
          <cell r="E123">
            <v>46022</v>
          </cell>
          <cell r="F123" t="str">
            <v>Pull Material</v>
          </cell>
        </row>
        <row r="124">
          <cell r="B124">
            <v>86498</v>
          </cell>
          <cell r="C124" t="str">
            <v>NV-R</v>
          </cell>
          <cell r="D124">
            <v>45925</v>
          </cell>
          <cell r="E124">
            <v>45947</v>
          </cell>
          <cell r="F124">
            <v>46009</v>
          </cell>
        </row>
        <row r="125">
          <cell r="B125">
            <v>86080</v>
          </cell>
          <cell r="C125" t="str">
            <v>UT-C</v>
          </cell>
          <cell r="D125">
            <v>45936</v>
          </cell>
          <cell r="E125">
            <v>45944</v>
          </cell>
          <cell r="F125">
            <v>46006</v>
          </cell>
        </row>
        <row r="126">
          <cell r="B126">
            <v>85857</v>
          </cell>
          <cell r="C126" t="str">
            <v>CA-C</v>
          </cell>
          <cell r="D126">
            <v>45873</v>
          </cell>
          <cell r="E126">
            <v>46008</v>
          </cell>
          <cell r="F126" t="str">
            <v xml:space="preserve">Assembly </v>
          </cell>
        </row>
        <row r="127">
          <cell r="B127">
            <v>73738</v>
          </cell>
          <cell r="C127" t="str">
            <v>TX-R</v>
          </cell>
          <cell r="D127" t="str">
            <v>08/09/2024</v>
          </cell>
          <cell r="E127" t="str">
            <v>Pre-Production</v>
          </cell>
          <cell r="F127" t="str">
            <v>Pre-Production</v>
          </cell>
        </row>
        <row r="128">
          <cell r="B128">
            <v>85860</v>
          </cell>
          <cell r="C128" t="str">
            <v>CO-C</v>
          </cell>
          <cell r="D128">
            <v>45826</v>
          </cell>
          <cell r="E128" t="str">
            <v>Pre-Production</v>
          </cell>
          <cell r="F128" t="str">
            <v>Pre-Production</v>
          </cell>
        </row>
        <row r="129">
          <cell r="B129">
            <v>86442</v>
          </cell>
          <cell r="C129" t="str">
            <v>AZ-R</v>
          </cell>
          <cell r="D129">
            <v>45894</v>
          </cell>
          <cell r="E129">
            <v>45947</v>
          </cell>
          <cell r="F129">
            <v>45996</v>
          </cell>
        </row>
        <row r="130">
          <cell r="B130">
            <v>87927</v>
          </cell>
          <cell r="C130" t="str">
            <v>AZ-R</v>
          </cell>
          <cell r="D130">
            <v>45971</v>
          </cell>
          <cell r="E130">
            <v>45995</v>
          </cell>
          <cell r="F130">
            <v>46022</v>
          </cell>
        </row>
        <row r="131">
          <cell r="B131">
            <v>84221</v>
          </cell>
          <cell r="C131" t="str">
            <v>NH-R</v>
          </cell>
          <cell r="D131">
            <v>45863</v>
          </cell>
          <cell r="E131" t="str">
            <v>Pre-Production</v>
          </cell>
          <cell r="F131" t="str">
            <v>Pre-Production</v>
          </cell>
        </row>
        <row r="132">
          <cell r="B132">
            <v>75028</v>
          </cell>
          <cell r="C132" t="str">
            <v>IL-R</v>
          </cell>
          <cell r="D132" t="str">
            <v>10/31/2024</v>
          </cell>
          <cell r="E132">
            <v>46001</v>
          </cell>
          <cell r="F132" t="str">
            <v>Powder coat</v>
          </cell>
        </row>
        <row r="133">
          <cell r="B133">
            <v>82413</v>
          </cell>
          <cell r="C133" t="str">
            <v>NV-C</v>
          </cell>
          <cell r="D133" t="str">
            <v>08/26/2025</v>
          </cell>
          <cell r="E133" t="str">
            <v>Pre-Production</v>
          </cell>
          <cell r="F133" t="str">
            <v>Pre-Production</v>
          </cell>
        </row>
        <row r="134">
          <cell r="B134">
            <v>86496</v>
          </cell>
          <cell r="C134" t="str">
            <v>WA-C</v>
          </cell>
          <cell r="D134">
            <v>45903</v>
          </cell>
          <cell r="E134" t="str">
            <v>Pre-Production</v>
          </cell>
          <cell r="F134" t="str">
            <v>Pre-Production</v>
          </cell>
        </row>
        <row r="135">
          <cell r="B135">
            <v>84638</v>
          </cell>
          <cell r="C135" t="str">
            <v>WA-R</v>
          </cell>
          <cell r="D135" t="str">
            <v>04/15/2025</v>
          </cell>
          <cell r="E135">
            <v>46001</v>
          </cell>
          <cell r="F135" t="str">
            <v>Powder coat</v>
          </cell>
        </row>
        <row r="136">
          <cell r="B136">
            <v>86988</v>
          </cell>
          <cell r="C136" t="str">
            <v>WA-R</v>
          </cell>
          <cell r="D136" t="str">
            <v>09/29/2025</v>
          </cell>
          <cell r="E136" t="str">
            <v>Pre-Production</v>
          </cell>
          <cell r="F136" t="str">
            <v>Pre-Production</v>
          </cell>
        </row>
        <row r="137">
          <cell r="B137">
            <v>86049</v>
          </cell>
          <cell r="C137" t="str">
            <v>HI-C</v>
          </cell>
          <cell r="D137">
            <v>45890</v>
          </cell>
          <cell r="E137" t="str">
            <v>10/2/2025</v>
          </cell>
          <cell r="F137">
            <v>46006</v>
          </cell>
        </row>
        <row r="138">
          <cell r="B138">
            <v>87254</v>
          </cell>
          <cell r="C138" t="str">
            <v>FL-R</v>
          </cell>
          <cell r="D138">
            <v>45932</v>
          </cell>
          <cell r="E138">
            <v>45980</v>
          </cell>
          <cell r="F138" t="str">
            <v>CNC</v>
          </cell>
        </row>
        <row r="139">
          <cell r="B139">
            <v>80868</v>
          </cell>
          <cell r="C139" t="str">
            <v>FL-R</v>
          </cell>
          <cell r="D139" t="str">
            <v>10/25/2024</v>
          </cell>
          <cell r="E139" t="str">
            <v>Pre-Production</v>
          </cell>
          <cell r="F139" t="str">
            <v>Pre-Production</v>
          </cell>
        </row>
        <row r="140">
          <cell r="B140">
            <v>84816</v>
          </cell>
          <cell r="C140" t="str">
            <v>FL-R</v>
          </cell>
          <cell r="D140">
            <v>45799</v>
          </cell>
          <cell r="E140" t="str">
            <v>Pre-Production</v>
          </cell>
          <cell r="F140" t="str">
            <v>Pre-Production</v>
          </cell>
        </row>
        <row r="141">
          <cell r="B141">
            <v>85617</v>
          </cell>
          <cell r="C141" t="str">
            <v>TX-R</v>
          </cell>
          <cell r="D141">
            <v>45915</v>
          </cell>
          <cell r="E141">
            <v>45979</v>
          </cell>
          <cell r="F141">
            <v>46022</v>
          </cell>
        </row>
        <row r="142">
          <cell r="B142">
            <v>87067</v>
          </cell>
          <cell r="C142" t="str">
            <v>ID-C</v>
          </cell>
          <cell r="D142">
            <v>45947</v>
          </cell>
          <cell r="E142">
            <v>46014</v>
          </cell>
          <cell r="F142" t="str">
            <v>Powder coat</v>
          </cell>
        </row>
        <row r="143">
          <cell r="B143">
            <v>88258</v>
          </cell>
          <cell r="C143" t="str">
            <v>CA-R</v>
          </cell>
          <cell r="D143" t="str">
            <v>12/01/2025</v>
          </cell>
          <cell r="E143" t="str">
            <v>Pre-Production</v>
          </cell>
          <cell r="F143" t="str">
            <v>Pre-Production</v>
          </cell>
        </row>
        <row r="144">
          <cell r="B144">
            <v>87792</v>
          </cell>
          <cell r="C144" t="str">
            <v>HI-R</v>
          </cell>
          <cell r="D144" t="str">
            <v>12/01/2025</v>
          </cell>
          <cell r="E144" t="str">
            <v>Pre-Production</v>
          </cell>
          <cell r="F144" t="str">
            <v>Pre-Production</v>
          </cell>
        </row>
        <row r="145">
          <cell r="B145">
            <v>87980</v>
          </cell>
          <cell r="C145" t="str">
            <v>CO-R</v>
          </cell>
          <cell r="D145" t="str">
            <v>12/02/2025</v>
          </cell>
          <cell r="E145">
            <v>46003</v>
          </cell>
          <cell r="F145" t="str">
            <v xml:space="preserve">Assembly </v>
          </cell>
        </row>
        <row r="146">
          <cell r="B146">
            <v>87922</v>
          </cell>
          <cell r="C146" t="str">
            <v>UT-R</v>
          </cell>
          <cell r="D146" t="str">
            <v>12/02/2025</v>
          </cell>
          <cell r="E146">
            <v>46002</v>
          </cell>
          <cell r="F146" t="str">
            <v xml:space="preserve">Assembly </v>
          </cell>
        </row>
        <row r="147">
          <cell r="B147">
            <v>88210</v>
          </cell>
          <cell r="C147" t="str">
            <v>TX-R</v>
          </cell>
          <cell r="D147" t="str">
            <v>12/02/2025</v>
          </cell>
          <cell r="E147">
            <v>46015</v>
          </cell>
          <cell r="F147" t="str">
            <v>Powder coat</v>
          </cell>
        </row>
        <row r="148">
          <cell r="B148">
            <v>88335</v>
          </cell>
          <cell r="C148" t="str">
            <v>CA-C</v>
          </cell>
          <cell r="D148" t="str">
            <v>12/04/2025</v>
          </cell>
          <cell r="E148" t="str">
            <v>Pre-Production</v>
          </cell>
          <cell r="F148" t="str">
            <v>Pre-Production</v>
          </cell>
        </row>
        <row r="149">
          <cell r="B149">
            <v>87185</v>
          </cell>
          <cell r="C149" t="str">
            <v>NV-R</v>
          </cell>
          <cell r="D149" t="str">
            <v>12/04/2025</v>
          </cell>
          <cell r="E149" t="str">
            <v>Pre-Production</v>
          </cell>
          <cell r="F149" t="str">
            <v>Pre-Production</v>
          </cell>
        </row>
        <row r="150">
          <cell r="B150">
            <v>84246</v>
          </cell>
          <cell r="C150" t="str">
            <v>NV-R</v>
          </cell>
          <cell r="D150" t="str">
            <v>12/04/2025</v>
          </cell>
          <cell r="E150" t="str">
            <v>Pre-Production</v>
          </cell>
          <cell r="F150" t="str">
            <v>Pre-Production</v>
          </cell>
        </row>
        <row r="151">
          <cell r="B151">
            <v>87232</v>
          </cell>
          <cell r="C151" t="str">
            <v>AZ-R</v>
          </cell>
          <cell r="D151" t="str">
            <v>12/05/2025</v>
          </cell>
          <cell r="E151" t="str">
            <v>Pre-Production</v>
          </cell>
          <cell r="F151" t="str">
            <v>Pre-Production</v>
          </cell>
        </row>
        <row r="152">
          <cell r="B152">
            <v>88305</v>
          </cell>
          <cell r="C152" t="str">
            <v>CA-R</v>
          </cell>
          <cell r="D152" t="str">
            <v>12/09/2025</v>
          </cell>
          <cell r="E152">
            <v>46009</v>
          </cell>
          <cell r="F152" t="str">
            <v>Powder coat</v>
          </cell>
        </row>
        <row r="153">
          <cell r="B153">
            <v>87704</v>
          </cell>
          <cell r="C153" t="str">
            <v>NV-R</v>
          </cell>
          <cell r="D153">
            <v>46001</v>
          </cell>
          <cell r="E153" t="str">
            <v>Pre-Production</v>
          </cell>
          <cell r="F153" t="str">
            <v>Pre-Production</v>
          </cell>
        </row>
        <row r="154">
          <cell r="B154">
            <v>87830</v>
          </cell>
          <cell r="C154" t="str">
            <v>TX-C</v>
          </cell>
          <cell r="D154">
            <v>46002</v>
          </cell>
          <cell r="E154" t="str">
            <v>Pre-Production</v>
          </cell>
          <cell r="F154" t="str">
            <v>Pre-Production</v>
          </cell>
        </row>
        <row r="155">
          <cell r="B155">
            <v>80783</v>
          </cell>
          <cell r="C155" t="str">
            <v>NJ-R</v>
          </cell>
          <cell r="D155">
            <v>46003</v>
          </cell>
          <cell r="E155" t="str">
            <v>Pre-Production</v>
          </cell>
          <cell r="F155" t="str">
            <v>Pre-Production</v>
          </cell>
        </row>
        <row r="156">
          <cell r="B156">
            <v>86944</v>
          </cell>
          <cell r="C156" t="str">
            <v>CA-R</v>
          </cell>
          <cell r="D156" t="str">
            <v>12/15/2025</v>
          </cell>
          <cell r="E156" t="str">
            <v>Pre-Production</v>
          </cell>
          <cell r="F156" t="str">
            <v>Pre-Production</v>
          </cell>
        </row>
        <row r="157">
          <cell r="B157">
            <v>87088</v>
          </cell>
          <cell r="C157" t="str">
            <v>CA-R</v>
          </cell>
          <cell r="D157" t="str">
            <v>12/16/2025</v>
          </cell>
          <cell r="E157" t="str">
            <v>Pre-Production</v>
          </cell>
          <cell r="F157" t="str">
            <v>Pre-Production</v>
          </cell>
        </row>
        <row r="158">
          <cell r="B158">
            <v>87488</v>
          </cell>
          <cell r="C158" t="str">
            <v>CA-C</v>
          </cell>
          <cell r="D158" t="str">
            <v>12/16/2025</v>
          </cell>
          <cell r="E158" t="str">
            <v>Pre-Production</v>
          </cell>
          <cell r="F158" t="str">
            <v>Pre-Production</v>
          </cell>
        </row>
        <row r="159">
          <cell r="B159">
            <v>88500</v>
          </cell>
          <cell r="C159" t="str">
            <v>UT-R</v>
          </cell>
          <cell r="D159" t="str">
            <v>12/17/2025</v>
          </cell>
          <cell r="E159" t="str">
            <v>Pre-Production</v>
          </cell>
          <cell r="F159" t="str">
            <v>Pre-Production</v>
          </cell>
        </row>
        <row r="160">
          <cell r="B160">
            <v>87218</v>
          </cell>
          <cell r="C160" t="str">
            <v>WI-R</v>
          </cell>
          <cell r="D160" t="str">
            <v>12/19/2025</v>
          </cell>
          <cell r="E160" t="str">
            <v>Pre-Production</v>
          </cell>
          <cell r="F160" t="str">
            <v>Pre-Production</v>
          </cell>
        </row>
        <row r="161">
          <cell r="B161">
            <v>87121</v>
          </cell>
          <cell r="C161" t="str">
            <v>NV-R</v>
          </cell>
          <cell r="D161" t="str">
            <v>12/19/2025</v>
          </cell>
          <cell r="E161" t="str">
            <v>Pre-Production</v>
          </cell>
          <cell r="F161" t="str">
            <v>Pre-Production</v>
          </cell>
        </row>
        <row r="162">
          <cell r="B162">
            <v>88423</v>
          </cell>
          <cell r="C162" t="str">
            <v>WA-R</v>
          </cell>
          <cell r="D162" t="str">
            <v>12/19/2025</v>
          </cell>
          <cell r="E162" t="str">
            <v>Pre-Production</v>
          </cell>
          <cell r="F162" t="str">
            <v>Pre-Production</v>
          </cell>
        </row>
        <row r="163">
          <cell r="B163">
            <v>87641</v>
          </cell>
          <cell r="C163" t="str">
            <v>CA-C</v>
          </cell>
          <cell r="D163">
            <v>46013</v>
          </cell>
          <cell r="E163" t="str">
            <v>Pre-Production</v>
          </cell>
          <cell r="F163" t="str">
            <v>Pre-Production</v>
          </cell>
        </row>
        <row r="164">
          <cell r="B164">
            <v>88293</v>
          </cell>
          <cell r="C164" t="str">
            <v>GA-R</v>
          </cell>
          <cell r="D164">
            <v>46015</v>
          </cell>
          <cell r="E164" t="str">
            <v>Pre-Production</v>
          </cell>
          <cell r="F164" t="str">
            <v>Pre-Production</v>
          </cell>
        </row>
        <row r="165">
          <cell r="B165">
            <v>88100</v>
          </cell>
          <cell r="C165" t="str">
            <v>CA-R</v>
          </cell>
          <cell r="D165" t="str">
            <v>12/29/2025</v>
          </cell>
          <cell r="E165" t="str">
            <v>Pre-Production</v>
          </cell>
          <cell r="F165" t="str">
            <v>Pre-Production</v>
          </cell>
        </row>
        <row r="166">
          <cell r="B166">
            <v>88227</v>
          </cell>
          <cell r="C166" t="str">
            <v>CA-C</v>
          </cell>
          <cell r="D166" t="str">
            <v>12/29/2025</v>
          </cell>
          <cell r="E166" t="str">
            <v>Pre-Production</v>
          </cell>
          <cell r="F166" t="str">
            <v>Pre-Production</v>
          </cell>
        </row>
        <row r="167">
          <cell r="B167">
            <v>85454</v>
          </cell>
          <cell r="C167" t="str">
            <v>CO-C</v>
          </cell>
          <cell r="D167" t="str">
            <v>12/30/2025</v>
          </cell>
          <cell r="E167" t="str">
            <v>Pre-Production</v>
          </cell>
          <cell r="F167" t="str">
            <v>Pre-Production</v>
          </cell>
        </row>
        <row r="170">
          <cell r="C170" t="str">
            <v>.</v>
          </cell>
          <cell r="D170" t="str">
            <v>Total</v>
          </cell>
        </row>
        <row r="172">
          <cell r="D172" t="str">
            <v xml:space="preserve"> </v>
          </cell>
          <cell r="F172" t="str">
            <v>Dec Deposit to Rev</v>
          </cell>
        </row>
        <row r="174">
          <cell r="F174" t="str">
            <v>Adjusted Dep EOM</v>
          </cell>
        </row>
        <row r="176">
          <cell r="F176" t="str">
            <v>Variance</v>
          </cell>
        </row>
        <row r="180">
          <cell r="B180" t="str">
            <v>Q Number</v>
          </cell>
          <cell r="C180" t="str">
            <v>Region</v>
          </cell>
          <cell r="D180" t="str">
            <v>Payment Date</v>
          </cell>
          <cell r="E180" t="str">
            <v>Production Start Day</v>
          </cell>
          <cell r="F180" t="str">
            <v>Stage</v>
          </cell>
        </row>
        <row r="181">
          <cell r="B181">
            <v>79688</v>
          </cell>
          <cell r="C181" t="str">
            <v>UT-R</v>
          </cell>
          <cell r="D181">
            <v>45420</v>
          </cell>
          <cell r="E181" t="str">
            <v xml:space="preserve">Pre-Production </v>
          </cell>
          <cell r="F181" t="str">
            <v>Pre-Production</v>
          </cell>
        </row>
        <row r="182">
          <cell r="B182">
            <v>11750</v>
          </cell>
          <cell r="C182" t="str">
            <v>CA-R</v>
          </cell>
          <cell r="D182">
            <v>45012</v>
          </cell>
          <cell r="E182" t="str">
            <v xml:space="preserve">Pre-Production </v>
          </cell>
          <cell r="F182" t="str">
            <v>Pre-Production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ing"/>
    </sheetNames>
    <sheetDataSet>
      <sheetData sheetId="0">
        <row r="1">
          <cell r="C1" t="str">
            <v>This spreadsheet was created using monday.com</v>
          </cell>
        </row>
        <row r="4">
          <cell r="C4" t="str">
            <v>Try it free →</v>
          </cell>
        </row>
        <row r="5">
          <cell r="C5" t="str">
            <v>Q#</v>
          </cell>
          <cell r="D5" t="str">
            <v>⭕ CO Request</v>
          </cell>
          <cell r="E5" t="str">
            <v>QQ# (Paradigm)</v>
          </cell>
          <cell r="F5" t="str">
            <v>Type</v>
          </cell>
          <cell r="G5" t="str">
            <v>Status</v>
          </cell>
          <cell r="H5" t="str">
            <v>Expedited</v>
          </cell>
          <cell r="I5" t="str">
            <v>RSM</v>
          </cell>
          <cell r="J5" t="str">
            <v>Assigned</v>
          </cell>
          <cell r="K5" t="str">
            <v>*Signed SO 1</v>
          </cell>
          <cell r="L5" t="str">
            <v>*Signed Backer 1</v>
          </cell>
          <cell r="M5" t="str">
            <v>Alex? Yes or No</v>
          </cell>
          <cell r="N5" t="str">
            <v>Deposit Invoice PDF</v>
          </cell>
          <cell r="O5" t="str">
            <v>Opportunities</v>
          </cell>
          <cell r="P5" t="str">
            <v>Service Invoice PDF</v>
          </cell>
          <cell r="Q5" t="str">
            <v>Service Req</v>
          </cell>
          <cell r="R5" t="str">
            <v>Existing Client Documents</v>
          </cell>
          <cell r="S5" t="str">
            <v>PM Status</v>
          </cell>
          <cell r="T5" t="str">
            <v>Private Label PO</v>
          </cell>
          <cell r="U5" t="str">
            <v>Deposit Amount</v>
          </cell>
          <cell r="V5" t="str">
            <v>Final Amount</v>
          </cell>
          <cell r="W5" t="str">
            <v>Last Updated</v>
          </cell>
          <cell r="X5" t="str">
            <v>Qualified Date</v>
          </cell>
          <cell r="Y5" t="str">
            <v>⏳Waiting on RSM</v>
          </cell>
          <cell r="Z5" t="str">
            <v>Taxable?</v>
          </cell>
          <cell r="AA5" t="str">
            <v>⚪Deposit Requested</v>
          </cell>
          <cell r="AB5" t="str">
            <v>Creation Log</v>
          </cell>
          <cell r="AC5" t="str">
            <v>🔵Deposit Sent</v>
          </cell>
          <cell r="AD5" t="str">
            <v>🟡Deposit Collected</v>
          </cell>
          <cell r="AE5" t="str">
            <v>♦️ Final Invoice Requested</v>
          </cell>
          <cell r="AF5" t="str">
            <v>🟣Final Invoice Sent</v>
          </cell>
          <cell r="AG5" t="str">
            <v>🟢Final Invoice Collected</v>
          </cell>
          <cell r="AH5" t="str">
            <v>*Opportunities</v>
          </cell>
          <cell r="AI5" t="str">
            <v>⭕ CO Request</v>
          </cell>
        </row>
        <row r="6">
          <cell r="C6" t="str">
            <v/>
          </cell>
          <cell r="D6" t="str">
            <v/>
          </cell>
          <cell r="E6" t="str">
            <v/>
          </cell>
          <cell r="F6" t="str">
            <v>Deposit</v>
          </cell>
          <cell r="G6" t="str">
            <v>Waiting on RSM</v>
          </cell>
          <cell r="H6" t="str">
            <v>No</v>
          </cell>
          <cell r="I6" t="str">
            <v>Spencer Anderson</v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>Annalene Conde Jun 10, 2026 1:54 PM</v>
          </cell>
          <cell r="X6" t="str">
            <v/>
          </cell>
          <cell r="Y6">
            <v>46147</v>
          </cell>
          <cell r="Z6" t="str">
            <v/>
          </cell>
          <cell r="AA6" t="str">
            <v/>
          </cell>
          <cell r="AB6" t="str">
            <v>Annalene Conde May 5, 2026 2:51 PM</v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 t="str">
            <v>Jared Foley</v>
          </cell>
          <cell r="AI6" t="str">
            <v/>
          </cell>
        </row>
        <row r="7">
          <cell r="C7">
            <v>89558</v>
          </cell>
          <cell r="D7" t="str">
            <v/>
          </cell>
          <cell r="E7" t="str">
            <v/>
          </cell>
          <cell r="F7" t="str">
            <v>Deposit</v>
          </cell>
          <cell r="G7" t="str">
            <v>Waiting on RSM</v>
          </cell>
          <cell r="H7" t="str">
            <v>No</v>
          </cell>
          <cell r="I7" t="str">
            <v>Stefan Monetta</v>
          </cell>
          <cell r="J7" t="str">
            <v/>
          </cell>
          <cell r="K7" t="str">
            <v>https://panda-windows-and-doors.monday.com/protected_static/21046287/resources/3007179503/Signed Proposal 05292026.pdf</v>
          </cell>
          <cell r="L7" t="str">
            <v>https://panda-windows-and-doors.monday.com/protected_static/21046287/resources/3007180748/BP-70M55_20260529_103612.pdf</v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>Pending Deposit</v>
          </cell>
          <cell r="T7" t="str">
            <v/>
          </cell>
          <cell r="U7" t="str">
            <v/>
          </cell>
          <cell r="V7" t="str">
            <v/>
          </cell>
          <cell r="W7" t="str">
            <v>Annalene Conde Jun 10, 2026 1:54 PM</v>
          </cell>
          <cell r="X7" t="str">
            <v>2026-02-17 10:28</v>
          </cell>
          <cell r="Y7">
            <v>46171</v>
          </cell>
          <cell r="Z7" t="str">
            <v/>
          </cell>
          <cell r="AA7" t="str">
            <v/>
          </cell>
          <cell r="AB7" t="str">
            <v>Amit Iarochevsky May 29, 2026 11:42 AM</v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>Mike Opitz</v>
          </cell>
          <cell r="AI7" t="str">
            <v/>
          </cell>
        </row>
        <row r="8">
          <cell r="C8">
            <v>222678</v>
          </cell>
          <cell r="D8" t="str">
            <v/>
          </cell>
          <cell r="E8" t="str">
            <v/>
          </cell>
          <cell r="F8" t="str">
            <v>All Weather</v>
          </cell>
          <cell r="G8" t="str">
            <v>Waiting on RSM</v>
          </cell>
          <cell r="H8" t="str">
            <v>No</v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>Amit Iarochevsky Jun 17, 2026 12:27 PM</v>
          </cell>
          <cell r="X8" t="str">
            <v/>
          </cell>
          <cell r="Y8">
            <v>46190</v>
          </cell>
          <cell r="Z8" t="str">
            <v/>
          </cell>
          <cell r="AA8" t="str">
            <v/>
          </cell>
          <cell r="AB8" t="str">
            <v>Amit Iarochevsky Jun 17, 2026 12:26 PM</v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</row>
        <row r="9">
          <cell r="C9">
            <v>4500818061</v>
          </cell>
          <cell r="D9" t="str">
            <v/>
          </cell>
          <cell r="E9" t="str">
            <v/>
          </cell>
          <cell r="F9" t="str">
            <v>Windsor</v>
          </cell>
          <cell r="G9" t="str">
            <v>Waiting on RSM</v>
          </cell>
          <cell r="H9" t="str">
            <v>No</v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>Amit Iarochevsky Jun 17, 2026 12:29 PM</v>
          </cell>
          <cell r="X9" t="str">
            <v/>
          </cell>
          <cell r="Y9">
            <v>46190</v>
          </cell>
          <cell r="Z9" t="str">
            <v/>
          </cell>
          <cell r="AA9" t="str">
            <v/>
          </cell>
          <cell r="AB9" t="str">
            <v>Amit Iarochevsky Jun 17, 2026 12:28 PM</v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</row>
        <row r="10">
          <cell r="C10">
            <v>222676</v>
          </cell>
          <cell r="D10" t="str">
            <v/>
          </cell>
          <cell r="E10" t="str">
            <v/>
          </cell>
          <cell r="F10" t="str">
            <v>All Weather</v>
          </cell>
          <cell r="G10" t="str">
            <v>Waiting on RSM</v>
          </cell>
          <cell r="H10" t="str">
            <v>No</v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>Amit Iarochevsky Jun 17, 2026 2:32 PM</v>
          </cell>
          <cell r="X10" t="str">
            <v/>
          </cell>
          <cell r="Y10">
            <v>46190</v>
          </cell>
          <cell r="Z10" t="str">
            <v/>
          </cell>
          <cell r="AA10" t="str">
            <v/>
          </cell>
          <cell r="AB10" t="str">
            <v>Amit Iarochevsky Jun 17, 2026 2:31 PM</v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</row>
        <row r="11">
          <cell r="C11">
            <v>4500818049</v>
          </cell>
          <cell r="D11" t="str">
            <v/>
          </cell>
          <cell r="E11" t="str">
            <v/>
          </cell>
          <cell r="F11" t="str">
            <v>Windsor</v>
          </cell>
          <cell r="G11" t="str">
            <v>Waiting on RSM</v>
          </cell>
          <cell r="H11" t="str">
            <v>No</v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>Amit Iarochevsky Jun 17, 2026 2:51 PM</v>
          </cell>
          <cell r="X11" t="str">
            <v/>
          </cell>
          <cell r="Y11">
            <v>46190</v>
          </cell>
          <cell r="Z11" t="str">
            <v/>
          </cell>
          <cell r="AA11" t="str">
            <v/>
          </cell>
          <cell r="AB11" t="str">
            <v>Amit Iarochevsky Jun 17, 2026 2:51 PM</v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</row>
        <row r="12">
          <cell r="C12">
            <v>12314</v>
          </cell>
          <cell r="D12">
            <v>46190</v>
          </cell>
          <cell r="E12" t="str">
            <v/>
          </cell>
          <cell r="F12" t="str">
            <v>Change Order</v>
          </cell>
          <cell r="G12" t="str">
            <v>Change Order Request</v>
          </cell>
          <cell r="H12" t="str">
            <v>No</v>
          </cell>
          <cell r="I12" t="str">
            <v>Annalene Conde</v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>Pending Deposit</v>
          </cell>
          <cell r="T12" t="str">
            <v/>
          </cell>
          <cell r="U12" t="str">
            <v/>
          </cell>
          <cell r="V12" t="str">
            <v/>
          </cell>
          <cell r="W12" t="str">
            <v>Amit Iarochevsky Jun 17, 2026 10:44 AM</v>
          </cell>
          <cell r="X12" t="str">
            <v/>
          </cell>
          <cell r="Y12">
            <v>46190</v>
          </cell>
          <cell r="Z12" t="str">
            <v/>
          </cell>
          <cell r="AA12" t="str">
            <v/>
          </cell>
          <cell r="AB12" t="str">
            <v>Annalene Conde Jun 17, 2026 10:41 AM</v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46190</v>
          </cell>
        </row>
        <row r="13">
          <cell r="C13">
            <v>82172</v>
          </cell>
          <cell r="D13" t="str">
            <v/>
          </cell>
          <cell r="E13" t="str">
            <v/>
          </cell>
          <cell r="F13" t="str">
            <v>Deposit</v>
          </cell>
          <cell r="G13" t="str">
            <v>Invoice Sent</v>
          </cell>
          <cell r="H13" t="str">
            <v>No</v>
          </cell>
          <cell r="I13" t="str">
            <v>Derrick McCall</v>
          </cell>
          <cell r="J13" t="str">
            <v/>
          </cell>
          <cell r="K13" t="str">
            <v>https://panda-windows-and-doors.monday.com/protected_static/21046287/resources/2083750927/QQ_82172 Sunset Clubhouse 10032024.pdf</v>
          </cell>
          <cell r="L13" t="str">
            <v>https://panda-windows-and-doors.monday.com/protected_static/21046287/resources/2083288360/no-reply_panda-windows.com_20250120_084137.pdf</v>
          </cell>
          <cell r="M13" t="str">
            <v/>
          </cell>
          <cell r="N13" t="str">
            <v>https://panda-windows-and-doors.monday.com/protected_static/21046287/resources/1909370215/82172 DEPOSIT INVOICE.pdf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>Pending Deposit</v>
          </cell>
          <cell r="T13" t="str">
            <v/>
          </cell>
          <cell r="U13">
            <v>11199</v>
          </cell>
          <cell r="V13">
            <v>13324.14</v>
          </cell>
          <cell r="W13" t="str">
            <v>Annalene Conde Jun 10, 2026 1:56 PM</v>
          </cell>
          <cell r="X13" t="str">
            <v>2025-01-09 00:00</v>
          </cell>
          <cell r="Y13">
            <v>45677</v>
          </cell>
          <cell r="Z13" t="str">
            <v/>
          </cell>
          <cell r="AA13">
            <v>45677</v>
          </cell>
          <cell r="AB13" t="str">
            <v>Jayme Truong Jan 20, 2025 11:07 AM</v>
          </cell>
          <cell r="AC13">
            <v>45678</v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>American Glass</v>
          </cell>
          <cell r="AI13" t="str">
            <v/>
          </cell>
        </row>
        <row r="14">
          <cell r="C14">
            <v>82669</v>
          </cell>
          <cell r="D14" t="str">
            <v/>
          </cell>
          <cell r="E14" t="str">
            <v/>
          </cell>
          <cell r="F14" t="str">
            <v>Deposit</v>
          </cell>
          <cell r="G14" t="str">
            <v>Invoice Sent</v>
          </cell>
          <cell r="H14" t="str">
            <v>No</v>
          </cell>
          <cell r="I14" t="str">
            <v>Efrain Zarate, Trevor Benthagen</v>
          </cell>
          <cell r="J14" t="str">
            <v/>
          </cell>
          <cell r="K14" t="str">
            <v>https://panda-windows-and-doors.monday.com/protected_static/21046287/resources/2005228938/Q#82669 SIGNED PROPOSAL.pdf</v>
          </cell>
          <cell r="L14" t="str">
            <v>https://panda-windows-and-doors.monday.com/protected_static/21046287/resources/2083332102/Q_82669 SIGNED BACKER.pdf</v>
          </cell>
          <cell r="M14" t="str">
            <v/>
          </cell>
          <cell r="N14" t="str">
            <v>https://panda-windows-and-doors.monday.com/protected_static/21046287/resources/2009458635/82669 Deposit Invoice.pdf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>Pending Deposit</v>
          </cell>
          <cell r="T14" t="str">
            <v/>
          </cell>
          <cell r="U14">
            <v>3752</v>
          </cell>
          <cell r="V14">
            <v>4275.8999999999996</v>
          </cell>
          <cell r="W14" t="str">
            <v>Annalene Conde Jun 10, 2026 1:56 PM</v>
          </cell>
          <cell r="X14" t="str">
            <v>2024-12-26 00:00</v>
          </cell>
          <cell r="Y14">
            <v>45727</v>
          </cell>
          <cell r="Z14" t="str">
            <v/>
          </cell>
          <cell r="AA14">
            <v>45727</v>
          </cell>
          <cell r="AB14" t="str">
            <v>Jayme Truong Mar 10, 2025 9:09 AM</v>
          </cell>
          <cell r="AC14">
            <v>45727</v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>Gary Kortz</v>
          </cell>
          <cell r="AI14" t="str">
            <v/>
          </cell>
        </row>
        <row r="15">
          <cell r="C15">
            <v>83357</v>
          </cell>
          <cell r="D15" t="str">
            <v/>
          </cell>
          <cell r="E15" t="str">
            <v/>
          </cell>
          <cell r="F15" t="str">
            <v>Deposit</v>
          </cell>
          <cell r="G15" t="str">
            <v>Invoice Sent</v>
          </cell>
          <cell r="H15" t="str">
            <v>No</v>
          </cell>
          <cell r="I15" t="str">
            <v>Efrain Zarate, Trevor Benthagen</v>
          </cell>
          <cell r="J15" t="str">
            <v/>
          </cell>
          <cell r="K15" t="str">
            <v>https://panda-windows-and-doors.monday.com/protected_static/21046287/resources/2083751517/smtp.office365.com_20250313_074803.pdf</v>
          </cell>
          <cell r="L15" t="str">
            <v>https://panda-windows-and-doors.monday.com/protected_static/21046287/resources/2083336497/smtp.office365.com_20250313_074811.pdf, https://panda-windows-and-doors.monday.com/protected_static/21046287/resources/2083336494/5162 Rock Daisy 01102025.xlsx</v>
          </cell>
          <cell r="M15" t="str">
            <v/>
          </cell>
          <cell r="N15" t="str">
            <v>https://panda-windows-and-doors.monday.com/protected_static/21046287/resources/2014112267/83357 Deposit Invoice.pdf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>Pending Deposit</v>
          </cell>
          <cell r="T15" t="str">
            <v/>
          </cell>
          <cell r="U15">
            <v>5902</v>
          </cell>
          <cell r="V15">
            <v>6889.51</v>
          </cell>
          <cell r="W15" t="str">
            <v>Annalene Conde Jun 10, 2026 1:56 PM</v>
          </cell>
          <cell r="X15" t="str">
            <v>2025-01-10 00:00</v>
          </cell>
          <cell r="Y15">
            <v>45729</v>
          </cell>
          <cell r="Z15" t="str">
            <v/>
          </cell>
          <cell r="AA15">
            <v>45729</v>
          </cell>
          <cell r="AB15" t="str">
            <v>Jayme Truong Mar 13, 2025 10:18 AM</v>
          </cell>
          <cell r="AC15">
            <v>45729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>Steven Thomas</v>
          </cell>
          <cell r="AI15" t="str">
            <v/>
          </cell>
        </row>
        <row r="16">
          <cell r="C16">
            <v>83891</v>
          </cell>
          <cell r="D16" t="str">
            <v/>
          </cell>
          <cell r="E16" t="str">
            <v/>
          </cell>
          <cell r="F16" t="str">
            <v>Lowe's Final</v>
          </cell>
          <cell r="G16" t="str">
            <v>Invoice Sent</v>
          </cell>
          <cell r="H16" t="str">
            <v>No</v>
          </cell>
          <cell r="I16" t="str">
            <v>Spencer Anderson</v>
          </cell>
          <cell r="J16" t="str">
            <v>Tiranit Shoshan</v>
          </cell>
          <cell r="K16" t="str">
            <v>https://panda-windows-and-doors.monday.com/protected_static/21046287/resources/1965026754/Scanned_from_a_Lexmark_Multifunction_Product02-17-2025-194138.pdf, https://panda-windows-and-doors.monday.com/protected_static/21046287/resources/2228072351/Scanned_from_a_Lexmark_Multifunction_Product02-17-2025-194138.pdf, https://panda-windows-and-doors.monday.com/protected_static/21046287/resources/2678582420/Scanned_from_a_Lexmark_Multifunction_Product02-17-2025-194138.pdf</v>
          </cell>
          <cell r="L16" t="str">
            <v>https://panda-windows-and-doors.monday.com/protected_static/21046287/resources/2111698746/Copy of Lowes #0758_TAVI Sliding Door - with Crating  Proposal  02182025.pdf, https://panda-windows-and-doors.monday.com/protected_static/21046287/resources/2111698884/IMG_8335 (1).jpg, https://panda-windows-and-doors.monday.com/protected_static/21046287/resources/2228072383/Copy of Lowes #0758_TAVI Sliding Door - with Crating  Proposal  02182025.pdf, https://panda-windows-and-doors.monday.com/protected_static/21046287/resources/2228072387/IMG_8335 (1).jpg, https://panda-windows-and-doors.monday.com/protected_static/21046287/resources/2678582443/Copy of Lowes #0758_TAVI Sliding Door - with Crating  Proposal  02182025.pdf, https://panda-windows-and-doors.monday.com/protected_static/21046287/resources/2678582453/IMG_8335 (1).jpg</v>
          </cell>
          <cell r="M16" t="str">
            <v/>
          </cell>
          <cell r="N16" t="str">
            <v>https://panda-windows-and-doors.monday.com/protected_static/21046287/resources/1969013220/83891 Deposit Invoice.pdf</v>
          </cell>
          <cell r="O16" t="str">
            <v>Lisa Ujkic</v>
          </cell>
          <cell r="P16" t="str">
            <v/>
          </cell>
          <cell r="Q16" t="str">
            <v/>
          </cell>
          <cell r="R16" t="str">
            <v/>
          </cell>
          <cell r="S16" t="str">
            <v>Completed - Closed Out</v>
          </cell>
          <cell r="T16" t="str">
            <v/>
          </cell>
          <cell r="U16">
            <v>0</v>
          </cell>
          <cell r="V16">
            <v>30580</v>
          </cell>
          <cell r="W16" t="str">
            <v>Annalene Conde Jun 10, 2026 1:56 PM</v>
          </cell>
          <cell r="X16" t="str">
            <v/>
          </cell>
          <cell r="Y16">
            <v>45706</v>
          </cell>
          <cell r="Z16" t="str">
            <v/>
          </cell>
          <cell r="AA16">
            <v>45776</v>
          </cell>
          <cell r="AB16" t="str">
            <v>Jayme Truong Feb 18, 2025 8:15 AM</v>
          </cell>
          <cell r="AC16">
            <v>45776</v>
          </cell>
          <cell r="AD16" t="str">
            <v/>
          </cell>
          <cell r="AE16" t="str">
            <v/>
          </cell>
          <cell r="AF16">
            <v>45776</v>
          </cell>
          <cell r="AG16" t="str">
            <v/>
          </cell>
          <cell r="AH16" t="str">
            <v>Lisa Ujkic, Lisa Ujkic, Lisa Ujkic</v>
          </cell>
          <cell r="AI16" t="str">
            <v/>
          </cell>
        </row>
        <row r="17">
          <cell r="C17">
            <v>83343</v>
          </cell>
          <cell r="D17" t="str">
            <v/>
          </cell>
          <cell r="E17" t="str">
            <v/>
          </cell>
          <cell r="F17" t="str">
            <v>Lowe's Final</v>
          </cell>
          <cell r="G17" t="str">
            <v>Invoice Sent</v>
          </cell>
          <cell r="H17" t="str">
            <v>No</v>
          </cell>
          <cell r="I17" t="str">
            <v>Spencer Anderson</v>
          </cell>
          <cell r="J17" t="str">
            <v/>
          </cell>
          <cell r="K17" t="str">
            <v>https://panda-windows-and-doors.monday.com/protected_static/21046287/resources/2083760284/Scanned_from_a_Lexmark_Multifunction_Product02-07-2025-064911.pdf, https://panda-windows-and-doors.monday.com/protected_static/21046287/resources/2228072154/Scanned_from_a_Lexmark_Multifunction_Product02-07-2025-064911.pdf, https://panda-windows-and-doors.monday.com/protected_static/21046287/resources/2678582271/Scanned_from_a_Lexmark_Multifunction_Product02-07-2025-064911.pdf</v>
          </cell>
          <cell r="L17" t="str">
            <v>https://panda-windows-and-doors.monday.com/protected_static/21046287/resources/2111697056/BASE TOTAL.pdf, https://panda-windows-and-doors.monday.com/protected_static/21046287/resources/2228072285/BASE TOTAL.pdf, https://panda-windows-and-doors.monday.com/protected_static/21046287/resources/2678582312/BASE TOTAL.pdf</v>
          </cell>
          <cell r="M17" t="str">
            <v/>
          </cell>
          <cell r="N17" t="str">
            <v>https://panda-windows-and-doors.monday.com/protected_static/21046287/resources/1946887129/83343 deposit invoice.pdf</v>
          </cell>
          <cell r="O17" t="str">
            <v>Ethan Hobaica</v>
          </cell>
          <cell r="P17" t="str">
            <v/>
          </cell>
          <cell r="Q17" t="str">
            <v/>
          </cell>
          <cell r="R17" t="str">
            <v/>
          </cell>
          <cell r="S17" t="str">
            <v>Completed - Closed Out</v>
          </cell>
          <cell r="T17" t="str">
            <v/>
          </cell>
          <cell r="U17">
            <v>0</v>
          </cell>
          <cell r="V17">
            <v>1983</v>
          </cell>
          <cell r="W17" t="str">
            <v>Annalene Conde Jun 10, 2026 1:56 PM</v>
          </cell>
          <cell r="X17" t="str">
            <v/>
          </cell>
          <cell r="Y17">
            <v>45695</v>
          </cell>
          <cell r="Z17" t="str">
            <v/>
          </cell>
          <cell r="AA17">
            <v>45776</v>
          </cell>
          <cell r="AB17" t="str">
            <v>Jayme Truong Feb 7, 2025 10:01 AM</v>
          </cell>
          <cell r="AC17">
            <v>45776</v>
          </cell>
          <cell r="AD17">
            <v>45695</v>
          </cell>
          <cell r="AE17">
            <v>45776</v>
          </cell>
          <cell r="AF17">
            <v>45776</v>
          </cell>
          <cell r="AG17" t="str">
            <v/>
          </cell>
          <cell r="AH17" t="str">
            <v>Ethan Hobaica, Ethan Hobaica, Ethan Hobaica</v>
          </cell>
          <cell r="AI17" t="str">
            <v/>
          </cell>
        </row>
        <row r="18">
          <cell r="C18">
            <v>85778</v>
          </cell>
          <cell r="D18" t="str">
            <v/>
          </cell>
          <cell r="E18" t="str">
            <v/>
          </cell>
          <cell r="F18" t="str">
            <v>Deposit</v>
          </cell>
          <cell r="G18" t="str">
            <v>Invoice Sent</v>
          </cell>
          <cell r="H18" t="str">
            <v>No</v>
          </cell>
          <cell r="I18" t="str">
            <v>Sean Torre</v>
          </cell>
          <cell r="J18" t="str">
            <v/>
          </cell>
          <cell r="K18" t="str">
            <v>https://panda-windows-and-doors.monday.com/protected_static/21046287/resources/2169553660/QQ#85778 Illy at Cosmo 05272025 (1) (1).pdf</v>
          </cell>
          <cell r="L18" t="str">
            <v>https://panda-windows-and-doors.monday.com/protected_static/21046287/resources/2169553588/CamScanner 05-28-2025 13.20.pdf</v>
          </cell>
          <cell r="M18" t="str">
            <v/>
          </cell>
          <cell r="N18" t="str">
            <v>https://panda-windows-and-doors.monday.com/protected_static/21046287/resources/2169801165/85778 Deposit Invoice.pdf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>Pending Deposit</v>
          </cell>
          <cell r="T18" t="str">
            <v/>
          </cell>
          <cell r="U18">
            <v>29854</v>
          </cell>
          <cell r="V18">
            <v>34853.46</v>
          </cell>
          <cell r="W18" t="str">
            <v>Annalene Conde Jun 10, 2026 1:56 PM</v>
          </cell>
          <cell r="X18" t="str">
            <v>2025-05-28 00:00</v>
          </cell>
          <cell r="Y18">
            <v>45805</v>
          </cell>
          <cell r="Z18" t="str">
            <v/>
          </cell>
          <cell r="AA18">
            <v>45805</v>
          </cell>
          <cell r="AB18" t="str">
            <v>Jayme Truong May 28, 2025 2:30 PM</v>
          </cell>
          <cell r="AC18">
            <v>45805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>Alba Jubani</v>
          </cell>
          <cell r="AI18" t="str">
            <v/>
          </cell>
        </row>
        <row r="19">
          <cell r="C19" t="str">
            <v>83601-R2</v>
          </cell>
          <cell r="D19" t="str">
            <v/>
          </cell>
          <cell r="E19" t="str">
            <v/>
          </cell>
          <cell r="F19" t="str">
            <v>Final</v>
          </cell>
          <cell r="G19" t="str">
            <v>Partial Final Collected</v>
          </cell>
          <cell r="H19" t="str">
            <v>No</v>
          </cell>
          <cell r="I19" t="str">
            <v>Spencer Anderson</v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>https://panda-windows-and-doors.monday.com/protected_static/21046287/resources/2077488299/83601 Deposit Invoice.pdf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>Completed - Closed Out</v>
          </cell>
          <cell r="T19" t="str">
            <v/>
          </cell>
          <cell r="U19">
            <v>23383.38</v>
          </cell>
          <cell r="V19">
            <v>23856.62</v>
          </cell>
          <cell r="W19" t="str">
            <v>Annalene Conde Jun 10, 2026 1:56 PM</v>
          </cell>
          <cell r="X19" t="str">
            <v/>
          </cell>
          <cell r="Y19">
            <v>45756</v>
          </cell>
          <cell r="Z19" t="str">
            <v/>
          </cell>
          <cell r="AA19">
            <v>45838</v>
          </cell>
          <cell r="AB19" t="str">
            <v>Jayme Truong Apr 9, 2025 1:29 PM</v>
          </cell>
          <cell r="AC19">
            <v>45838</v>
          </cell>
          <cell r="AD19">
            <v>45779</v>
          </cell>
          <cell r="AE19">
            <v>45868</v>
          </cell>
          <cell r="AF19">
            <v>45838</v>
          </cell>
          <cell r="AG19" t="str">
            <v/>
          </cell>
          <cell r="AH19" t="str">
            <v/>
          </cell>
          <cell r="AI19" t="str">
            <v/>
          </cell>
        </row>
        <row r="20">
          <cell r="C20">
            <v>86708</v>
          </cell>
          <cell r="D20" t="str">
            <v/>
          </cell>
          <cell r="E20" t="str">
            <v/>
          </cell>
          <cell r="F20" t="str">
            <v>Deposit</v>
          </cell>
          <cell r="G20" t="str">
            <v>Invoice Sent</v>
          </cell>
          <cell r="H20" t="str">
            <v>No</v>
          </cell>
          <cell r="I20" t="str">
            <v>Derrick McCall</v>
          </cell>
          <cell r="J20" t="str">
            <v/>
          </cell>
          <cell r="K20" t="str">
            <v>https://panda-windows-and-doors.monday.com/protected_static/21046287/resources/2327469362/QQ#86708 560 El Camino Real 07302025-Signed.pdf</v>
          </cell>
          <cell r="L20" t="str">
            <v>https://panda-windows-and-doors.monday.com/protected_static/21046287/resources/2327469821/Q86708 SB.pdf</v>
          </cell>
          <cell r="M20" t="str">
            <v/>
          </cell>
          <cell r="N20" t="str">
            <v>https://panda-windows-and-doors.monday.com/protected_static/21046287/resources/2327793550/86708 Deposit Invoice.pdf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>Pending Deposit</v>
          </cell>
          <cell r="T20" t="str">
            <v/>
          </cell>
          <cell r="U20">
            <v>14823</v>
          </cell>
          <cell r="V20">
            <v>17448.47</v>
          </cell>
          <cell r="W20" t="str">
            <v>Annalene Conde Jun 10, 2026 1:56 PM</v>
          </cell>
          <cell r="X20" t="str">
            <v>2025-07-31 00:00</v>
          </cell>
          <cell r="Y20">
            <v>45870</v>
          </cell>
          <cell r="Z20" t="str">
            <v/>
          </cell>
          <cell r="AA20">
            <v>45870</v>
          </cell>
          <cell r="AB20" t="str">
            <v>Jayme Truong Aug 1, 2025 11:49 AM</v>
          </cell>
          <cell r="AC20">
            <v>45870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>VCI Construction, Inc</v>
          </cell>
          <cell r="AI20" t="str">
            <v/>
          </cell>
        </row>
        <row r="21">
          <cell r="C21">
            <v>84495</v>
          </cell>
          <cell r="D21" t="str">
            <v/>
          </cell>
          <cell r="E21" t="str">
            <v/>
          </cell>
          <cell r="F21" t="str">
            <v>Deposit</v>
          </cell>
          <cell r="G21" t="str">
            <v>Invoice Sent</v>
          </cell>
          <cell r="H21" t="str">
            <v>No</v>
          </cell>
          <cell r="I21" t="str">
            <v>Stefan Monetta</v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>https://panda-windows-and-doors.monday.com/protected_static/21046287/resources/2339508857/84495 Revised Deposit Invoice.pdf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>Pending Deposit</v>
          </cell>
          <cell r="T21" t="str">
            <v/>
          </cell>
          <cell r="U21">
            <v>32290</v>
          </cell>
          <cell r="V21">
            <v>32290</v>
          </cell>
          <cell r="W21" t="str">
            <v>Annalene Conde Jun 10, 2026 1:56 PM</v>
          </cell>
          <cell r="X21" t="str">
            <v/>
          </cell>
          <cell r="Y21">
            <v>45806</v>
          </cell>
          <cell r="Z21" t="str">
            <v/>
          </cell>
          <cell r="AA21">
            <v>45876</v>
          </cell>
          <cell r="AB21" t="str">
            <v>Jayme Truong May 29, 2025 3:14 PM</v>
          </cell>
          <cell r="AC21">
            <v>45876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</row>
        <row r="22">
          <cell r="C22">
            <v>86461</v>
          </cell>
          <cell r="D22" t="str">
            <v/>
          </cell>
          <cell r="E22" t="str">
            <v/>
          </cell>
          <cell r="F22" t="str">
            <v>Deposit</v>
          </cell>
          <cell r="G22" t="str">
            <v>Deposit Collected</v>
          </cell>
          <cell r="H22" t="str">
            <v>No</v>
          </cell>
          <cell r="I22" t="str">
            <v>Trevor Benthagen, Efrain Zarate</v>
          </cell>
          <cell r="J22" t="str">
            <v/>
          </cell>
          <cell r="K22" t="str">
            <v>https://panda-windows-and-doors.monday.com/protected_static/21046287/resources/2515989915/smtp.office365.com_20251028_102620.pdf</v>
          </cell>
          <cell r="L22" t="str">
            <v>https://panda-windows-and-doors.monday.com/protected_static/21046287/resources/2515990540/smtp.office365.com_20251028_102647.pdf</v>
          </cell>
          <cell r="M22" t="str">
            <v/>
          </cell>
          <cell r="N22" t="str">
            <v>https://panda-windows-and-doors.monday.com/protected_static/21046287/resources/2521895698/86461 Deposit Invoice.pdf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>Sent to Engineering</v>
          </cell>
          <cell r="T22" t="str">
            <v/>
          </cell>
          <cell r="U22">
            <v>199193</v>
          </cell>
          <cell r="V22">
            <v>238267.22</v>
          </cell>
          <cell r="W22" t="str">
            <v>Annalene Conde Jun 10, 2026 1:56 PM</v>
          </cell>
          <cell r="X22" t="str">
            <v>2025-07-08 13:45</v>
          </cell>
          <cell r="Y22">
            <v>45959</v>
          </cell>
          <cell r="Z22" t="str">
            <v/>
          </cell>
          <cell r="AA22">
            <v>45959</v>
          </cell>
          <cell r="AB22" t="str">
            <v>Annalene Conde Oct 29, 2025 3:28 PM</v>
          </cell>
          <cell r="AC22">
            <v>45960</v>
          </cell>
          <cell r="AD22">
            <v>45960</v>
          </cell>
          <cell r="AE22" t="str">
            <v/>
          </cell>
          <cell r="AF22" t="str">
            <v/>
          </cell>
          <cell r="AG22" t="str">
            <v/>
          </cell>
          <cell r="AH22" t="str">
            <v>Kierstynn Salinger</v>
          </cell>
          <cell r="AI22" t="str">
            <v/>
          </cell>
        </row>
        <row r="23">
          <cell r="C23">
            <v>86644</v>
          </cell>
          <cell r="D23" t="str">
            <v/>
          </cell>
          <cell r="E23" t="str">
            <v/>
          </cell>
          <cell r="F23" t="str">
            <v>Deposit</v>
          </cell>
          <cell r="G23" t="str">
            <v>Invoice Sent</v>
          </cell>
          <cell r="H23" t="str">
            <v>No</v>
          </cell>
          <cell r="I23" t="str">
            <v>Derrick McCall</v>
          </cell>
          <cell r="J23" t="str">
            <v/>
          </cell>
          <cell r="K23" t="str">
            <v>https://panda-windows-and-doors.monday.com/protected_static/21046287/resources/2556171238/Panda Door Quote-signed.pdf</v>
          </cell>
          <cell r="L23" t="str">
            <v>https://panda-windows-and-doors.monday.com/protected_static/21046287/resources/2556169179/BP-70M55_20251114_110329.pdf</v>
          </cell>
          <cell r="M23" t="str">
            <v/>
          </cell>
          <cell r="N23" t="str">
            <v>https://panda-windows-and-doors.monday.com/protected_static/21046287/resources/2556515728/86644 Deposit Invoice.pdf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>Pending Deposit</v>
          </cell>
          <cell r="T23" t="str">
            <v/>
          </cell>
          <cell r="U23">
            <v>15267</v>
          </cell>
          <cell r="V23">
            <v>18549.419999999998</v>
          </cell>
          <cell r="W23" t="str">
            <v>Annalene Conde Jun 10, 2026 1:56 PM</v>
          </cell>
          <cell r="X23" t="str">
            <v>2025-11-14 00:00</v>
          </cell>
          <cell r="Y23">
            <v>45975</v>
          </cell>
          <cell r="Z23" t="str">
            <v/>
          </cell>
          <cell r="AA23">
            <v>45975</v>
          </cell>
          <cell r="AB23" t="str">
            <v>Annalene Conde Nov 14, 2025 12:24 PM</v>
          </cell>
          <cell r="AC23">
            <v>45975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>Capital Glass Company</v>
          </cell>
          <cell r="AI23" t="str">
            <v/>
          </cell>
        </row>
        <row r="24">
          <cell r="C24">
            <v>88227</v>
          </cell>
          <cell r="D24" t="str">
            <v/>
          </cell>
          <cell r="E24" t="str">
            <v/>
          </cell>
          <cell r="F24" t="str">
            <v>Deposit</v>
          </cell>
          <cell r="G24" t="str">
            <v>Deposit Collected</v>
          </cell>
          <cell r="H24" t="str">
            <v>No</v>
          </cell>
          <cell r="I24" t="str">
            <v>Derrick McCall</v>
          </cell>
          <cell r="J24" t="str">
            <v/>
          </cell>
          <cell r="K24" t="str">
            <v>https://panda-windows-and-doors.monday.com/protected_static/21046287/resources/2645461164/QQ#88227 Sunnydale Block 7 11-17-2025.pdf</v>
          </cell>
          <cell r="L24" t="str">
            <v>https://panda-windows-and-doors.monday.com/protected_static/21046287/resources/2645460856/Q88227 AB.pdf</v>
          </cell>
          <cell r="M24" t="str">
            <v/>
          </cell>
          <cell r="N24" t="str">
            <v>https://panda-windows-and-doors.monday.com/protected_static/21046287/resources/2645501591/88227 Deposit Invoice.pdf</v>
          </cell>
          <cell r="O24" t="str">
            <v/>
          </cell>
          <cell r="P24" t="str">
            <v/>
          </cell>
          <cell r="Q24" t="str">
            <v/>
          </cell>
          <cell r="R24" t="str">
            <v>https://panda-windows-and-doors.monday.com/protected_static/21046287/resources/2914104408/Q88227_LTS30 OPT MANUAL.pdf, https://panda-windows-and-doors.monday.com/protected_static/21046287/resources/2914104405/Q88227_LTS30 BOM.pdf, https://panda-windows-and-doors.monday.com/protected_static/21046287/resources/2914104409/Q88227_LTS30 CUT LIST.pdf, https://panda-windows-and-doors.monday.com/protected_static/21046287/resources/2914104406/Q88227_LTS30 MAT LIST.pdf, https://panda-windows-and-doors.monday.com/protected_static/21046287/resources/2914104403/Q88227_LTS30 OPT.pdf</v>
          </cell>
          <cell r="S24" t="str">
            <v>In Production</v>
          </cell>
          <cell r="T24" t="str">
            <v/>
          </cell>
          <cell r="U24">
            <v>32005</v>
          </cell>
          <cell r="V24">
            <v>37272.03</v>
          </cell>
          <cell r="W24" t="str">
            <v>Annalene Conde Jun 10, 2026 1:56 PM</v>
          </cell>
          <cell r="X24" t="str">
            <v>2025-12-29 00:00</v>
          </cell>
          <cell r="Y24">
            <v>46020</v>
          </cell>
          <cell r="Z24" t="str">
            <v/>
          </cell>
          <cell r="AA24">
            <v>46020</v>
          </cell>
          <cell r="AB24" t="str">
            <v>Annalene Conde Dec 29, 2025 2:21 PM</v>
          </cell>
          <cell r="AC24">
            <v>46020</v>
          </cell>
          <cell r="AD24">
            <v>46020</v>
          </cell>
          <cell r="AE24" t="str">
            <v/>
          </cell>
          <cell r="AF24" t="str">
            <v/>
          </cell>
          <cell r="AG24" t="str">
            <v/>
          </cell>
          <cell r="AH24" t="str">
            <v>Capitol Glass Company</v>
          </cell>
          <cell r="AI24" t="str">
            <v/>
          </cell>
        </row>
        <row r="25">
          <cell r="C25">
            <v>88718</v>
          </cell>
          <cell r="D25" t="str">
            <v/>
          </cell>
          <cell r="E25" t="str">
            <v/>
          </cell>
          <cell r="F25" t="str">
            <v>Deposit</v>
          </cell>
          <cell r="G25" t="str">
            <v>Invoice Sent</v>
          </cell>
          <cell r="H25" t="str">
            <v>No</v>
          </cell>
          <cell r="I25" t="str">
            <v>Efrain Zarate, Trevor Benthagen</v>
          </cell>
          <cell r="J25" t="str">
            <v/>
          </cell>
          <cell r="K25" t="str">
            <v>https://panda-windows-and-doors.monday.com/protected_static/21046287/resources/2656724171/1910 Grey Eagle Approval.pdf</v>
          </cell>
          <cell r="L25" t="str">
            <v>https://panda-windows-and-doors.monday.com/protected_static/21046287/resources/2656747640/BP-70M55_20260105_082301.pdf</v>
          </cell>
          <cell r="M25" t="str">
            <v/>
          </cell>
          <cell r="N25" t="str">
            <v>https://panda-windows-and-doors.monday.com/protected_static/21046287/resources/2658257334/88718 Deposit Invoice.pdf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>Pending Deposit</v>
          </cell>
          <cell r="T25" t="str">
            <v/>
          </cell>
          <cell r="U25">
            <v>8293</v>
          </cell>
          <cell r="V25">
            <v>9682.08</v>
          </cell>
          <cell r="W25" t="str">
            <v>Annalene Conde Jun 10, 2026 1:56 PM</v>
          </cell>
          <cell r="X25" t="str">
            <v>2026-01-05 00:00</v>
          </cell>
          <cell r="Y25">
            <v>46027</v>
          </cell>
          <cell r="Z25" t="str">
            <v/>
          </cell>
          <cell r="AA25">
            <v>46027</v>
          </cell>
          <cell r="AB25" t="str">
            <v>Annalene Conde Jan 5, 2026 9:19 AM</v>
          </cell>
          <cell r="AC25">
            <v>46027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>Michael Calkins</v>
          </cell>
          <cell r="AI25" t="str">
            <v/>
          </cell>
        </row>
        <row r="26">
          <cell r="C26">
            <v>88798</v>
          </cell>
          <cell r="D26" t="str">
            <v/>
          </cell>
          <cell r="E26" t="str">
            <v/>
          </cell>
          <cell r="F26" t="str">
            <v>Deposit</v>
          </cell>
          <cell r="G26" t="str">
            <v>Invoice Sent</v>
          </cell>
          <cell r="H26" t="str">
            <v>No</v>
          </cell>
          <cell r="I26" t="str">
            <v>Trevor Benthagen, Efrain Zarate</v>
          </cell>
          <cell r="J26" t="str">
            <v/>
          </cell>
          <cell r="K26" t="str">
            <v>https://panda-windows-and-doors.monday.com/protected_static/21046287/resources/2700032954/Q#88798 SIGNED SALES ORDER.pdf</v>
          </cell>
          <cell r="L26" t="str">
            <v>https://panda-windows-and-doors.monday.com/protected_static/21046287/resources/2700033190/Q#88798 SIGNED BACKER.pdf</v>
          </cell>
          <cell r="M26" t="str">
            <v/>
          </cell>
          <cell r="N26" t="str">
            <v>https://panda-windows-and-doors.monday.com/protected_static/21046287/resources/2700643551/88798 Deposit Invoice.pdf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>Pending Deposit</v>
          </cell>
          <cell r="T26" t="str">
            <v/>
          </cell>
          <cell r="U26">
            <v>11520</v>
          </cell>
          <cell r="V26">
            <v>13448.52</v>
          </cell>
          <cell r="W26" t="str">
            <v>Annalene Conde Jun 10, 2026 1:56 PM</v>
          </cell>
          <cell r="X26" t="str">
            <v>2026-01-21 00:00</v>
          </cell>
          <cell r="Y26">
            <v>46043</v>
          </cell>
          <cell r="Z26" t="str">
            <v/>
          </cell>
          <cell r="AA26">
            <v>46043</v>
          </cell>
          <cell r="AB26" t="str">
            <v>Annalene Conde Jan 21, 2026 12:44 PM</v>
          </cell>
          <cell r="AC26">
            <v>46043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>Michael Calkins</v>
          </cell>
          <cell r="AI26" t="str">
            <v/>
          </cell>
        </row>
        <row r="27">
          <cell r="C27">
            <v>88572</v>
          </cell>
          <cell r="D27" t="str">
            <v/>
          </cell>
          <cell r="E27" t="str">
            <v/>
          </cell>
          <cell r="F27" t="str">
            <v>Deposit</v>
          </cell>
          <cell r="G27" t="str">
            <v>Invoice Sent</v>
          </cell>
          <cell r="H27" t="str">
            <v>No</v>
          </cell>
          <cell r="I27" t="str">
            <v>Trevor Benthagen, Efrain Zarate</v>
          </cell>
          <cell r="J27" t="str">
            <v/>
          </cell>
          <cell r="K27" t="str">
            <v>https://panda-windows-and-doors.monday.com/protected_static/21046287/resources/2700056793/Q#88572 SIGNED SALES ORDER.pdf</v>
          </cell>
          <cell r="L27" t="str">
            <v>https://panda-windows-and-doors.monday.com/protected_static/21046287/resources/2700057191/Q#88572 SIGNED BACKER.pdf</v>
          </cell>
          <cell r="M27" t="str">
            <v/>
          </cell>
          <cell r="N27" t="str">
            <v>https://panda-windows-and-doors.monday.com/protected_static/21046287/resources/2700686183/88572 Deposit Invoice.pdf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>Pending Deposit</v>
          </cell>
          <cell r="T27" t="str">
            <v/>
          </cell>
          <cell r="U27">
            <v>12665</v>
          </cell>
          <cell r="V27">
            <v>14786.39</v>
          </cell>
          <cell r="W27" t="str">
            <v>Annalene Conde Jun 10, 2026 1:56 PM</v>
          </cell>
          <cell r="X27" t="str">
            <v>2025-12-12 11:14</v>
          </cell>
          <cell r="Y27">
            <v>46043</v>
          </cell>
          <cell r="Z27" t="str">
            <v/>
          </cell>
          <cell r="AA27">
            <v>46043</v>
          </cell>
          <cell r="AB27" t="str">
            <v>Annalene Conde Jan 21, 2026 12:52 PM</v>
          </cell>
          <cell r="AC27">
            <v>46043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>Michael Calkins</v>
          </cell>
          <cell r="AI27" t="str">
            <v/>
          </cell>
        </row>
        <row r="28">
          <cell r="C28">
            <v>87176</v>
          </cell>
          <cell r="D28" t="str">
            <v/>
          </cell>
          <cell r="E28" t="str">
            <v/>
          </cell>
          <cell r="F28" t="str">
            <v>Deposit</v>
          </cell>
          <cell r="G28" t="str">
            <v>Invoice Sent</v>
          </cell>
          <cell r="H28" t="str">
            <v>No</v>
          </cell>
          <cell r="I28" t="str">
            <v>Efrain Zarate, Trevor Benthagen</v>
          </cell>
          <cell r="J28" t="str">
            <v/>
          </cell>
          <cell r="K28" t="str">
            <v>https://panda-windows-and-doors.monday.com/protected_static/21046287/resources/2716930955/Australia Exhibit - Aluminum Sliding Door - Updated Panda Windows Quote.pdf</v>
          </cell>
          <cell r="L28" t="str">
            <v>https://panda-windows-and-doors.monday.com/protected_static/21046287/resources/2716936514/BP-70M55_20260128_111410.pdf</v>
          </cell>
          <cell r="M28" t="str">
            <v/>
          </cell>
          <cell r="N28" t="str">
            <v>https://panda-windows-and-doors.monday.com/protected_static/21046287/resources/2720109916/87176 Deposit Invoice.pdf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>Pending Deposit</v>
          </cell>
          <cell r="T28" t="str">
            <v/>
          </cell>
          <cell r="U28">
            <v>9608</v>
          </cell>
          <cell r="V28">
            <v>9608</v>
          </cell>
          <cell r="W28" t="str">
            <v>Annalene Conde Jun 10, 2026 1:56 PM</v>
          </cell>
          <cell r="X28" t="str">
            <v>2025-09-08 00:00</v>
          </cell>
          <cell r="Y28">
            <v>46050</v>
          </cell>
          <cell r="Z28" t="str">
            <v/>
          </cell>
          <cell r="AA28">
            <v>46050</v>
          </cell>
          <cell r="AB28" t="str">
            <v>Annalene Conde Jan 28, 2026 12:11 PM</v>
          </cell>
          <cell r="AC28">
            <v>46051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>Southwest Glass &amp; Glazing</v>
          </cell>
          <cell r="AI28" t="str">
            <v/>
          </cell>
        </row>
        <row r="29">
          <cell r="C29">
            <v>85175</v>
          </cell>
          <cell r="D29" t="str">
            <v/>
          </cell>
          <cell r="E29" t="str">
            <v/>
          </cell>
          <cell r="F29" t="str">
            <v>Final</v>
          </cell>
          <cell r="G29" t="str">
            <v>Invoice Sent</v>
          </cell>
          <cell r="H29" t="str">
            <v>No</v>
          </cell>
          <cell r="I29" t="str">
            <v>Luke Valles</v>
          </cell>
          <cell r="J29" t="str">
            <v/>
          </cell>
          <cell r="K29" t="str">
            <v>https://panda-windows-and-doors.monday.com/protected_static/21046287/resources/2120085895/QQ #85175 Wilson Residence 050225 - Signed.pdf</v>
          </cell>
          <cell r="L29" t="str">
            <v>https://panda-windows-and-doors.monday.com/protected_static/21046287/resources/2120085559/85175 Wilson Signed Backer.pdf</v>
          </cell>
          <cell r="M29" t="str">
            <v/>
          </cell>
          <cell r="N29" t="str">
            <v>https://panda-windows-and-doors.monday.com/protected_static/21046287/resources/2168756166/85175 Deposit Invoice.pdf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>Completed - Closed Out</v>
          </cell>
          <cell r="T29" t="str">
            <v/>
          </cell>
          <cell r="U29">
            <v>280256</v>
          </cell>
          <cell r="V29">
            <v>282255</v>
          </cell>
          <cell r="W29" t="str">
            <v>Annalene Conde Jun 10, 2026 1:56 PM</v>
          </cell>
          <cell r="X29" t="str">
            <v>2025-05-05 00:00</v>
          </cell>
          <cell r="Y29">
            <v>45782</v>
          </cell>
          <cell r="Z29" t="str">
            <v/>
          </cell>
          <cell r="AA29">
            <v>45782</v>
          </cell>
          <cell r="AB29" t="str">
            <v>Jayme Truong May 5, 2025 9:06 AM</v>
          </cell>
          <cell r="AC29">
            <v>45782</v>
          </cell>
          <cell r="AD29">
            <v>45936</v>
          </cell>
          <cell r="AE29">
            <v>46052</v>
          </cell>
          <cell r="AF29">
            <v>46052</v>
          </cell>
          <cell r="AG29" t="str">
            <v/>
          </cell>
          <cell r="AH29" t="str">
            <v>Infinity Group</v>
          </cell>
          <cell r="AI29" t="str">
            <v/>
          </cell>
        </row>
        <row r="30">
          <cell r="C30">
            <v>86924</v>
          </cell>
          <cell r="D30" t="str">
            <v/>
          </cell>
          <cell r="E30" t="str">
            <v/>
          </cell>
          <cell r="F30" t="str">
            <v>Final</v>
          </cell>
          <cell r="G30" t="str">
            <v>Invoice Sent</v>
          </cell>
          <cell r="H30" t="str">
            <v>No</v>
          </cell>
          <cell r="I30" t="str">
            <v>Luke Valles</v>
          </cell>
          <cell r="J30" t="str">
            <v/>
          </cell>
          <cell r="K30" t="str">
            <v>https://panda-windows-and-doors.monday.com/protected_static/21046287/resources/2518319362/QQ #86294 - Lululemon Boston- API - 08152025.pdf</v>
          </cell>
          <cell r="L30" t="str">
            <v>https://panda-windows-and-doors.monday.com/protected_static/21046287/resources/2518307137/86924 Lululemon Boston - signed backer - 102925.pdf</v>
          </cell>
          <cell r="M30" t="str">
            <v/>
          </cell>
          <cell r="N30" t="str">
            <v>https://panda-windows-and-doors.monday.com/protected_static/21046287/resources/2519402045/86924 Deposit Invoice.pdf</v>
          </cell>
          <cell r="O30" t="str">
            <v/>
          </cell>
          <cell r="P30" t="str">
            <v/>
          </cell>
          <cell r="Q30" t="str">
            <v/>
          </cell>
          <cell r="R30" t="str">
            <v>https://panda-windows-and-doors.monday.com/protected_static/21046287/resources/2632558844/Q86924 LULULEMON BOSTON - CUTLIST (MANUAL).pdf</v>
          </cell>
          <cell r="S30" t="str">
            <v>Completed - Closed Out</v>
          </cell>
          <cell r="T30" t="str">
            <v/>
          </cell>
          <cell r="U30">
            <v>40090</v>
          </cell>
          <cell r="V30">
            <v>44903.31</v>
          </cell>
          <cell r="W30" t="str">
            <v>Annalene Conde Jun 10, 2026 1:56 PM</v>
          </cell>
          <cell r="X30" t="str">
            <v>2025-10-29 00:00</v>
          </cell>
          <cell r="Y30">
            <v>45959</v>
          </cell>
          <cell r="Z30" t="str">
            <v/>
          </cell>
          <cell r="AA30">
            <v>45959</v>
          </cell>
          <cell r="AB30" t="str">
            <v>Annalene Conde Oct 29, 2025 9:04 AM</v>
          </cell>
          <cell r="AC30">
            <v>45959</v>
          </cell>
          <cell r="AD30">
            <v>45965</v>
          </cell>
          <cell r="AE30">
            <v>46056</v>
          </cell>
          <cell r="AF30">
            <v>46057</v>
          </cell>
          <cell r="AG30" t="str">
            <v/>
          </cell>
          <cell r="AH30" t="str">
            <v>American Products Inc</v>
          </cell>
          <cell r="AI30" t="str">
            <v/>
          </cell>
        </row>
        <row r="31">
          <cell r="C31">
            <v>89178</v>
          </cell>
          <cell r="D31" t="str">
            <v/>
          </cell>
          <cell r="E31" t="str">
            <v/>
          </cell>
          <cell r="F31" t="str">
            <v>Deposit</v>
          </cell>
          <cell r="G31" t="str">
            <v>Invoice Sent</v>
          </cell>
          <cell r="H31" t="str">
            <v>No</v>
          </cell>
          <cell r="I31" t="str">
            <v>Troy Kite</v>
          </cell>
          <cell r="J31" t="str">
            <v/>
          </cell>
          <cell r="K31" t="str">
            <v>https://panda-windows-and-doors.monday.com/protected_static/21046287/resources/2778897555/QQ # 89178 Ostrander Boat House 2-3-2026 copy.pdf</v>
          </cell>
          <cell r="L31" t="str">
            <v>https://panda-windows-and-doors.monday.com/protected_static/21046287/resources/2778898340/BP-70M55_20260223_082343.pdf</v>
          </cell>
          <cell r="M31" t="str">
            <v/>
          </cell>
          <cell r="N31" t="str">
            <v>https://panda-windows-and-doors.monday.com/protected_static/21046287/resources/2779115556/89178 Deposit Invoice.pdf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>Pending Deposit</v>
          </cell>
          <cell r="T31" t="str">
            <v/>
          </cell>
          <cell r="U31">
            <v>36222</v>
          </cell>
          <cell r="V31">
            <v>36222</v>
          </cell>
          <cell r="W31" t="str">
            <v>Annalene Conde Jun 10, 2026 1:56 PM</v>
          </cell>
          <cell r="X31" t="str">
            <v>2026-02-23 00:00</v>
          </cell>
          <cell r="Y31">
            <v>46076</v>
          </cell>
          <cell r="Z31" t="str">
            <v/>
          </cell>
          <cell r="AA31">
            <v>46076</v>
          </cell>
          <cell r="AB31" t="str">
            <v>Annalene Conde Feb 23, 2026 10:16 AM</v>
          </cell>
          <cell r="AC31">
            <v>46076</v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>David Ostrander (Boat House)</v>
          </cell>
          <cell r="AI31" t="str">
            <v/>
          </cell>
        </row>
        <row r="32">
          <cell r="C32">
            <v>88562</v>
          </cell>
          <cell r="D32" t="str">
            <v/>
          </cell>
          <cell r="E32" t="str">
            <v/>
          </cell>
          <cell r="F32" t="str">
            <v>Deposit</v>
          </cell>
          <cell r="G32" t="str">
            <v>Paid in Full</v>
          </cell>
          <cell r="H32" t="str">
            <v>No</v>
          </cell>
          <cell r="I32" t="str">
            <v>Stefan Monetta</v>
          </cell>
          <cell r="J32" t="str">
            <v/>
          </cell>
          <cell r="K32" t="str">
            <v>https://panda-windows-and-doors.monday.com/protected_static/21046287/resources/2791852155/Signed proposal.pdf</v>
          </cell>
          <cell r="L32" t="str">
            <v>https://panda-windows-and-doors.monday.com/protected_static/21046287/resources/2791843793/BP-70M55_20260224_153606.pdf</v>
          </cell>
          <cell r="M32" t="str">
            <v/>
          </cell>
          <cell r="N32" t="str">
            <v>https://panda-windows-and-doors.monday.com/protected_static/21046287/resources/2792236844/88562 Deposit Invoice.pdf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>Sent to Engineering</v>
          </cell>
          <cell r="T32" t="str">
            <v/>
          </cell>
          <cell r="U32">
            <v>24001</v>
          </cell>
          <cell r="V32">
            <v>27109.14</v>
          </cell>
          <cell r="W32" t="str">
            <v>Annalene Conde Jun 10, 2026 1:56 PM</v>
          </cell>
          <cell r="X32" t="str">
            <v>2026-02-27 00:00</v>
          </cell>
          <cell r="Y32">
            <v>46080</v>
          </cell>
          <cell r="Z32" t="str">
            <v/>
          </cell>
          <cell r="AA32">
            <v>46080</v>
          </cell>
          <cell r="AB32" t="str">
            <v>Annalene Conde Feb 27, 2026 12:04 PM</v>
          </cell>
          <cell r="AC32">
            <v>46080</v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>1st Choice Glass</v>
          </cell>
          <cell r="AI32" t="str">
            <v/>
          </cell>
        </row>
        <row r="33">
          <cell r="C33">
            <v>89471</v>
          </cell>
          <cell r="D33" t="str">
            <v/>
          </cell>
          <cell r="E33" t="str">
            <v/>
          </cell>
          <cell r="F33" t="str">
            <v>Deposit</v>
          </cell>
          <cell r="G33" t="str">
            <v>Paid in Full</v>
          </cell>
          <cell r="H33" t="str">
            <v>No</v>
          </cell>
          <cell r="I33" t="str">
            <v>Tyler Clark</v>
          </cell>
          <cell r="J33" t="str">
            <v/>
          </cell>
          <cell r="K33" t="str">
            <v>https://panda-windows-and-doors.monday.com/protected_static/21046287/resources/2847475808/BP-70M55_20260323_071148.pdf</v>
          </cell>
          <cell r="L33" t="str">
            <v>https://panda-windows-and-doors.monday.com/protected_static/21046287/resources/2847476208/BP-70M55_20260323_071211.pdf</v>
          </cell>
          <cell r="M33" t="str">
            <v/>
          </cell>
          <cell r="N33" t="str">
            <v>https://panda-windows-and-doors.monday.com/protected_static/21046287/resources/2848560318/89471 Deposit Invoice.pdf</v>
          </cell>
          <cell r="O33" t="str">
            <v/>
          </cell>
          <cell r="P33" t="str">
            <v/>
          </cell>
          <cell r="Q33" t="str">
            <v/>
          </cell>
          <cell r="R33" t="str">
            <v>https://panda-windows-and-doors.monday.com/protected_static/21046287/resources/3014855817/Q89471 ALBRECHT - B.O.M.pdf, https://panda-windows-and-doors.monday.com/protected_static/21046287/resources/3014855832/Q89471 ALBRECHT - CUTLIST (MANUAL).pdf</v>
          </cell>
          <cell r="S33" t="str">
            <v>In Production</v>
          </cell>
          <cell r="T33" t="str">
            <v/>
          </cell>
          <cell r="U33">
            <v>11033</v>
          </cell>
          <cell r="V33">
            <v>11033</v>
          </cell>
          <cell r="W33" t="str">
            <v>Annalene Conde Jun 10, 2026 1:56 PM</v>
          </cell>
          <cell r="X33" t="str">
            <v>2026-02-19 12:45</v>
          </cell>
          <cell r="Y33">
            <v>46104</v>
          </cell>
          <cell r="Z33" t="str">
            <v/>
          </cell>
          <cell r="AA33">
            <v>46104</v>
          </cell>
          <cell r="AB33" t="str">
            <v>Annalene Conde Mar 23, 2026 8:39 AM</v>
          </cell>
          <cell r="AC33">
            <v>46104</v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>Scott Nino</v>
          </cell>
          <cell r="AI33" t="str">
            <v/>
          </cell>
        </row>
        <row r="34">
          <cell r="C34">
            <v>86904</v>
          </cell>
          <cell r="D34" t="str">
            <v/>
          </cell>
          <cell r="E34" t="str">
            <v/>
          </cell>
          <cell r="F34" t="str">
            <v>Deposit</v>
          </cell>
          <cell r="G34" t="str">
            <v>Deposit Collected</v>
          </cell>
          <cell r="H34" t="str">
            <v>No</v>
          </cell>
          <cell r="I34" t="str">
            <v>Sean Torre</v>
          </cell>
          <cell r="J34" t="str">
            <v/>
          </cell>
          <cell r="K34" t="str">
            <v>https://panda-windows-and-doors.monday.com/protected_static/21046287/resources/2851105698/QQ #86904 - Jared Lou - 03112026 (1) (1).pdf</v>
          </cell>
          <cell r="L34" t="str">
            <v>https://panda-windows-and-doors.monday.com/protected_static/21046287/resources/2851105575/CamScanner 3-24-26 10.14.pdf</v>
          </cell>
          <cell r="M34" t="str">
            <v/>
          </cell>
          <cell r="N34" t="str">
            <v>https://panda-windows-and-doors.monday.com/protected_static/21046287/resources/2851431936/86904 Deposit Invoice.pdf</v>
          </cell>
          <cell r="O34" t="str">
            <v/>
          </cell>
          <cell r="P34" t="str">
            <v/>
          </cell>
          <cell r="Q34" t="str">
            <v/>
          </cell>
          <cell r="R34" t="str">
            <v>https://panda-windows-and-doors.monday.com/protected_static/21046287/resources/2988271955/Q86904_ODYSSEY BOM.pdf, https://panda-windows-and-doors.monday.com/protected_static/21046287/resources/2988271959/Q86904_ODYSSEY OPT 1.pdf, https://panda-windows-and-doors.monday.com/protected_static/21046287/resources/2988271961/Q86904_ODYSSEY OPT 2.pdf</v>
          </cell>
          <cell r="S34" t="str">
            <v>In Production</v>
          </cell>
          <cell r="T34" t="str">
            <v/>
          </cell>
          <cell r="U34">
            <v>6516</v>
          </cell>
          <cell r="V34">
            <v>6515</v>
          </cell>
          <cell r="W34" t="str">
            <v>Annalene Conde Jun 10, 2026 1:56 PM</v>
          </cell>
          <cell r="X34" t="str">
            <v>2025-08-14 00:00</v>
          </cell>
          <cell r="Y34">
            <v>46105</v>
          </cell>
          <cell r="Z34" t="str">
            <v/>
          </cell>
          <cell r="AA34">
            <v>46105</v>
          </cell>
          <cell r="AB34" t="str">
            <v>Annalene Conde Mar 24, 2026 11:23 AM</v>
          </cell>
          <cell r="AC34">
            <v>46105</v>
          </cell>
          <cell r="AD34">
            <v>46105</v>
          </cell>
          <cell r="AE34" t="str">
            <v/>
          </cell>
          <cell r="AF34" t="str">
            <v/>
          </cell>
          <cell r="AG34" t="str">
            <v/>
          </cell>
          <cell r="AH34" t="str">
            <v>J Shuman Door Installation</v>
          </cell>
          <cell r="AI34" t="str">
            <v/>
          </cell>
        </row>
        <row r="35">
          <cell r="C35">
            <v>73738</v>
          </cell>
          <cell r="D35">
            <v>45905</v>
          </cell>
          <cell r="E35" t="str">
            <v/>
          </cell>
          <cell r="F35" t="str">
            <v>Final</v>
          </cell>
          <cell r="G35" t="str">
            <v>Invoice Sent</v>
          </cell>
          <cell r="H35" t="str">
            <v>No</v>
          </cell>
          <cell r="I35" t="str">
            <v>Sean Torre</v>
          </cell>
          <cell r="J35" t="str">
            <v/>
          </cell>
          <cell r="K35" t="str">
            <v>https://panda-windows-and-doors.monday.com/protected_static/21046287/resources/2398281944/QQ #73738 - WAH-Lepie Signed.pdf</v>
          </cell>
          <cell r="L35" t="str">
            <v>https://panda-windows-and-doors.monday.com/protected_static/21046287/resources/2809637613/73738 - Lepie.xlsm</v>
          </cell>
          <cell r="M35" t="str">
            <v/>
          </cell>
          <cell r="N35" t="str">
            <v>https://panda-windows-and-doors.monday.com/protected_static/21046287/resources/2407206198/73738 Deposit Invoice.pdf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>Final Invoicing</v>
          </cell>
          <cell r="T35" t="str">
            <v/>
          </cell>
          <cell r="U35">
            <v>30878</v>
          </cell>
          <cell r="V35">
            <v>30877</v>
          </cell>
          <cell r="W35" t="str">
            <v>Annalene Conde Jun 10, 2026 1:56 PM</v>
          </cell>
          <cell r="X35" t="str">
            <v>2025-08-14 00:00</v>
          </cell>
          <cell r="Y35">
            <v>45905</v>
          </cell>
          <cell r="Z35" t="str">
            <v/>
          </cell>
          <cell r="AA35">
            <v>45905</v>
          </cell>
          <cell r="AB35" t="str">
            <v>Jayme Truong Sep 5, 2025 10:24 AM</v>
          </cell>
          <cell r="AC35" t="str">
            <v/>
          </cell>
          <cell r="AD35">
            <v>46037</v>
          </cell>
          <cell r="AE35">
            <v>46105</v>
          </cell>
          <cell r="AF35">
            <v>46106</v>
          </cell>
          <cell r="AG35" t="str">
            <v/>
          </cell>
          <cell r="AH35" t="str">
            <v>Mark S. Mauser</v>
          </cell>
          <cell r="AI35">
            <v>45905</v>
          </cell>
        </row>
        <row r="36">
          <cell r="C36">
            <v>89431</v>
          </cell>
          <cell r="D36" t="str">
            <v/>
          </cell>
          <cell r="E36" t="str">
            <v/>
          </cell>
          <cell r="F36" t="str">
            <v>Deposit</v>
          </cell>
          <cell r="G36" t="str">
            <v>Invoice Sent</v>
          </cell>
          <cell r="H36" t="str">
            <v>No</v>
          </cell>
          <cell r="I36" t="str">
            <v>Derrick McCall</v>
          </cell>
          <cell r="J36" t="str">
            <v/>
          </cell>
          <cell r="K36" t="str">
            <v>https://panda-windows-and-doors.monday.com/protected_static/21046287/resources/2860406543/BP-70M55_20260327_080414.pdf</v>
          </cell>
          <cell r="L36" t="str">
            <v>https://panda-windows-and-doors.monday.com/protected_static/21046287/resources/2860386705/BP-70M55_20260326_103316.pdf</v>
          </cell>
          <cell r="M36" t="str">
            <v/>
          </cell>
          <cell r="N36" t="str">
            <v>https://panda-windows-and-doors.monday.com/protected_static/21046287/resources/2861517464/89431 Deposit Invoice.pdf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>Pending Deposit</v>
          </cell>
          <cell r="T36" t="str">
            <v/>
          </cell>
          <cell r="U36">
            <v>24032</v>
          </cell>
          <cell r="V36">
            <v>28129.27</v>
          </cell>
          <cell r="W36" t="str">
            <v>Annalene Conde Jun 10, 2026 1:56 PM</v>
          </cell>
          <cell r="X36" t="str">
            <v>2026-02-17 00:00</v>
          </cell>
          <cell r="Y36">
            <v>46108</v>
          </cell>
          <cell r="Z36" t="str">
            <v/>
          </cell>
          <cell r="AA36">
            <v>46108</v>
          </cell>
          <cell r="AB36" t="str">
            <v>Annalene Conde Mar 27, 2026 11:14 AM</v>
          </cell>
          <cell r="AC36">
            <v>46108</v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>Platinum Glass</v>
          </cell>
          <cell r="AI36" t="str">
            <v/>
          </cell>
        </row>
        <row r="37">
          <cell r="C37">
            <v>89430</v>
          </cell>
          <cell r="D37" t="str">
            <v/>
          </cell>
          <cell r="E37" t="str">
            <v/>
          </cell>
          <cell r="F37" t="str">
            <v>Deposit</v>
          </cell>
          <cell r="G37" t="str">
            <v>Invoice Sent</v>
          </cell>
          <cell r="H37" t="str">
            <v>No</v>
          </cell>
          <cell r="I37" t="str">
            <v>Derrick McCall</v>
          </cell>
          <cell r="J37" t="str">
            <v/>
          </cell>
          <cell r="K37" t="str">
            <v>https://panda-windows-and-doors.monday.com/protected_static/21046287/resources/2860644537/BP-70M55_20260327_080442.pdf</v>
          </cell>
          <cell r="L37" t="str">
            <v>https://panda-windows-and-doors.monday.com/protected_static/21046287/resources/2860643922/BP-70M55_20260326_103253.pdf</v>
          </cell>
          <cell r="M37" t="str">
            <v/>
          </cell>
          <cell r="N37" t="str">
            <v>https://panda-windows-and-doors.monday.com/protected_static/21046287/resources/2861528227/89430 Deposit Invoice.pdf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>Pending Deposit</v>
          </cell>
          <cell r="T37" t="str">
            <v/>
          </cell>
          <cell r="U37">
            <v>24032</v>
          </cell>
          <cell r="V37">
            <v>28129.27</v>
          </cell>
          <cell r="W37" t="str">
            <v>Annalene Conde Jun 10, 2026 1:56 PM</v>
          </cell>
          <cell r="X37" t="str">
            <v>2026-02-17 00:00</v>
          </cell>
          <cell r="Y37">
            <v>46108</v>
          </cell>
          <cell r="Z37" t="str">
            <v/>
          </cell>
          <cell r="AA37">
            <v>46108</v>
          </cell>
          <cell r="AB37" t="str">
            <v>Annalene Conde Mar 27, 2026 12:20 PM</v>
          </cell>
          <cell r="AC37">
            <v>46108</v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>Platinum Glass</v>
          </cell>
          <cell r="AI37" t="str">
            <v/>
          </cell>
        </row>
        <row r="38">
          <cell r="C38">
            <v>89839</v>
          </cell>
          <cell r="D38" t="str">
            <v/>
          </cell>
          <cell r="E38" t="str">
            <v/>
          </cell>
          <cell r="F38" t="str">
            <v>Deposit</v>
          </cell>
          <cell r="G38" t="str">
            <v>Invoice Sent</v>
          </cell>
          <cell r="H38" t="str">
            <v>No</v>
          </cell>
          <cell r="I38" t="str">
            <v>Trevor Benthagen, Efrain Zarate</v>
          </cell>
          <cell r="J38" t="str">
            <v/>
          </cell>
          <cell r="K38" t="str">
            <v>https://panda-windows-and-doors.monday.com/protected_static/21046287/resources/2869258750/BP-70M55_20260331_134231.pdf</v>
          </cell>
          <cell r="L38" t="str">
            <v>https://panda-windows-and-doors.monday.com/protected_static/21046287/resources/2869259008/BP-70M55_20260331_134237.pdf</v>
          </cell>
          <cell r="M38" t="str">
            <v/>
          </cell>
          <cell r="N38" t="str">
            <v>https://panda-windows-and-doors.monday.com/protected_static/21046287/resources/2869415395/89839 Deposit Invoice.pdf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>Pending Deposit</v>
          </cell>
          <cell r="T38" t="str">
            <v/>
          </cell>
          <cell r="U38">
            <v>8028</v>
          </cell>
          <cell r="V38">
            <v>9354.42</v>
          </cell>
          <cell r="W38" t="str">
            <v>Annalene Conde Jun 10, 2026 1:56 PM</v>
          </cell>
          <cell r="X38" t="str">
            <v>2026-03-11 22:25</v>
          </cell>
          <cell r="Y38">
            <v>46112</v>
          </cell>
          <cell r="Z38" t="str">
            <v/>
          </cell>
          <cell r="AA38">
            <v>46112</v>
          </cell>
          <cell r="AB38" t="str">
            <v>Annalene Conde Mar 31, 2026 2:57 PM</v>
          </cell>
          <cell r="AC38">
            <v>46112</v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>William Clark</v>
          </cell>
          <cell r="AI38" t="str">
            <v/>
          </cell>
        </row>
        <row r="39">
          <cell r="C39">
            <v>88528</v>
          </cell>
          <cell r="D39" t="str">
            <v/>
          </cell>
          <cell r="E39" t="str">
            <v/>
          </cell>
          <cell r="F39" t="str">
            <v>Deposit</v>
          </cell>
          <cell r="G39" t="str">
            <v>Invoice Sent</v>
          </cell>
          <cell r="H39" t="str">
            <v>No</v>
          </cell>
          <cell r="I39" t="str">
            <v>Spencer Anderson</v>
          </cell>
          <cell r="J39" t="str">
            <v/>
          </cell>
          <cell r="K39" t="str">
            <v>https://panda-windows-and-doors.monday.com/protected_static/21046287/resources/2883070194/Scanned_from_a_Lexmark_Multifunction_Product04-07-2026-120500.pdf</v>
          </cell>
          <cell r="L39" t="str">
            <v>https://panda-windows-and-doors.monday.com/protected_static/21046287/resources/2876797885/BP-70M55_20260403_112755.pdf</v>
          </cell>
          <cell r="M39" t="str">
            <v/>
          </cell>
          <cell r="N39" t="str">
            <v>https://panda-windows-and-doors.monday.com/protected_static/21046287/resources/2883270773/88528 Deposit Invoice.pdf</v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>Request Final Invoice</v>
          </cell>
          <cell r="T39" t="str">
            <v/>
          </cell>
          <cell r="U39">
            <v>0</v>
          </cell>
          <cell r="V39">
            <v>23362</v>
          </cell>
          <cell r="W39" t="str">
            <v>Annalene Conde Jun 10, 2026 1:56 PM</v>
          </cell>
          <cell r="X39" t="str">
            <v/>
          </cell>
          <cell r="Y39">
            <v>46115</v>
          </cell>
          <cell r="Z39" t="str">
            <v/>
          </cell>
          <cell r="AA39">
            <v>46115</v>
          </cell>
          <cell r="AB39" t="str">
            <v>Annalene Conde Apr 3, 2026 12:40 PM</v>
          </cell>
          <cell r="AC39">
            <v>46119</v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>Riri Knowles</v>
          </cell>
          <cell r="AI39" t="str">
            <v/>
          </cell>
        </row>
        <row r="40">
          <cell r="C40">
            <v>90089</v>
          </cell>
          <cell r="D40" t="str">
            <v/>
          </cell>
          <cell r="E40" t="str">
            <v/>
          </cell>
          <cell r="F40" t="str">
            <v>Deposit</v>
          </cell>
          <cell r="G40" t="str">
            <v>Paid in Full</v>
          </cell>
          <cell r="H40" t="str">
            <v>No</v>
          </cell>
          <cell r="I40" t="str">
            <v>Stefan Monetta</v>
          </cell>
          <cell r="J40" t="str">
            <v/>
          </cell>
          <cell r="K40" t="str">
            <v>https://panda-windows-and-doors.monday.com/protected_static/21046287/resources/2899184260/QQ #90089 - AU Cheval - 04132026 -- SIGNED.pdf</v>
          </cell>
          <cell r="L40" t="str">
            <v>https://panda-windows-and-doors.monday.com/protected_static/21046287/resources/2899188467/BP-70M55_20260414_075424.pdf</v>
          </cell>
          <cell r="M40" t="str">
            <v/>
          </cell>
          <cell r="N40" t="str">
            <v>https://panda-windows-and-doors.monday.com/protected_static/21046287/resources/2900433415/90089 Deposit Invoice.pdf</v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>Sent to Engineering</v>
          </cell>
          <cell r="T40" t="str">
            <v/>
          </cell>
          <cell r="U40">
            <v>36368.01</v>
          </cell>
          <cell r="V40">
            <v>0</v>
          </cell>
          <cell r="W40" t="str">
            <v>Annalene Conde Jun 10, 2026 1:56 PM</v>
          </cell>
          <cell r="X40" t="str">
            <v>2026-04-13 00:00</v>
          </cell>
          <cell r="Y40">
            <v>46126</v>
          </cell>
          <cell r="Z40" t="str">
            <v/>
          </cell>
          <cell r="AA40">
            <v>46126</v>
          </cell>
          <cell r="AB40" t="str">
            <v>Annalene Conde Apr 14, 2026 8:53 AM</v>
          </cell>
          <cell r="AC40">
            <v>46126</v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>McInerney Associates</v>
          </cell>
          <cell r="AI40" t="str">
            <v/>
          </cell>
        </row>
        <row r="41">
          <cell r="C41">
            <v>90227</v>
          </cell>
          <cell r="D41" t="str">
            <v/>
          </cell>
          <cell r="E41">
            <v>1321</v>
          </cell>
          <cell r="F41" t="str">
            <v>Deposit</v>
          </cell>
          <cell r="G41" t="str">
            <v>Invoice Sent</v>
          </cell>
          <cell r="H41" t="str">
            <v>No</v>
          </cell>
          <cell r="I41" t="str">
            <v>Spencer Anderson</v>
          </cell>
          <cell r="J41" t="str">
            <v/>
          </cell>
          <cell r="K41" t="str">
            <v>https://panda-windows-and-doors.monday.com/protected_static/21046287/resources/2929041352/BP-70M55_20260427_133206.pdf</v>
          </cell>
          <cell r="L41" t="str">
            <v>https://panda-windows-and-doors.monday.com/protected_static/21046287/resources/2929041669/BP-70M55_20260427_133219.pdf</v>
          </cell>
          <cell r="M41" t="str">
            <v/>
          </cell>
          <cell r="N41" t="str">
            <v>https://panda-windows-and-doors.monday.com/protected_static/21046287/resources/2929238321/90227 Deposit Invoice.pdf</v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>
            <v>9563</v>
          </cell>
          <cell r="V41">
            <v>9563.44</v>
          </cell>
          <cell r="W41" t="str">
            <v>Annalene Conde Jun 10, 2026 1:56 PM</v>
          </cell>
          <cell r="X41" t="str">
            <v/>
          </cell>
          <cell r="Y41">
            <v>46139</v>
          </cell>
          <cell r="Z41" t="str">
            <v/>
          </cell>
          <cell r="AA41">
            <v>46139</v>
          </cell>
          <cell r="AB41" t="str">
            <v>Annalene Conde Apr 27, 2026 2:33 PM</v>
          </cell>
          <cell r="AC41">
            <v>46139</v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>Riley Larsen</v>
          </cell>
          <cell r="AI41" t="str">
            <v/>
          </cell>
        </row>
        <row r="42">
          <cell r="C42">
            <v>89665</v>
          </cell>
          <cell r="D42" t="str">
            <v/>
          </cell>
          <cell r="E42" t="str">
            <v/>
          </cell>
          <cell r="F42" t="str">
            <v>Deposit</v>
          </cell>
          <cell r="G42" t="str">
            <v>Invoice Sent</v>
          </cell>
          <cell r="H42" t="str">
            <v>No</v>
          </cell>
          <cell r="I42" t="str">
            <v>Spencer Anderson</v>
          </cell>
          <cell r="J42" t="str">
            <v/>
          </cell>
          <cell r="K42" t="str">
            <v>https://panda-windows-and-doors.monday.com/protected_static/21046287/resources/2935219939/Frank Pivot Door 1.pdf</v>
          </cell>
          <cell r="L42" t="str">
            <v>https://panda-windows-and-doors.monday.com/protected_static/21046287/resources/2935222161/BP-70M55_20260429_102457.pdf</v>
          </cell>
          <cell r="M42" t="str">
            <v/>
          </cell>
          <cell r="N42" t="str">
            <v>https://panda-windows-and-doors.monday.com/protected_static/21046287/resources/2935404235/89665 Deposit Invoice.pdf</v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>Annalene Conde Jun 10, 2026 1:56 PM</v>
          </cell>
          <cell r="X42" t="str">
            <v/>
          </cell>
          <cell r="Y42">
            <v>46141</v>
          </cell>
          <cell r="Z42" t="str">
            <v/>
          </cell>
          <cell r="AA42">
            <v>46141</v>
          </cell>
          <cell r="AB42" t="str">
            <v>Annalene Conde Apr 29, 2026 11:21 AM</v>
          </cell>
          <cell r="AC42">
            <v>46141</v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>Alexandra Espiritu</v>
          </cell>
          <cell r="AI42" t="str">
            <v/>
          </cell>
        </row>
        <row r="43">
          <cell r="C43">
            <v>90595</v>
          </cell>
          <cell r="D43" t="str">
            <v/>
          </cell>
          <cell r="E43">
            <v>1739</v>
          </cell>
          <cell r="F43" t="str">
            <v>Deposit</v>
          </cell>
          <cell r="G43" t="str">
            <v>Invoice Sent</v>
          </cell>
          <cell r="H43" t="str">
            <v>Per Avi</v>
          </cell>
          <cell r="I43" t="str">
            <v>Efrain Zarate, Trevor Benthagen</v>
          </cell>
          <cell r="J43" t="str">
            <v/>
          </cell>
          <cell r="K43" t="str">
            <v>https://panda-windows-and-doors.monday.com/protected_static/21046287/resources/2936032017/BP-70M55_20260429_145528.pdf</v>
          </cell>
          <cell r="L43" t="str">
            <v>https://panda-windows-and-doors.monday.com/protected_static/21046287/resources/2936031860/BP-70M55_20260429_145540.pdf</v>
          </cell>
          <cell r="M43" t="str">
            <v/>
          </cell>
          <cell r="N43" t="str">
            <v>https://panda-windows-and-doors.monday.com/protected_static/21046287/resources/2938572889/90595 Deposit Invoice.pdf</v>
          </cell>
          <cell r="O43" t="str">
            <v/>
          </cell>
          <cell r="P43" t="str">
            <v/>
          </cell>
          <cell r="Q43" t="str">
            <v/>
          </cell>
          <cell r="R43" t="str">
            <v>https://panda-windows-and-doors.monday.com/protected_static/21046287/resources/3014746155/Q90595 LOT 147 ADD ON - B.O.M.pdf, https://panda-windows-and-doors.monday.com/protected_static/21046287/resources/3014746164/Q90595 LOT 147 ADD ON - CUTLIST (MANUAL).pdf</v>
          </cell>
          <cell r="S43" t="str">
            <v>In Production</v>
          </cell>
          <cell r="T43" t="str">
            <v/>
          </cell>
          <cell r="U43">
            <v>2569.46</v>
          </cell>
          <cell r="V43">
            <v>2999.84</v>
          </cell>
          <cell r="W43" t="str">
            <v>Annalene Conde Jun 10, 2026 1:56 PM</v>
          </cell>
          <cell r="X43" t="str">
            <v>2026-04-28 00:00</v>
          </cell>
          <cell r="Y43">
            <v>46141</v>
          </cell>
          <cell r="Z43" t="str">
            <v/>
          </cell>
          <cell r="AA43">
            <v>46141</v>
          </cell>
          <cell r="AB43" t="str">
            <v>Amit Iarochevsky Apr 29, 2026 4:01 PM</v>
          </cell>
          <cell r="AC43">
            <v>46142</v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>Crisci Builders</v>
          </cell>
          <cell r="AI43" t="str">
            <v/>
          </cell>
        </row>
        <row r="44">
          <cell r="C44">
            <v>89527</v>
          </cell>
          <cell r="D44" t="str">
            <v/>
          </cell>
          <cell r="E44" t="str">
            <v/>
          </cell>
          <cell r="F44" t="str">
            <v>Final</v>
          </cell>
          <cell r="G44" t="str">
            <v>Invoice Sent</v>
          </cell>
          <cell r="H44" t="str">
            <v>No</v>
          </cell>
          <cell r="I44" t="str">
            <v>Spencer Anderson</v>
          </cell>
          <cell r="J44" t="str">
            <v/>
          </cell>
          <cell r="K44" t="str">
            <v>https://panda-windows-and-doors.monday.com/protected_static/21046287/resources/2817586713/Scanned_from_a_Lexmark_Multifunction_Product03-10-2026-095558.pdf</v>
          </cell>
          <cell r="L44" t="str">
            <v>https://panda-windows-and-doors.monday.com/protected_static/21046287/resources/2817585818/BP-70M55_20260310_110933.pdf</v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>
            <v>0</v>
          </cell>
          <cell r="V44">
            <v>13208</v>
          </cell>
          <cell r="W44" t="str">
            <v>Annalene Conde Jun 10, 2026 1:56 PM</v>
          </cell>
          <cell r="X44" t="str">
            <v/>
          </cell>
          <cell r="Y44">
            <v>46091</v>
          </cell>
          <cell r="Z44" t="str">
            <v/>
          </cell>
          <cell r="AA44">
            <v>46091</v>
          </cell>
          <cell r="AB44" t="str">
            <v>Annalene Conde Mar 10, 2026 12:09 PM</v>
          </cell>
          <cell r="AC44">
            <v>46091</v>
          </cell>
          <cell r="AD44" t="str">
            <v/>
          </cell>
          <cell r="AE44">
            <v>46142</v>
          </cell>
          <cell r="AF44">
            <v>46142</v>
          </cell>
          <cell r="AG44" t="str">
            <v/>
          </cell>
          <cell r="AH44" t="str">
            <v>Camron Smith</v>
          </cell>
          <cell r="AI44" t="str">
            <v/>
          </cell>
        </row>
        <row r="45">
          <cell r="C45">
            <v>88675</v>
          </cell>
          <cell r="D45" t="str">
            <v/>
          </cell>
          <cell r="E45" t="str">
            <v/>
          </cell>
          <cell r="F45" t="str">
            <v>Deposit</v>
          </cell>
          <cell r="G45" t="str">
            <v>Paid in Full</v>
          </cell>
          <cell r="H45" t="str">
            <v>No</v>
          </cell>
          <cell r="I45" t="str">
            <v>Efrain Zarate, Trevor Benthagen</v>
          </cell>
          <cell r="J45" t="str">
            <v/>
          </cell>
          <cell r="K45" t="str">
            <v>https://panda-windows-and-doors.monday.com/protected_static/21046287/resources/2940950087/QQ#88675 Red Arrow 04292026.pdf</v>
          </cell>
          <cell r="L45" t="str">
            <v>https://panda-windows-and-doors.monday.com/protected_static/21046287/resources/2940949587/BP-70M55_20260430_160722.pdf</v>
          </cell>
          <cell r="M45" t="str">
            <v/>
          </cell>
          <cell r="N45" t="str">
            <v>https://panda-windows-and-doors.monday.com/protected_static/21046287/resources/2941064143/88672 Deposit Invoice.pdf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Sent to Engineering</v>
          </cell>
          <cell r="T45" t="str">
            <v/>
          </cell>
          <cell r="U45">
            <v>23619</v>
          </cell>
          <cell r="V45">
            <v>27575.18</v>
          </cell>
          <cell r="W45" t="str">
            <v>Annalene Conde Jun 10, 2026 1:56 PM</v>
          </cell>
          <cell r="X45" t="str">
            <v>2026-01-22 00:00</v>
          </cell>
          <cell r="Y45">
            <v>46143</v>
          </cell>
          <cell r="Z45" t="str">
            <v/>
          </cell>
          <cell r="AA45">
            <v>46143</v>
          </cell>
          <cell r="AB45" t="str">
            <v>Amit Iarochevsky May 1, 2026 8:46 AM</v>
          </cell>
          <cell r="AC45">
            <v>46143</v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>Glass House</v>
          </cell>
          <cell r="AI45" t="str">
            <v/>
          </cell>
        </row>
        <row r="46">
          <cell r="C46">
            <v>89234</v>
          </cell>
          <cell r="D46" t="str">
            <v/>
          </cell>
          <cell r="E46" t="str">
            <v/>
          </cell>
          <cell r="F46" t="str">
            <v>Deposit</v>
          </cell>
          <cell r="G46" t="str">
            <v>Invoice Sent</v>
          </cell>
          <cell r="H46" t="str">
            <v>No</v>
          </cell>
          <cell r="I46" t="str">
            <v>Stefan Monetta</v>
          </cell>
          <cell r="J46" t="str">
            <v/>
          </cell>
          <cell r="K46" t="str">
            <v>https://panda-windows-and-doors.monday.com/protected_static/21046287/resources/2948813916/QQ#89234 Bridgeway Station West Building 04022026 CGC Executed.pdf</v>
          </cell>
          <cell r="L46" t="str">
            <v>https://panda-windows-and-doors.monday.com/protected_static/21046287/resources/2948816271/BP-70M55_20260505_115710.pdf</v>
          </cell>
          <cell r="M46" t="str">
            <v/>
          </cell>
          <cell r="N46" t="str">
            <v>https://panda-windows-and-doors.monday.com/protected_static/21046287/resources/2948999813/89234 Deposit Invoice.pdf</v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>Pending Deposit</v>
          </cell>
          <cell r="T46" t="str">
            <v/>
          </cell>
          <cell r="U46" t="str">
            <v/>
          </cell>
          <cell r="V46" t="str">
            <v/>
          </cell>
          <cell r="W46" t="str">
            <v>Annalene Conde Jun 10, 2026 1:56 PM</v>
          </cell>
          <cell r="X46" t="str">
            <v>2026-05-05 00:00</v>
          </cell>
          <cell r="Y46">
            <v>46147</v>
          </cell>
          <cell r="Z46" t="str">
            <v/>
          </cell>
          <cell r="AA46">
            <v>46147</v>
          </cell>
          <cell r="AB46" t="str">
            <v>Amit Iarochevsky May 5, 2026 1:11 PM</v>
          </cell>
          <cell r="AC46">
            <v>46147</v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>Charlotte Glass</v>
          </cell>
          <cell r="AI46" t="str">
            <v/>
          </cell>
        </row>
        <row r="47">
          <cell r="C47">
            <v>88771</v>
          </cell>
          <cell r="D47" t="str">
            <v/>
          </cell>
          <cell r="E47" t="str">
            <v/>
          </cell>
          <cell r="F47" t="str">
            <v>Final</v>
          </cell>
          <cell r="G47" t="str">
            <v>Invoice Sent</v>
          </cell>
          <cell r="H47" t="str">
            <v>No</v>
          </cell>
          <cell r="I47" t="str">
            <v>Efrain Zarate, Trevor Benthagen</v>
          </cell>
          <cell r="J47" t="str">
            <v/>
          </cell>
          <cell r="K47" t="str">
            <v>https://panda-windows-and-doors.monday.com/protected_static/21046287/resources/2753587292/Q#88771 - TINY TORTOISE SIGNED SALES ORDER.pdf</v>
          </cell>
          <cell r="L47" t="str">
            <v>https://panda-windows-and-doors.monday.com/protected_static/21046287/resources/2753587071/Q#88771 - TINY TORTOISE SIGNED SALES BACKER.pdf</v>
          </cell>
          <cell r="M47" t="str">
            <v/>
          </cell>
          <cell r="N47" t="str">
            <v>https://panda-windows-and-doors.monday.com/protected_static/21046287/resources/2753669232/88771 Deposit Invoice.pdf</v>
          </cell>
          <cell r="O47" t="str">
            <v/>
          </cell>
          <cell r="P47" t="str">
            <v/>
          </cell>
          <cell r="Q47" t="str">
            <v/>
          </cell>
          <cell r="R47" t="str">
            <v>https://panda-windows-and-doors.monday.com/protected_static/21046287/resources/2892633242/ES 5223 Q88771 7612 TINY TORTOISE - OPT.pdf, https://panda-windows-and-doors.monday.com/protected_static/21046287/resources/2892633247/ES 5223 Q88771 7612 TINY TORTOISE - CUTLIST (GINERI).pdf, https://panda-windows-and-doors.monday.com/protected_static/21046287/resources/2892633817/ES 5223 Q88771 7612 TINY TORTOISE - B.O.M.pdf</v>
          </cell>
          <cell r="S47" t="str">
            <v>Final Invoicing</v>
          </cell>
          <cell r="T47" t="str">
            <v/>
          </cell>
          <cell r="U47">
            <v>1781</v>
          </cell>
          <cell r="V47">
            <v>1781</v>
          </cell>
          <cell r="W47" t="str">
            <v>Annalene Conde Jun 10, 2026 1:56 PM</v>
          </cell>
          <cell r="X47" t="str">
            <v>2026-01-22 00:00</v>
          </cell>
          <cell r="Y47">
            <v>46064</v>
          </cell>
          <cell r="Z47" t="str">
            <v/>
          </cell>
          <cell r="AA47">
            <v>46064</v>
          </cell>
          <cell r="AB47" t="str">
            <v>Annalene Conde Feb 11, 2026 1:19 PM</v>
          </cell>
          <cell r="AC47">
            <v>46064</v>
          </cell>
          <cell r="AD47">
            <v>46079</v>
          </cell>
          <cell r="AE47">
            <v>46150</v>
          </cell>
          <cell r="AF47">
            <v>46150</v>
          </cell>
          <cell r="AG47" t="str">
            <v/>
          </cell>
          <cell r="AH47" t="str">
            <v>Newton Construction</v>
          </cell>
          <cell r="AI47" t="str">
            <v/>
          </cell>
        </row>
        <row r="48">
          <cell r="C48">
            <v>90785</v>
          </cell>
          <cell r="D48" t="str">
            <v/>
          </cell>
          <cell r="E48" t="str">
            <v/>
          </cell>
          <cell r="F48" t="str">
            <v>Deposit</v>
          </cell>
          <cell r="G48" t="str">
            <v>Invoice Sent</v>
          </cell>
          <cell r="H48" t="str">
            <v>No</v>
          </cell>
          <cell r="I48" t="str">
            <v>Spencer Anderson</v>
          </cell>
          <cell r="J48" t="str">
            <v/>
          </cell>
          <cell r="K48" t="str">
            <v>https://panda-windows-and-doors.monday.com/protected_static/21046287/resources/2973519869/panda order sheet for Matt Gregg05-14-2026-130822.pdf</v>
          </cell>
          <cell r="L48" t="str">
            <v>https://panda-windows-and-doors.monday.com/protected_static/21046287/resources/2973523623/BP-70M55_20260515_095551.pdf</v>
          </cell>
          <cell r="M48" t="str">
            <v/>
          </cell>
          <cell r="N48" t="str">
            <v>https://panda-windows-and-doors.monday.com/protected_static/21046287/resources/2973624180/90785 Deposit Invoice.pdf</v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>Annalene Conde Jun 10, 2026 1:56 PM</v>
          </cell>
          <cell r="X48" t="str">
            <v/>
          </cell>
          <cell r="Y48">
            <v>46157</v>
          </cell>
          <cell r="Z48" t="str">
            <v/>
          </cell>
          <cell r="AA48">
            <v>46157</v>
          </cell>
          <cell r="AB48" t="str">
            <v>Annalene Conde May 15, 2026 10:49 AM</v>
          </cell>
          <cell r="AC48">
            <v>46157</v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>Liam Scribner</v>
          </cell>
          <cell r="AI48" t="str">
            <v/>
          </cell>
        </row>
        <row r="49">
          <cell r="C49">
            <v>86537</v>
          </cell>
          <cell r="D49" t="str">
            <v/>
          </cell>
          <cell r="E49" t="str">
            <v/>
          </cell>
          <cell r="F49" t="str">
            <v>Final</v>
          </cell>
          <cell r="G49" t="str">
            <v>Invoice Sent</v>
          </cell>
          <cell r="H49" t="str">
            <v>No</v>
          </cell>
          <cell r="I49" t="str">
            <v/>
          </cell>
          <cell r="J49" t="str">
            <v/>
          </cell>
          <cell r="K49" t="str">
            <v>https://panda-windows-and-doors.monday.com/protected_static/21046287/resources/2695810382/Signed Panda Proposal 1.16.26.pdf</v>
          </cell>
          <cell r="L49" t="str">
            <v>https://panda-windows-and-doors.monday.com/protected_static/21046287/resources/2695800047/BP-70M55_20260120_075843.pdf</v>
          </cell>
          <cell r="M49" t="str">
            <v/>
          </cell>
          <cell r="N49" t="str">
            <v>https://panda-windows-and-doors.monday.com/protected_static/21046287/resources/2697144165/86537 - Deposit Invoice.pdf</v>
          </cell>
          <cell r="O49" t="str">
            <v/>
          </cell>
          <cell r="P49" t="str">
            <v/>
          </cell>
          <cell r="Q49" t="str">
            <v/>
          </cell>
          <cell r="R49" t="str">
            <v>https://panda-windows-and-doors.monday.com/protected_static/21046287/resources/2896188359/Q86537_ODYSSEY BOM.pdf, https://panda-windows-and-doors.monday.com/protected_static/21046287/resources/2896188362/Q86537_ODYSSEY OPT.pdf</v>
          </cell>
          <cell r="S49" t="str">
            <v>Final Invoicing</v>
          </cell>
          <cell r="T49" t="str">
            <v/>
          </cell>
          <cell r="U49">
            <v>10013</v>
          </cell>
          <cell r="V49">
            <v>11105.5</v>
          </cell>
          <cell r="W49" t="str">
            <v>Annalene Conde Jun 10, 2026 1:56 PM</v>
          </cell>
          <cell r="X49" t="str">
            <v>2025-07-17 12:42</v>
          </cell>
          <cell r="Y49">
            <v>46037</v>
          </cell>
          <cell r="Z49" t="str">
            <v/>
          </cell>
          <cell r="AA49">
            <v>46042</v>
          </cell>
          <cell r="AB49" t="str">
            <v>Annalene Conde Jan 15, 2026 1:49 PM</v>
          </cell>
          <cell r="AC49">
            <v>46042</v>
          </cell>
          <cell r="AD49">
            <v>46044</v>
          </cell>
          <cell r="AE49">
            <v>46171</v>
          </cell>
          <cell r="AF49">
            <v>46171</v>
          </cell>
          <cell r="AG49" t="str">
            <v/>
          </cell>
          <cell r="AH49" t="str">
            <v>Jacob Beer</v>
          </cell>
          <cell r="AI49" t="str">
            <v/>
          </cell>
        </row>
        <row r="50">
          <cell r="C50">
            <v>82690</v>
          </cell>
          <cell r="D50" t="str">
            <v/>
          </cell>
          <cell r="E50" t="str">
            <v/>
          </cell>
          <cell r="F50" t="str">
            <v>Final</v>
          </cell>
          <cell r="G50" t="str">
            <v>Invoice Sent</v>
          </cell>
          <cell r="H50" t="str">
            <v>No</v>
          </cell>
          <cell r="I50" t="str">
            <v>Derrick McCall</v>
          </cell>
          <cell r="J50" t="str">
            <v/>
          </cell>
          <cell r="K50" t="str">
            <v>https://panda-windows-and-doors.monday.com/protected_static/21046287/resources/2481583110/QQ#82690 Puente Hills 06042025.pdf</v>
          </cell>
          <cell r="L50" t="str">
            <v>https://panda-windows-and-doors.monday.com/protected_static/21046287/resources/2481582881/smtp.office365.com_20251010_091206.pdf</v>
          </cell>
          <cell r="M50" t="str">
            <v/>
          </cell>
          <cell r="N50" t="str">
            <v>https://panda-windows-and-doors.monday.com/protected_static/21046287/resources/2482138401/82690 Deposit Invoice.pdf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>Final Invoicing</v>
          </cell>
          <cell r="T50" t="str">
            <v/>
          </cell>
          <cell r="U50">
            <v>13744</v>
          </cell>
          <cell r="V50">
            <v>16118.39</v>
          </cell>
          <cell r="W50" t="str">
            <v>Annalene Conde Jun 10, 2026 1:56 PM</v>
          </cell>
          <cell r="X50" t="str">
            <v>2025-10-13 00:00</v>
          </cell>
          <cell r="Y50">
            <v>45943</v>
          </cell>
          <cell r="Z50" t="str">
            <v/>
          </cell>
          <cell r="AA50">
            <v>45943</v>
          </cell>
          <cell r="AB50" t="str">
            <v>Annalene Conde Oct 13, 2025 9:34 AM</v>
          </cell>
          <cell r="AC50">
            <v>45943</v>
          </cell>
          <cell r="AD50">
            <v>45978</v>
          </cell>
          <cell r="AE50">
            <v>46171</v>
          </cell>
          <cell r="AF50">
            <v>46171</v>
          </cell>
          <cell r="AG50" t="str">
            <v/>
          </cell>
          <cell r="AH50" t="str">
            <v>Aragon Construction Inc</v>
          </cell>
          <cell r="AI50" t="str">
            <v/>
          </cell>
        </row>
        <row r="51">
          <cell r="C51">
            <v>91090</v>
          </cell>
          <cell r="D51" t="str">
            <v/>
          </cell>
          <cell r="E51" t="str">
            <v>91090</v>
          </cell>
          <cell r="F51" t="str">
            <v>Deposit</v>
          </cell>
          <cell r="G51" t="str">
            <v>Invoice Sent</v>
          </cell>
          <cell r="H51" t="str">
            <v>No</v>
          </cell>
          <cell r="I51" t="str">
            <v>Efrain Zarate</v>
          </cell>
          <cell r="J51" t="str">
            <v/>
          </cell>
          <cell r="K51" t="str">
            <v>https://panda-windows-and-doors.monday.com/protected_static/21046287/resources/3015394621/BP-70M55_20260602_111335.pdf</v>
          </cell>
          <cell r="L51" t="str">
            <v>https://panda-windows-and-doors.monday.com/protected_static/21046287/resources/3015393042/BP-70M55_20260602_111343.pdf</v>
          </cell>
          <cell r="M51" t="str">
            <v/>
          </cell>
          <cell r="N51" t="str">
            <v>https://panda-windows-and-doors.monday.com/protected_static/21046287/resources/3015564640/91090 Deposit Invoice.pdf</v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>Pending Deposit</v>
          </cell>
          <cell r="T51" t="str">
            <v/>
          </cell>
          <cell r="U51">
            <v>7193</v>
          </cell>
          <cell r="V51">
            <v>8396.75</v>
          </cell>
          <cell r="W51" t="str">
            <v>Annalene Conde Jun 10, 2026 1:56 PM</v>
          </cell>
          <cell r="X51" t="str">
            <v>2026-06-02 00:00</v>
          </cell>
          <cell r="Y51">
            <v>46175</v>
          </cell>
          <cell r="Z51" t="str">
            <v/>
          </cell>
          <cell r="AA51">
            <v>46175</v>
          </cell>
          <cell r="AB51" t="str">
            <v>Amit Iarochevsky Jun 2, 2026 12:26 PM</v>
          </cell>
          <cell r="AC51">
            <v>46175</v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>Epsilon</v>
          </cell>
          <cell r="AI51" t="str">
            <v/>
          </cell>
        </row>
        <row r="52">
          <cell r="C52">
            <v>222537</v>
          </cell>
          <cell r="D52" t="str">
            <v/>
          </cell>
          <cell r="E52" t="str">
            <v/>
          </cell>
          <cell r="F52" t="str">
            <v>All Weather Final</v>
          </cell>
          <cell r="G52" t="str">
            <v>Invoice Sent</v>
          </cell>
          <cell r="H52" t="str">
            <v>No</v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>No</v>
          </cell>
          <cell r="N52" t="str">
            <v>https://panda-windows-and-doors.monday.com/protected_static/21046287/resources/3015861304/222537 Deposit Invoice.pdf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>https://panda-windows-and-doors.monday.com/protected_static/21046287/resources/3007910457/2026-05-28 Purchase order - 222537 - (2026-05-28 10_21 AM).pdf</v>
          </cell>
          <cell r="U52" t="str">
            <v/>
          </cell>
          <cell r="V52">
            <v>2442</v>
          </cell>
          <cell r="W52" t="str">
            <v>Annalene Conde Jun 10, 2026 1:56 PM</v>
          </cell>
          <cell r="X52" t="str">
            <v/>
          </cell>
          <cell r="Y52">
            <v>46171</v>
          </cell>
          <cell r="Z52" t="str">
            <v/>
          </cell>
          <cell r="AA52">
            <v>46171</v>
          </cell>
          <cell r="AB52" t="str">
            <v>Amit Iarochevsky May 29, 2026 4:18 PM</v>
          </cell>
          <cell r="AC52">
            <v>46175</v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</row>
        <row r="53">
          <cell r="C53">
            <v>90797</v>
          </cell>
          <cell r="D53" t="str">
            <v/>
          </cell>
          <cell r="E53">
            <v>1994</v>
          </cell>
          <cell r="F53" t="str">
            <v>Deposit</v>
          </cell>
          <cell r="G53" t="str">
            <v>Invoice Sent</v>
          </cell>
          <cell r="H53" t="str">
            <v>No</v>
          </cell>
          <cell r="I53" t="str">
            <v>Trevor Benthagen</v>
          </cell>
          <cell r="J53" t="str">
            <v/>
          </cell>
          <cell r="K53" t="str">
            <v>https://panda-windows-and-doors.monday.com/protected_static/21046287/resources/3016084122/BP-70M55_20260602_134604.pdf</v>
          </cell>
          <cell r="L53" t="str">
            <v>https://panda-windows-and-doors.monday.com/protected_static/21046287/resources/3016084619/BP-70M55_20260602_134616.pdf</v>
          </cell>
          <cell r="M53" t="str">
            <v/>
          </cell>
          <cell r="N53" t="str">
            <v>https://panda-windows-and-doors.monday.com/protected_static/21046287/resources/3016253735/90797 Deposit Invoice.pdf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>Pending Deposit</v>
          </cell>
          <cell r="T53" t="str">
            <v/>
          </cell>
          <cell r="U53">
            <v>35284</v>
          </cell>
          <cell r="V53">
            <v>35283.019999999997</v>
          </cell>
          <cell r="W53" t="str">
            <v>Annalene Conde Jun 10, 2026 1:56 PM</v>
          </cell>
          <cell r="X53" t="str">
            <v>2026-05-08 13:02</v>
          </cell>
          <cell r="Y53">
            <v>46175</v>
          </cell>
          <cell r="Z53" t="str">
            <v/>
          </cell>
          <cell r="AA53">
            <v>46175</v>
          </cell>
          <cell r="AB53" t="str">
            <v>Amit Iarochevsky Jun 2, 2026 3:23 PM</v>
          </cell>
          <cell r="AC53">
            <v>46175</v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>Jason Massey</v>
          </cell>
          <cell r="AI53" t="str">
            <v/>
          </cell>
        </row>
        <row r="54">
          <cell r="C54">
            <v>90541</v>
          </cell>
          <cell r="D54" t="str">
            <v/>
          </cell>
          <cell r="E54">
            <v>2340</v>
          </cell>
          <cell r="F54" t="str">
            <v>Deposit</v>
          </cell>
          <cell r="G54" t="str">
            <v>Invoice Sent</v>
          </cell>
          <cell r="H54" t="str">
            <v>No</v>
          </cell>
          <cell r="I54" t="str">
            <v>Trevor Benthagen, Efrain Zarate</v>
          </cell>
          <cell r="J54" t="str">
            <v/>
          </cell>
          <cell r="K54" t="str">
            <v>https://panda-windows-and-doors.monday.com/protected_static/21046287/resources/3021964770/BP-70M55_20260604_132634.pdf</v>
          </cell>
          <cell r="L54" t="str">
            <v>https://panda-windows-and-doors.monday.com/protected_static/21046287/resources/3021964416/BP-70M55_20260604_132648.pdf</v>
          </cell>
          <cell r="M54" t="str">
            <v/>
          </cell>
          <cell r="N54" t="str">
            <v>https://panda-windows-and-doors.monday.com/protected_static/21046287/resources/3024169573/90541 Deposit Invoice.pdf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>Pending Deposit</v>
          </cell>
          <cell r="T54" t="str">
            <v/>
          </cell>
          <cell r="U54">
            <v>122689.07</v>
          </cell>
          <cell r="V54" t="str">
            <v/>
          </cell>
          <cell r="W54" t="str">
            <v>Annalene Conde Jun 10, 2026 1:56 PM</v>
          </cell>
          <cell r="X54" t="str">
            <v>2026-04-22 10:56</v>
          </cell>
          <cell r="Y54">
            <v>46177</v>
          </cell>
          <cell r="Z54" t="str">
            <v/>
          </cell>
          <cell r="AA54">
            <v>46177</v>
          </cell>
          <cell r="AB54" t="str">
            <v>Amit Iarochevsky Jun 4, 2026 2:43 PM</v>
          </cell>
          <cell r="AC54">
            <v>46178</v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>Jairo Cadena</v>
          </cell>
          <cell r="AI54" t="str">
            <v/>
          </cell>
        </row>
        <row r="55">
          <cell r="C55">
            <v>88164</v>
          </cell>
          <cell r="D55" t="str">
            <v/>
          </cell>
          <cell r="E55" t="str">
            <v/>
          </cell>
          <cell r="F55" t="str">
            <v>Deposit</v>
          </cell>
          <cell r="G55" t="str">
            <v>Invoice Sent</v>
          </cell>
          <cell r="H55" t="str">
            <v>No</v>
          </cell>
          <cell r="I55" t="str">
            <v>Derrick McCall</v>
          </cell>
          <cell r="J55" t="str">
            <v/>
          </cell>
          <cell r="K55" t="str">
            <v>https://panda-windows-and-doors.monday.com/protected_static/21046287/resources/3023898086/001 PANDA PO 06.04.26.pdf</v>
          </cell>
          <cell r="L55" t="str">
            <v>https://panda-windows-and-doors.monday.com/protected_static/21046287/resources/3023897375/BP-70M55_20260605_064853.pdf</v>
          </cell>
          <cell r="M55" t="str">
            <v/>
          </cell>
          <cell r="N55" t="str">
            <v>https://panda-windows-and-doors.monday.com/protected_static/21046287/resources/3024447660/88164 Deposit Invoice.pdf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>Pending Deposit</v>
          </cell>
          <cell r="T55" t="str">
            <v/>
          </cell>
          <cell r="U55">
            <v>22283</v>
          </cell>
          <cell r="V55">
            <v>26895.040000000001</v>
          </cell>
          <cell r="W55" t="str">
            <v>Annalene Conde Jun 10, 2026 1:56 PM</v>
          </cell>
          <cell r="X55" t="str">
            <v>2026-06-05 00:00</v>
          </cell>
          <cell r="Y55">
            <v>46178</v>
          </cell>
          <cell r="Z55" t="str">
            <v/>
          </cell>
          <cell r="AA55">
            <v>46178</v>
          </cell>
          <cell r="AB55" t="str">
            <v>Amit Iarochevsky Jun 5, 2026 8:01 AM</v>
          </cell>
          <cell r="AC55">
            <v>46178</v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>AAC Glass Inc</v>
          </cell>
          <cell r="AI55" t="str">
            <v/>
          </cell>
        </row>
        <row r="56">
          <cell r="C56">
            <v>90746</v>
          </cell>
          <cell r="D56" t="str">
            <v/>
          </cell>
          <cell r="E56">
            <v>1936</v>
          </cell>
          <cell r="F56" t="str">
            <v>Deposit</v>
          </cell>
          <cell r="G56" t="str">
            <v>Invoice Sent</v>
          </cell>
          <cell r="H56" t="str">
            <v>No</v>
          </cell>
          <cell r="I56" t="str">
            <v>Trevor Benthagen</v>
          </cell>
          <cell r="J56" t="str">
            <v/>
          </cell>
          <cell r="K56" t="str">
            <v>https://panda-windows-and-doors.monday.com/protected_static/21046287/resources/3024818803/Mahre_Drive_Sliding_Door_Executed.pdf</v>
          </cell>
          <cell r="L56" t="str">
            <v>https://panda-windows-and-doors.monday.com/protected_static/21046287/resources/3024818526/1936 signed Amit .pdf</v>
          </cell>
          <cell r="M56" t="str">
            <v/>
          </cell>
          <cell r="N56" t="str">
            <v>https://panda-windows-and-doors.monday.com/protected_static/21046287/resources/3027965745/90746 Deposit Invoice.pdf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>Pending Deposit</v>
          </cell>
          <cell r="T56" t="str">
            <v/>
          </cell>
          <cell r="U56">
            <v>13469.26</v>
          </cell>
          <cell r="V56">
            <v>15556.73</v>
          </cell>
          <cell r="W56" t="str">
            <v>Annalene Conde Jun 10, 2026 1:56 PM</v>
          </cell>
          <cell r="X56" t="str">
            <v>2026-04-30 00:00</v>
          </cell>
          <cell r="Y56">
            <v>46178</v>
          </cell>
          <cell r="Z56" t="str">
            <v/>
          </cell>
          <cell r="AA56">
            <v>46178</v>
          </cell>
          <cell r="AB56" t="str">
            <v>Amit Iarochevsky Jun 5, 2026 1:04 PM</v>
          </cell>
          <cell r="AC56">
            <v>46181</v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>RICHARD MAZZARINO</v>
          </cell>
          <cell r="AI56" t="str">
            <v/>
          </cell>
        </row>
        <row r="57">
          <cell r="C57">
            <v>4500801089</v>
          </cell>
          <cell r="D57" t="str">
            <v/>
          </cell>
          <cell r="E57" t="str">
            <v/>
          </cell>
          <cell r="F57" t="str">
            <v>Windsor Final</v>
          </cell>
          <cell r="G57" t="str">
            <v>Invoice Sent</v>
          </cell>
          <cell r="H57" t="str">
            <v>No</v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>No</v>
          </cell>
          <cell r="N57" t="str">
            <v>https://panda-windows-and-doors.monday.com/protected_static/21046287/resources/2906830963/4500801089 Deposit Invoice.pdf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>https://panda-windows-and-doors.monday.com/protected_static/21046287/resources/2906792015/Print data.PDF</v>
          </cell>
          <cell r="U57">
            <v>0</v>
          </cell>
          <cell r="V57">
            <v>24846.03</v>
          </cell>
          <cell r="W57" t="str">
            <v>Annalene Conde Jun 10, 2026 1:56 PM</v>
          </cell>
          <cell r="X57" t="str">
            <v/>
          </cell>
          <cell r="Y57">
            <v>46128</v>
          </cell>
          <cell r="Z57" t="str">
            <v/>
          </cell>
          <cell r="AA57">
            <v>46128</v>
          </cell>
          <cell r="AB57" t="str">
            <v>Annalene Conde Apr 16, 2026 12:45 PM</v>
          </cell>
          <cell r="AC57">
            <v>46183</v>
          </cell>
          <cell r="AD57" t="str">
            <v/>
          </cell>
          <cell r="AE57" t="str">
            <v/>
          </cell>
          <cell r="AF57">
            <v>46183</v>
          </cell>
          <cell r="AG57" t="str">
            <v/>
          </cell>
          <cell r="AH57" t="str">
            <v/>
          </cell>
          <cell r="AI57" t="str">
            <v/>
          </cell>
        </row>
        <row r="58">
          <cell r="C58">
            <v>89609</v>
          </cell>
          <cell r="D58" t="str">
            <v/>
          </cell>
          <cell r="E58" t="str">
            <v/>
          </cell>
          <cell r="F58" t="str">
            <v>Final</v>
          </cell>
          <cell r="G58" t="str">
            <v>Invoice Sent</v>
          </cell>
          <cell r="H58" t="str">
            <v>No</v>
          </cell>
          <cell r="I58" t="str">
            <v>Spencer Anderson</v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>https://panda-windows-and-doors.monday.com/protected_static/21046287/resources/2828011918/89609 Deposit Invoice.pdf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>Awaiting Signed BOL</v>
          </cell>
          <cell r="T58" t="str">
            <v/>
          </cell>
          <cell r="U58">
            <v>6258.05</v>
          </cell>
          <cell r="V58">
            <v>6258.04</v>
          </cell>
          <cell r="W58" t="str">
            <v>Amit Iarochevsky Jun 11, 2026 12:26 PM</v>
          </cell>
          <cell r="X58" t="str">
            <v/>
          </cell>
          <cell r="Y58">
            <v>46094</v>
          </cell>
          <cell r="Z58" t="str">
            <v/>
          </cell>
          <cell r="AA58">
            <v>46094</v>
          </cell>
          <cell r="AB58" t="str">
            <v>Annalene Conde Mar 13, 2026 11:24 AM</v>
          </cell>
          <cell r="AC58">
            <v>46094</v>
          </cell>
          <cell r="AD58">
            <v>46101</v>
          </cell>
          <cell r="AE58">
            <v>46184</v>
          </cell>
          <cell r="AF58">
            <v>46184</v>
          </cell>
          <cell r="AG58" t="str">
            <v/>
          </cell>
          <cell r="AH58" t="str">
            <v/>
          </cell>
          <cell r="AI58" t="str">
            <v/>
          </cell>
        </row>
        <row r="59">
          <cell r="C59">
            <v>88920</v>
          </cell>
          <cell r="D59" t="str">
            <v/>
          </cell>
          <cell r="E59" t="str">
            <v/>
          </cell>
          <cell r="F59" t="str">
            <v>Final</v>
          </cell>
          <cell r="G59" t="str">
            <v>Invoice Sent</v>
          </cell>
          <cell r="H59" t="str">
            <v>No</v>
          </cell>
          <cell r="I59" t="str">
            <v>Spencer Anderson</v>
          </cell>
          <cell r="J59" t="str">
            <v/>
          </cell>
          <cell r="K59" t="str">
            <v>https://panda-windows-and-doors.monday.com/protected_static/21046287/resources/2828887618/Signed Panda proposal Bill.pdf</v>
          </cell>
          <cell r="L59" t="str">
            <v>https://panda-windows-and-doors.monday.com/protected_static/21046287/resources/2828887528/BP-70M55_20260313_150106.pdf</v>
          </cell>
          <cell r="M59" t="str">
            <v/>
          </cell>
          <cell r="N59" t="str">
            <v>https://panda-windows-and-doors.monday.com/protected_static/21046287/resources/2832834865/88920 Deposit Invoice.pdf</v>
          </cell>
          <cell r="O59" t="str">
            <v/>
          </cell>
          <cell r="P59" t="str">
            <v/>
          </cell>
          <cell r="Q59" t="str">
            <v/>
          </cell>
          <cell r="R59" t="str">
            <v>https://panda-windows-and-doors.monday.com/protected_static/21046287/resources/2289664617/Polk Architectural - Sales &amp; Use Tax Permit  12-3-2019 - TX.pdf</v>
          </cell>
          <cell r="S59" t="str">
            <v/>
          </cell>
          <cell r="T59" t="str">
            <v/>
          </cell>
          <cell r="U59">
            <v>6961</v>
          </cell>
          <cell r="V59">
            <v>6961</v>
          </cell>
          <cell r="W59" t="str">
            <v>Amit Iarochevsky Jun 11, 2026 12:43 PM</v>
          </cell>
          <cell r="X59" t="str">
            <v/>
          </cell>
          <cell r="Y59">
            <v>46094</v>
          </cell>
          <cell r="Z59" t="str">
            <v/>
          </cell>
          <cell r="AA59">
            <v>46097</v>
          </cell>
          <cell r="AB59" t="str">
            <v>Annalene Conde Mar 13, 2026 4:40 PM</v>
          </cell>
          <cell r="AC59">
            <v>46097</v>
          </cell>
          <cell r="AD59">
            <v>46098</v>
          </cell>
          <cell r="AE59">
            <v>46184</v>
          </cell>
          <cell r="AF59">
            <v>46184</v>
          </cell>
          <cell r="AG59" t="str">
            <v/>
          </cell>
          <cell r="AH59" t="str">
            <v>Spencer Anderson</v>
          </cell>
          <cell r="AI59" t="str">
            <v/>
          </cell>
        </row>
        <row r="60">
          <cell r="C60">
            <v>87077</v>
          </cell>
          <cell r="D60">
            <v>46079</v>
          </cell>
          <cell r="E60" t="str">
            <v/>
          </cell>
          <cell r="F60" t="str">
            <v>Final</v>
          </cell>
          <cell r="G60" t="str">
            <v>Invoice Sent</v>
          </cell>
          <cell r="H60" t="str">
            <v>No</v>
          </cell>
          <cell r="I60" t="str">
            <v>Sean Torre</v>
          </cell>
          <cell r="J60" t="str">
            <v/>
          </cell>
          <cell r="K60" t="str">
            <v>https://panda-windows-and-doors.monday.com/protected_static/21046287/resources/2712894036/Q#87077 - The Holland - The proposal.pdf</v>
          </cell>
          <cell r="L60" t="str">
            <v>https://panda-windows-and-doors.monday.com/protected_static/21046287/resources/2712894160/Q#87077 - the Holland - backer.pdf</v>
          </cell>
          <cell r="M60" t="str">
            <v/>
          </cell>
          <cell r="N60" t="str">
            <v>https://panda-windows-and-doors.monday.com/protected_static/21046287/resources/2723472670/Estimate 10387.pdf, https://panda-windows-and-doors.monday.com/protected_static/21046287/resources/2769423744/87077 Deposit Invoice CO 1.pdf</v>
          </cell>
          <cell r="O60" t="str">
            <v/>
          </cell>
          <cell r="P60" t="str">
            <v/>
          </cell>
          <cell r="Q60" t="str">
            <v/>
          </cell>
          <cell r="R60" t="str">
            <v>https://panda-windows-and-doors.monday.com/protected_static/21046287/resources/2821658617/Q87077 THE HOLLAND - CUTLIST (MANUAL).pdf, https://panda-windows-and-doors.monday.com/protected_static/21046287/resources/2821658625/Q87077 THE HOLLAND - B.O.M.pdf, https://panda-windows-and-doors.monday.com/protected_static/21046287/resources/2821658647/Q87077_66_WOOD CUTSHEET.pdf</v>
          </cell>
          <cell r="S60" t="str">
            <v>Final Invoicing</v>
          </cell>
          <cell r="T60" t="str">
            <v/>
          </cell>
          <cell r="U60">
            <v>11448</v>
          </cell>
          <cell r="V60">
            <v>3238</v>
          </cell>
          <cell r="W60" t="str">
            <v>Amit Iarochevsky Jun 12, 2026 4:05 PM</v>
          </cell>
          <cell r="X60" t="str">
            <v>2026-01-27 00:00</v>
          </cell>
          <cell r="Y60">
            <v>46049</v>
          </cell>
          <cell r="Z60" t="str">
            <v/>
          </cell>
          <cell r="AA60">
            <v>46049</v>
          </cell>
          <cell r="AB60" t="str">
            <v>Annalene Conde Jan 27, 2026 9:05 AM</v>
          </cell>
          <cell r="AC60">
            <v>46049</v>
          </cell>
          <cell r="AD60">
            <v>46052</v>
          </cell>
          <cell r="AE60">
            <v>46185</v>
          </cell>
          <cell r="AF60">
            <v>46185</v>
          </cell>
          <cell r="AG60">
            <v>46084</v>
          </cell>
          <cell r="AH60" t="str">
            <v>The Holland</v>
          </cell>
          <cell r="AI60">
            <v>46079</v>
          </cell>
        </row>
        <row r="61">
          <cell r="C61">
            <v>87676</v>
          </cell>
          <cell r="D61" t="str">
            <v/>
          </cell>
          <cell r="E61" t="str">
            <v/>
          </cell>
          <cell r="F61" t="str">
            <v>Final</v>
          </cell>
          <cell r="G61" t="str">
            <v>Invoice Sent</v>
          </cell>
          <cell r="H61" t="str">
            <v>No</v>
          </cell>
          <cell r="I61" t="str">
            <v>Efrain Zarate, Trevor Benthagen</v>
          </cell>
          <cell r="J61" t="str">
            <v/>
          </cell>
          <cell r="K61" t="str">
            <v>https://panda-windows-and-doors.monday.com/protected_static/21046287/resources/2871662433/signed sales order.pdf</v>
          </cell>
          <cell r="L61" t="str">
            <v>https://panda-windows-and-doors.monday.com/protected_static/21046287/resources/2871662691/BP-70M55_20260401_094353.pdf</v>
          </cell>
          <cell r="M61" t="str">
            <v/>
          </cell>
          <cell r="N61" t="str">
            <v>https://panda-windows-and-doors.monday.com/protected_static/21046287/resources/2872029324/87676 Deposit Invoice.pdf</v>
          </cell>
          <cell r="O61" t="str">
            <v/>
          </cell>
          <cell r="P61" t="str">
            <v/>
          </cell>
          <cell r="Q61" t="str">
            <v/>
          </cell>
          <cell r="R61" t="str">
            <v>https://panda-windows-and-doors.monday.com/protected_static/21046287/resources/2961710072/MF 5311 Q87676 BOE DEKKER - B.O.M.pdf, https://panda-windows-and-doors.monday.com/protected_static/21046287/resources/2961710135/MF 5311 Q87676 BOE DEKKER - OPT.pdf, https://panda-windows-and-doors.monday.com/protected_static/21046287/resources/2961710185/MF 5311 Q87676 BOE DEKKER- CUTLIST (GINERI).pdf</v>
          </cell>
          <cell r="S61" t="str">
            <v>Final Invoicing</v>
          </cell>
          <cell r="T61" t="str">
            <v/>
          </cell>
          <cell r="U61">
            <v>2400.25</v>
          </cell>
          <cell r="V61">
            <v>2855.94</v>
          </cell>
          <cell r="W61" t="str">
            <v>Amit Iarochevsky Jun 12, 2026 4:13 PM</v>
          </cell>
          <cell r="X61" t="str">
            <v>2026-04-01 00:00</v>
          </cell>
          <cell r="Y61">
            <v>46113</v>
          </cell>
          <cell r="Z61" t="str">
            <v/>
          </cell>
          <cell r="AA61">
            <v>46113</v>
          </cell>
          <cell r="AB61" t="str">
            <v>Annalene Conde Apr 1, 2026 10:40 AM</v>
          </cell>
          <cell r="AC61">
            <v>46113</v>
          </cell>
          <cell r="AD61">
            <v>46125</v>
          </cell>
          <cell r="AE61">
            <v>46185</v>
          </cell>
          <cell r="AF61">
            <v>46185</v>
          </cell>
          <cell r="AG61" t="str">
            <v/>
          </cell>
          <cell r="AH61" t="str">
            <v>Boe Dekker</v>
          </cell>
          <cell r="AI61" t="str">
            <v/>
          </cell>
        </row>
        <row r="62">
          <cell r="C62">
            <v>4500807491</v>
          </cell>
          <cell r="D62" t="str">
            <v/>
          </cell>
          <cell r="E62" t="str">
            <v/>
          </cell>
          <cell r="F62" t="str">
            <v>Windsor Final</v>
          </cell>
          <cell r="G62" t="str">
            <v>Invoice Sent</v>
          </cell>
          <cell r="H62" t="str">
            <v>No</v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>No</v>
          </cell>
          <cell r="N62" t="str">
            <v>https://panda-windows-and-doors.monday.com/protected_static/21046287/resources/2962042563/4500807491 Deposit Invoice.pdf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>https://panda-windows-and-doors.monday.com/protected_static/21046287/resources/2961346434/Print data.PDF</v>
          </cell>
          <cell r="U62" t="str">
            <v/>
          </cell>
          <cell r="V62">
            <v>4502.1499999999996</v>
          </cell>
          <cell r="W62" t="str">
            <v>Amit Iarochevsky Jun 15, 2026 9:54 AM</v>
          </cell>
          <cell r="X62" t="str">
            <v/>
          </cell>
          <cell r="Y62">
            <v>46153</v>
          </cell>
          <cell r="Z62" t="str">
            <v/>
          </cell>
          <cell r="AA62">
            <v>46153</v>
          </cell>
          <cell r="AB62" t="str">
            <v>Amit Iarochevsky May 11, 2026 10:30 AM</v>
          </cell>
          <cell r="AC62">
            <v>46188</v>
          </cell>
          <cell r="AD62" t="str">
            <v/>
          </cell>
          <cell r="AE62" t="str">
            <v/>
          </cell>
          <cell r="AF62">
            <v>46188</v>
          </cell>
          <cell r="AG62" t="str">
            <v/>
          </cell>
          <cell r="AH62" t="str">
            <v/>
          </cell>
          <cell r="AI62" t="str">
            <v/>
          </cell>
        </row>
        <row r="63">
          <cell r="C63">
            <v>89201</v>
          </cell>
          <cell r="D63" t="str">
            <v/>
          </cell>
          <cell r="E63" t="str">
            <v/>
          </cell>
          <cell r="F63" t="str">
            <v>Final</v>
          </cell>
          <cell r="G63" t="str">
            <v>Invoice Sent</v>
          </cell>
          <cell r="H63" t="str">
            <v>No</v>
          </cell>
          <cell r="I63" t="str">
            <v>Trevor Benthagen</v>
          </cell>
          <cell r="J63" t="str">
            <v/>
          </cell>
          <cell r="K63" t="str">
            <v>https://panda-windows-and-doors.monday.com/protected_static/21046287/resources/2820858322/BP-70M55_20260311_095246.pdf</v>
          </cell>
          <cell r="L63" t="str">
            <v>https://panda-windows-and-doors.monday.com/protected_static/21046287/resources/2820858583/BP-70M55_20260311_095253.pdf</v>
          </cell>
          <cell r="M63" t="str">
            <v/>
          </cell>
          <cell r="N63" t="str">
            <v>https://panda-windows-and-doors.monday.com/protected_static/21046287/resources/2823815362/89201.pdf</v>
          </cell>
          <cell r="O63" t="str">
            <v/>
          </cell>
          <cell r="P63" t="str">
            <v/>
          </cell>
          <cell r="Q63" t="str">
            <v/>
          </cell>
          <cell r="R63" t="str">
            <v>https://panda-windows-and-doors.monday.com/protected_static/21046287/resources/2934873180/Q89201 ANDERSON PROJECT - B.O.M.pdf, https://panda-windows-and-doors.monday.com/protected_static/21046287/resources/2934873165/Q89201 ANDERSON PROJECT - CUTLIST (MANUAL).pdf</v>
          </cell>
          <cell r="S63" t="str">
            <v>Final Invoicing</v>
          </cell>
          <cell r="T63" t="str">
            <v/>
          </cell>
          <cell r="U63">
            <v>29243</v>
          </cell>
          <cell r="V63">
            <v>32775.93</v>
          </cell>
          <cell r="W63" t="str">
            <v>Amit Iarochevsky Jun 15, 2026 11:01 AM</v>
          </cell>
          <cell r="X63" t="str">
            <v>2026-02-17 00:00</v>
          </cell>
          <cell r="Y63">
            <v>46092</v>
          </cell>
          <cell r="Z63" t="str">
            <v/>
          </cell>
          <cell r="AA63">
            <v>46092</v>
          </cell>
          <cell r="AB63" t="str">
            <v>Annalene Conde Mar 11, 2026 11:01 AM</v>
          </cell>
          <cell r="AC63">
            <v>46093</v>
          </cell>
          <cell r="AD63">
            <v>46093</v>
          </cell>
          <cell r="AE63">
            <v>46188</v>
          </cell>
          <cell r="AF63">
            <v>46188</v>
          </cell>
          <cell r="AG63" t="str">
            <v/>
          </cell>
          <cell r="AH63" t="str">
            <v>Teddy Anderson</v>
          </cell>
          <cell r="AI63" t="str">
            <v/>
          </cell>
        </row>
        <row r="64">
          <cell r="C64">
            <v>90305</v>
          </cell>
          <cell r="D64" t="str">
            <v/>
          </cell>
          <cell r="E64" t="str">
            <v/>
          </cell>
          <cell r="F64" t="str">
            <v>Deposit</v>
          </cell>
          <cell r="G64" t="str">
            <v>Deposit Collected</v>
          </cell>
          <cell r="H64" t="str">
            <v>No</v>
          </cell>
          <cell r="I64" t="str">
            <v>Tyler Clark</v>
          </cell>
          <cell r="J64" t="str">
            <v/>
          </cell>
          <cell r="K64" t="str">
            <v>https://panda-windows-and-doors.monday.com/protected_static/21046287/resources/3042923027/Cord Project SIGNED SO.pdf</v>
          </cell>
          <cell r="L64" t="str">
            <v>https://panda-windows-and-doors.monday.com/protected_static/21046287/resources/3044405326/BP-70M55_20260615_092257.pdf</v>
          </cell>
          <cell r="M64" t="str">
            <v/>
          </cell>
          <cell r="N64" t="str">
            <v>https://panda-windows-and-doors.monday.com/protected_static/21046287/resources/3044570141/90305 Deposit Invoice.pdf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>
            <v>6823.18</v>
          </cell>
          <cell r="V64">
            <v>6823.18</v>
          </cell>
          <cell r="W64" t="str">
            <v>George Bails Jun 16, 2026 11:10 AM</v>
          </cell>
          <cell r="X64" t="str">
            <v>2026-06-15 07:21</v>
          </cell>
          <cell r="Y64">
            <v>46188</v>
          </cell>
          <cell r="Z64" t="str">
            <v/>
          </cell>
          <cell r="AA64">
            <v>46188</v>
          </cell>
          <cell r="AB64" t="str">
            <v>Amit Iarochevsky Jun 15, 2026 8:34 AM</v>
          </cell>
          <cell r="AC64">
            <v>46188</v>
          </cell>
          <cell r="AD64">
            <v>46188</v>
          </cell>
          <cell r="AE64" t="str">
            <v/>
          </cell>
          <cell r="AF64" t="str">
            <v/>
          </cell>
          <cell r="AG64" t="str">
            <v/>
          </cell>
          <cell r="AH64" t="str">
            <v>Joey Shuman</v>
          </cell>
          <cell r="AI64" t="str">
            <v/>
          </cell>
        </row>
        <row r="65">
          <cell r="C65">
            <v>91019</v>
          </cell>
          <cell r="D65" t="str">
            <v/>
          </cell>
          <cell r="E65" t="str">
            <v/>
          </cell>
          <cell r="F65" t="str">
            <v>Deposit</v>
          </cell>
          <cell r="G65" t="str">
            <v>Invoice Sent</v>
          </cell>
          <cell r="H65" t="str">
            <v>No</v>
          </cell>
          <cell r="I65" t="str">
            <v>Spencer Anderson</v>
          </cell>
          <cell r="J65" t="str">
            <v/>
          </cell>
          <cell r="K65" t="str">
            <v>https://panda-windows-and-doors.monday.com/protected_static/21046287/resources/3044459848/Panda Sales Order 2220 (3) - SIGNED.pdf</v>
          </cell>
          <cell r="L65" t="str">
            <v>https://panda-windows-and-doors.monday.com/protected_static/21046287/resources/3044484000/BP-70M55_20260615_145430.pdf</v>
          </cell>
          <cell r="M65" t="str">
            <v/>
          </cell>
          <cell r="N65" t="str">
            <v>https://panda-windows-and-doors.monday.com/protected_static/21046287/resources/3046656895/91019 Deposit Invoice.pdf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>
            <v>993.6</v>
          </cell>
          <cell r="V65">
            <v>993.6</v>
          </cell>
          <cell r="W65" t="str">
            <v>Elizabet Lopez Jun 16, 2026 11:25 AM</v>
          </cell>
          <cell r="X65" t="str">
            <v/>
          </cell>
          <cell r="Y65">
            <v>46188</v>
          </cell>
          <cell r="Z65" t="str">
            <v/>
          </cell>
          <cell r="AA65">
            <v>46188</v>
          </cell>
          <cell r="AB65" t="str">
            <v>Annalene Conde Jun 15, 2026 3:56 PM</v>
          </cell>
          <cell r="AC65">
            <v>46189</v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>Jared Foley</v>
          </cell>
          <cell r="AI65" t="str">
            <v/>
          </cell>
        </row>
        <row r="66">
          <cell r="C66">
            <v>90012</v>
          </cell>
          <cell r="D66" t="str">
            <v/>
          </cell>
          <cell r="E66" t="str">
            <v>1104</v>
          </cell>
          <cell r="F66" t="str">
            <v>Final</v>
          </cell>
          <cell r="G66" t="str">
            <v>Invoice Sent</v>
          </cell>
          <cell r="H66" t="str">
            <v>No</v>
          </cell>
          <cell r="I66" t="str">
            <v>Luke Valles, Jameson Dahn</v>
          </cell>
          <cell r="J66" t="str">
            <v/>
          </cell>
          <cell r="K66" t="str">
            <v>https://panda-windows-and-doors.monday.com/protected_static/21046287/resources/2909366522/Panda  1104 - Oksana Pavlowski SIGNED.pdf</v>
          </cell>
          <cell r="L66" t="str">
            <v>https://panda-windows-and-doors.monday.com/protected_static/21046287/resources/2909363755/1104 Signed Backer.pdf</v>
          </cell>
          <cell r="M66" t="str">
            <v/>
          </cell>
          <cell r="N66" t="str">
            <v>https://panda-windows-and-doors.monday.com/protected_static/21046287/resources/2909483339/90012 Deposit Invoice.pdf</v>
          </cell>
          <cell r="O66" t="str">
            <v/>
          </cell>
          <cell r="P66" t="str">
            <v/>
          </cell>
          <cell r="Q66" t="str">
            <v/>
          </cell>
          <cell r="R66" t="str">
            <v>https://panda-windows-and-doors.monday.com/protected_static/21046287/resources/2965347529/Q90012_FTS60 OPT.pdf, https://panda-windows-and-doors.monday.com/protected_static/21046287/resources/2965347528/Q90012_FTS60 CUT LIST.pdf, https://panda-windows-and-doors.monday.com/protected_static/21046287/resources/2965347532/Q90012_FTS60 MAT LIST.pdf, https://panda-windows-and-doors.monday.com/protected_static/21046287/resources/2965347521/Q90012_FTS60 BOM.pdf</v>
          </cell>
          <cell r="S66" t="str">
            <v>Final Invoicing</v>
          </cell>
          <cell r="T66" t="str">
            <v/>
          </cell>
          <cell r="U66">
            <v>5254</v>
          </cell>
          <cell r="V66">
            <v>2173.9699999999998</v>
          </cell>
          <cell r="W66" t="str">
            <v>Amit Iarochevsky Jun 16, 2026 11:31 AM</v>
          </cell>
          <cell r="X66" t="str">
            <v>2026-02-23 17:03</v>
          </cell>
          <cell r="Y66">
            <v>46129</v>
          </cell>
          <cell r="Z66" t="str">
            <v/>
          </cell>
          <cell r="AA66">
            <v>46129</v>
          </cell>
          <cell r="AB66" t="str">
            <v>Annalene Conde Apr 17, 2026 11:14 AM</v>
          </cell>
          <cell r="AC66">
            <v>46129</v>
          </cell>
          <cell r="AD66">
            <v>46132</v>
          </cell>
          <cell r="AE66">
            <v>46188</v>
          </cell>
          <cell r="AF66">
            <v>46189</v>
          </cell>
          <cell r="AG66" t="str">
            <v/>
          </cell>
          <cell r="AH66" t="str">
            <v>Oksana Pavlowsky</v>
          </cell>
          <cell r="AI66" t="str">
            <v/>
          </cell>
        </row>
        <row r="67">
          <cell r="C67">
            <v>89285</v>
          </cell>
          <cell r="D67">
            <v>46148</v>
          </cell>
          <cell r="E67" t="str">
            <v/>
          </cell>
          <cell r="F67" t="str">
            <v>Final</v>
          </cell>
          <cell r="G67" t="str">
            <v>Invoice Sent</v>
          </cell>
          <cell r="H67" t="str">
            <v>⚠️ Expedited</v>
          </cell>
          <cell r="I67" t="str">
            <v>Sean Torre</v>
          </cell>
          <cell r="J67" t="str">
            <v/>
          </cell>
          <cell r="K67" t="str">
            <v>https://panda-windows-and-doors.monday.com/protected_static/21046287/resources/2814474709/QQ#89285 Cotton On Dallas Galleria 03062026 (1) (1).pdf</v>
          </cell>
          <cell r="L67" t="str">
            <v>https://panda-windows-and-doors.monday.com/protected_static/21046287/resources/2814474564/CamScanner 3-9-26 12.34 (1).pdf</v>
          </cell>
          <cell r="M67" t="str">
            <v/>
          </cell>
          <cell r="N67" t="str">
            <v>https://panda-windows-and-doors.monday.com/protected_static/21046287/resources/2814647009/89285 Deposit Invoice.pdf</v>
          </cell>
          <cell r="O67" t="str">
            <v/>
          </cell>
          <cell r="P67" t="str">
            <v/>
          </cell>
          <cell r="Q67" t="str">
            <v/>
          </cell>
          <cell r="R67" t="str">
            <v>https://panda-windows-and-doors.monday.com/protected_static/21046287/resources/2964725663/MF 5312 Q89285 COTTON ON DALLAS GALLERIA - CUTLIST (GINERI).pdf, https://panda-windows-and-doors.monday.com/protected_static/21046287/resources/2964725675/MF 5312 Q89285 COTTON ON DALLAS GALLERIA - B.O.M.pdf, https://panda-windows-and-doors.monday.com/protected_static/21046287/resources/2964725670/MF 5312 Q89285 COTTON ON DALLAS GALLERIA - CUTLIST (MANUAL).pdf, https://panda-windows-and-doors.monday.com/protected_static/21046287/resources/2964725666/MF 5312 Q89285 COTTON ON DALLAS GALLERIA - OPT.pdf</v>
          </cell>
          <cell r="S67" t="str">
            <v>Final Invoicing</v>
          </cell>
          <cell r="T67" t="str">
            <v/>
          </cell>
          <cell r="U67">
            <v>23405</v>
          </cell>
          <cell r="V67">
            <v>23404</v>
          </cell>
          <cell r="W67" t="str">
            <v>Amit Iarochevsky Jun 17, 2026 11:54 AM</v>
          </cell>
          <cell r="X67" t="str">
            <v>2026-03-09 00:00</v>
          </cell>
          <cell r="Y67">
            <v>46090</v>
          </cell>
          <cell r="Z67" t="str">
            <v/>
          </cell>
          <cell r="AA67">
            <v>46090</v>
          </cell>
          <cell r="AB67" t="str">
            <v>Annalene Conde Mar 9, 2026 3:13 PM</v>
          </cell>
          <cell r="AC67">
            <v>46090</v>
          </cell>
          <cell r="AD67">
            <v>46098</v>
          </cell>
          <cell r="AE67">
            <v>46189</v>
          </cell>
          <cell r="AF67">
            <v>46190</v>
          </cell>
          <cell r="AG67">
            <v>46153</v>
          </cell>
          <cell r="AH67" t="str">
            <v>Cotton on Dallas Galleria</v>
          </cell>
          <cell r="AI67">
            <v>46148</v>
          </cell>
        </row>
        <row r="68">
          <cell r="C68">
            <v>89641</v>
          </cell>
          <cell r="D68" t="str">
            <v/>
          </cell>
          <cell r="E68" t="str">
            <v/>
          </cell>
          <cell r="F68" t="str">
            <v>Final</v>
          </cell>
          <cell r="G68" t="str">
            <v>Invoice Sent</v>
          </cell>
          <cell r="H68" t="str">
            <v>No</v>
          </cell>
          <cell r="I68" t="str">
            <v>Spencer Anderson</v>
          </cell>
          <cell r="J68" t="str">
            <v/>
          </cell>
          <cell r="K68" t="str">
            <v>https://panda-windows-and-doors.monday.com/protected_static/21046287/resources/2870897768/QQ #89641 - SPW_Lot 44 - 03162026 Signed.pdf</v>
          </cell>
          <cell r="L68" t="str">
            <v>https://panda-windows-and-doors.monday.com/protected_static/21046287/resources/2870896077/BP-70M55_20260330_111628.pdf</v>
          </cell>
          <cell r="M68" t="str">
            <v/>
          </cell>
          <cell r="N68" t="str">
            <v>https://panda-windows-and-doors.monday.com/protected_static/21046287/resources/2872621162/89641 Deposit Invoice.pdf</v>
          </cell>
          <cell r="O68" t="str">
            <v/>
          </cell>
          <cell r="P68" t="str">
            <v/>
          </cell>
          <cell r="Q68" t="str">
            <v/>
          </cell>
          <cell r="R68" t="str">
            <v>https://panda-windows-and-doors.monday.com/protected_static/21046287/resources/2945732084/Q89641_TS30 OPT MANUAL.pdf, https://panda-windows-and-doors.monday.com/protected_static/21046287/resources/2945732090/Q89641_TS30 BOM.pdf, https://panda-windows-and-doors.monday.com/protected_static/21046287/resources/2945732099/Q89641_TS30 CUT LIST.pdf, https://panda-windows-and-doors.monday.com/protected_static/21046287/resources/2945732129/Q89641_TS30 MAT LIST.pdf, https://panda-windows-and-doors.monday.com/protected_static/21046287/resources/2945732138/Q89641_TS30 OPT.pdf, https://panda-windows-and-doors.monday.com/protected_static/21046287/resources/2945732197/Q89641_TS30_TRACKS.pdf</v>
          </cell>
          <cell r="S68" t="str">
            <v>Final Invoicing</v>
          </cell>
          <cell r="T68" t="str">
            <v/>
          </cell>
          <cell r="U68">
            <v>15548</v>
          </cell>
          <cell r="V68">
            <v>15548</v>
          </cell>
          <cell r="W68" t="str">
            <v>Amit Iarochevsky Jun 17, 2026 11:59 AM</v>
          </cell>
          <cell r="X68" t="str">
            <v/>
          </cell>
          <cell r="Y68">
            <v>46113</v>
          </cell>
          <cell r="Z68" t="str">
            <v/>
          </cell>
          <cell r="AA68">
            <v>46113</v>
          </cell>
          <cell r="AB68" t="str">
            <v>Annalene Conde Apr 1, 2026 8:19 AM</v>
          </cell>
          <cell r="AC68">
            <v>46113</v>
          </cell>
          <cell r="AD68">
            <v>46120</v>
          </cell>
          <cell r="AE68">
            <v>46190</v>
          </cell>
          <cell r="AF68">
            <v>46190</v>
          </cell>
          <cell r="AG68" t="str">
            <v/>
          </cell>
          <cell r="AH68" t="str">
            <v>Lyle Belnap</v>
          </cell>
          <cell r="AI68" t="str">
            <v/>
          </cell>
        </row>
        <row r="69">
          <cell r="C69">
            <v>90316</v>
          </cell>
          <cell r="D69" t="str">
            <v/>
          </cell>
          <cell r="E69">
            <v>1418</v>
          </cell>
          <cell r="F69" t="str">
            <v>Final</v>
          </cell>
          <cell r="G69" t="str">
            <v>Invoice Sent</v>
          </cell>
          <cell r="H69" t="str">
            <v>No</v>
          </cell>
          <cell r="I69" t="str">
            <v>Tyler Clark</v>
          </cell>
          <cell r="J69" t="str">
            <v/>
          </cell>
          <cell r="K69" t="str">
            <v>https://panda-windows-and-doors.monday.com/protected_static/21046287/resources/2899992587/BP-70M55_20260414_112408.pdf</v>
          </cell>
          <cell r="L69" t="str">
            <v/>
          </cell>
          <cell r="M69" t="str">
            <v/>
          </cell>
          <cell r="N69" t="str">
            <v>https://panda-windows-and-doors.monday.com/protected_static/21046287/resources/2900350218/90316 Deposit Invoice.pdf</v>
          </cell>
          <cell r="O69" t="str">
            <v/>
          </cell>
          <cell r="P69" t="str">
            <v/>
          </cell>
          <cell r="Q69" t="str">
            <v/>
          </cell>
          <cell r="R69" t="str">
            <v>https://panda-windows-and-doors.monday.com/protected_static/21046287/resources/2925569177/Q90316_TS67 BOM.pdf, https://panda-windows-and-doors.monday.com/protected_static/21046287/resources/2925569176/Q90316_TS67 MAT LIST.pdf, https://panda-windows-and-doors.monday.com/protected_static/21046287/resources/2925569178/Q90316_TS67 CUT LIST.pdf, https://panda-windows-and-doors.monday.com/protected_static/21046287/resources/2925569181/Q90316_TS67 OPT.pdf</v>
          </cell>
          <cell r="S69" t="str">
            <v>Final Invoicing</v>
          </cell>
          <cell r="T69" t="str">
            <v/>
          </cell>
          <cell r="U69">
            <v>9047</v>
          </cell>
          <cell r="V69">
            <v>10507.2</v>
          </cell>
          <cell r="W69" t="str">
            <v>Amit Iarochevsky Jun 17, 2026 1:05 PM</v>
          </cell>
          <cell r="X69" t="str">
            <v>2026-04-14 00:00</v>
          </cell>
          <cell r="Y69">
            <v>46126</v>
          </cell>
          <cell r="Z69" t="str">
            <v/>
          </cell>
          <cell r="AA69">
            <v>46126</v>
          </cell>
          <cell r="AB69" t="str">
            <v>Annalene Conde Apr 14, 2026 12:25 PM</v>
          </cell>
          <cell r="AC69">
            <v>46126</v>
          </cell>
          <cell r="AD69">
            <v>46129</v>
          </cell>
          <cell r="AE69">
            <v>46190</v>
          </cell>
          <cell r="AF69">
            <v>46190</v>
          </cell>
          <cell r="AG69" t="str">
            <v/>
          </cell>
          <cell r="AH69" t="str">
            <v>James Stevens</v>
          </cell>
          <cell r="AI69" t="str">
            <v/>
          </cell>
        </row>
        <row r="70">
          <cell r="C70">
            <v>86087</v>
          </cell>
          <cell r="D70">
            <v>46034</v>
          </cell>
          <cell r="E70" t="str">
            <v/>
          </cell>
          <cell r="F70" t="str">
            <v>Final</v>
          </cell>
          <cell r="G70" t="str">
            <v>Invoice Sent</v>
          </cell>
          <cell r="H70" t="str">
            <v>No</v>
          </cell>
          <cell r="I70" t="str">
            <v>Efrain Zarate, Trevor Benthagen</v>
          </cell>
          <cell r="J70" t="str">
            <v/>
          </cell>
          <cell r="K70" t="str">
            <v>https://panda-windows-and-doors.monday.com/protected_static/21046287/resources/2266261900/smtp.office365.com_20250702_135132.pdf</v>
          </cell>
          <cell r="L70" t="str">
            <v>https://panda-windows-and-doors.monday.com/protected_static/21046287/resources/2266261533/smtp.office365.com_20250702_135140.pdf</v>
          </cell>
          <cell r="M70" t="str">
            <v/>
          </cell>
          <cell r="N70" t="str">
            <v>https://panda-windows-and-doors.monday.com/protected_static/21046287/resources/2871591974/86087 Deposit Invoice CO# 1.pdf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>Final Invoicing</v>
          </cell>
          <cell r="T70" t="str">
            <v/>
          </cell>
          <cell r="U70">
            <v>21046</v>
          </cell>
          <cell r="V70">
            <v>21045</v>
          </cell>
          <cell r="W70" t="str">
            <v>Amit Iarochevsky Jun 17, 2026 2:41 PM</v>
          </cell>
          <cell r="X70" t="str">
            <v>2025-07-02 00:00</v>
          </cell>
          <cell r="Y70">
            <v>45841</v>
          </cell>
          <cell r="Z70" t="str">
            <v/>
          </cell>
          <cell r="AA70">
            <v>45841</v>
          </cell>
          <cell r="AB70" t="str">
            <v>Jayme Truong Jul 3, 2025 10:34 AM</v>
          </cell>
          <cell r="AC70">
            <v>45841</v>
          </cell>
          <cell r="AD70">
            <v>46118</v>
          </cell>
          <cell r="AE70">
            <v>46190</v>
          </cell>
          <cell r="AF70">
            <v>46190</v>
          </cell>
          <cell r="AG70">
            <v>46118</v>
          </cell>
          <cell r="AH70" t="str">
            <v>Portalais</v>
          </cell>
          <cell r="AI70">
            <v>46034</v>
          </cell>
        </row>
        <row r="71">
          <cell r="C71">
            <v>83256</v>
          </cell>
          <cell r="D71" t="str">
            <v/>
          </cell>
          <cell r="E71" t="str">
            <v/>
          </cell>
          <cell r="F71" t="str">
            <v>Deposit</v>
          </cell>
          <cell r="G71" t="str">
            <v>Deposit Collected</v>
          </cell>
          <cell r="H71" t="str">
            <v>No</v>
          </cell>
          <cell r="I71" t="str">
            <v>Trevor Benthagen, Efrain Zarate</v>
          </cell>
          <cell r="J71" t="str">
            <v/>
          </cell>
          <cell r="K71" t="str">
            <v>https://panda-windows-and-doors.monday.com/protected_static/21046287/resources/2111677861/Curtis Signed Sales Order.pdf</v>
          </cell>
          <cell r="L71" t="str">
            <v>https://panda-windows-and-doors.monday.com/protected_static/21046287/resources/2083482546/Curtis Backer.pdf</v>
          </cell>
          <cell r="M71" t="str">
            <v/>
          </cell>
          <cell r="N71" t="str">
            <v>https://panda-windows-and-doors.monday.com/protected_static/21046287/resources/1884059031/83256 Deposit Invoice CO 1.pdf, https://panda-windows-and-doors.monday.com/protected_static/21046287/resources/1884059766/83256 Deposit Invoice.pdf</v>
          </cell>
          <cell r="O71" t="str">
            <v>Stan Curtis</v>
          </cell>
          <cell r="P71" t="str">
            <v/>
          </cell>
          <cell r="Q71" t="str">
            <v/>
          </cell>
          <cell r="R71" t="str">
            <v/>
          </cell>
          <cell r="S71" t="str">
            <v>Completed - Closed Out</v>
          </cell>
          <cell r="T71" t="str">
            <v/>
          </cell>
          <cell r="U71">
            <v>9137</v>
          </cell>
          <cell r="V71">
            <v>10022.64</v>
          </cell>
          <cell r="W71" t="str">
            <v>Annalene Conde Jun 10, 2026 2:02 PM</v>
          </cell>
          <cell r="X71" t="str">
            <v>2025-01-02 00:00</v>
          </cell>
          <cell r="Y71">
            <v>45664</v>
          </cell>
          <cell r="Z71" t="str">
            <v/>
          </cell>
          <cell r="AA71">
            <v>45663</v>
          </cell>
          <cell r="AB71" t="str">
            <v>Jayme Truong Jan 3, 2025 9:04 AM</v>
          </cell>
          <cell r="AC71">
            <v>45666</v>
          </cell>
          <cell r="AD71">
            <v>45667</v>
          </cell>
          <cell r="AE71" t="str">
            <v/>
          </cell>
          <cell r="AF71" t="str">
            <v/>
          </cell>
          <cell r="AG71" t="str">
            <v/>
          </cell>
          <cell r="AH71" t="str">
            <v>Stan Curtis</v>
          </cell>
          <cell r="AI71" t="str">
            <v/>
          </cell>
        </row>
        <row r="72">
          <cell r="C72">
            <v>78503</v>
          </cell>
          <cell r="D72" t="str">
            <v/>
          </cell>
          <cell r="E72" t="str">
            <v/>
          </cell>
          <cell r="F72" t="str">
            <v>Deposit</v>
          </cell>
          <cell r="G72" t="str">
            <v>Deposit Collected</v>
          </cell>
          <cell r="H72" t="str">
            <v>No</v>
          </cell>
          <cell r="I72" t="str">
            <v>Luke Valles</v>
          </cell>
          <cell r="J72" t="str">
            <v/>
          </cell>
          <cell r="K72" t="str">
            <v>https://panda-windows-and-doors.monday.com/protected_static/21046287/resources/2208642278/QQ #78503 - Starkey Residence - 06102025 signed proposal.pdf</v>
          </cell>
          <cell r="L72" t="str">
            <v>https://panda-windows-and-doors.monday.com/protected_static/21046287/resources/2204587931/78503 Starkey - Signed Backer 061225.pdf</v>
          </cell>
          <cell r="M72" t="str">
            <v/>
          </cell>
          <cell r="N72" t="str">
            <v>https://panda-windows-and-doors.monday.com/protected_static/21046287/resources/2208916371/78503 Deposit Invoice.pdf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>Sent to Engineering</v>
          </cell>
          <cell r="T72" t="str">
            <v/>
          </cell>
          <cell r="U72">
            <v>15815</v>
          </cell>
          <cell r="V72">
            <v>18261.650000000001</v>
          </cell>
          <cell r="W72" t="str">
            <v>Annalene Conde Jun 10, 2026 2:02 PM</v>
          </cell>
          <cell r="X72" t="str">
            <v>2025-06-12 00:00</v>
          </cell>
          <cell r="Y72">
            <v>45824</v>
          </cell>
          <cell r="Z72" t="str">
            <v/>
          </cell>
          <cell r="AA72">
            <v>45824</v>
          </cell>
          <cell r="AB72" t="str">
            <v>Jayme Truong Jun 16, 2025 1:30 PM</v>
          </cell>
          <cell r="AC72">
            <v>45824</v>
          </cell>
          <cell r="AD72">
            <v>45825</v>
          </cell>
          <cell r="AE72" t="str">
            <v/>
          </cell>
          <cell r="AF72" t="str">
            <v/>
          </cell>
          <cell r="AG72" t="str">
            <v/>
          </cell>
          <cell r="AH72" t="str">
            <v>Keith Starkey</v>
          </cell>
          <cell r="AI72" t="str">
            <v/>
          </cell>
        </row>
        <row r="73">
          <cell r="C73">
            <v>85860</v>
          </cell>
          <cell r="D73" t="str">
            <v/>
          </cell>
          <cell r="E73" t="str">
            <v/>
          </cell>
          <cell r="F73" t="str">
            <v>Deposit</v>
          </cell>
          <cell r="G73" t="str">
            <v>Deposit Collected</v>
          </cell>
          <cell r="H73" t="str">
            <v>No</v>
          </cell>
          <cell r="I73" t="str">
            <v>Efrain Zarate, Trevor Benthagen</v>
          </cell>
          <cell r="J73" t="str">
            <v/>
          </cell>
          <cell r="K73" t="str">
            <v>https://panda-windows-and-doors.monday.com/protected_static/21046287/resources/2193453248/smtp.office365.com_20250609_064921.pdf</v>
          </cell>
          <cell r="L73" t="str">
            <v>https://panda-windows-and-doors.monday.com/protected_static/21046287/resources/2193452976/smtp.office365.com_20250609_064932.pdf</v>
          </cell>
          <cell r="M73" t="str">
            <v/>
          </cell>
          <cell r="N73" t="str">
            <v>https://panda-windows-and-doors.monday.com/protected_static/21046287/resources/2193802166/85860 Deposit Invoice.pdf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>Sent to Engineering</v>
          </cell>
          <cell r="T73" t="str">
            <v/>
          </cell>
          <cell r="U73">
            <v>68221</v>
          </cell>
          <cell r="V73">
            <v>87391.89</v>
          </cell>
          <cell r="W73" t="str">
            <v>Annalene Conde Jun 10, 2026 2:02 PM</v>
          </cell>
          <cell r="X73" t="str">
            <v>2025-03-25 00:00</v>
          </cell>
          <cell r="Y73">
            <v>45817</v>
          </cell>
          <cell r="Z73" t="str">
            <v/>
          </cell>
          <cell r="AA73">
            <v>45817</v>
          </cell>
          <cell r="AB73" t="str">
            <v>Jayme Truong Jun 9, 2025 9:27 AM</v>
          </cell>
          <cell r="AC73">
            <v>45817</v>
          </cell>
          <cell r="AD73">
            <v>45826</v>
          </cell>
          <cell r="AE73" t="str">
            <v/>
          </cell>
          <cell r="AF73" t="str">
            <v/>
          </cell>
          <cell r="AG73" t="str">
            <v/>
          </cell>
          <cell r="AH73" t="str">
            <v>The Window Store</v>
          </cell>
          <cell r="AI73" t="str">
            <v/>
          </cell>
        </row>
        <row r="74">
          <cell r="C74">
            <v>84719</v>
          </cell>
          <cell r="D74" t="str">
            <v/>
          </cell>
          <cell r="E74" t="str">
            <v/>
          </cell>
          <cell r="F74" t="str">
            <v>Deposit</v>
          </cell>
          <cell r="G74" t="str">
            <v>Deposit Collected</v>
          </cell>
          <cell r="H74" t="str">
            <v>No</v>
          </cell>
          <cell r="I74" t="str">
            <v>Derrick McCall</v>
          </cell>
          <cell r="J74" t="str">
            <v/>
          </cell>
          <cell r="K74" t="str">
            <v>https://panda-windows-and-doors.monday.com/protected_static/21046287/resources/2267693028/Q84719.pdf</v>
          </cell>
          <cell r="L74" t="str">
            <v>https://panda-windows-and-doors.monday.com/protected_static/21046287/resources/2267693989/SB 84719.pdf</v>
          </cell>
          <cell r="M74" t="str">
            <v/>
          </cell>
          <cell r="N74" t="str">
            <v>https://panda-windows-and-doors.monday.com/protected_static/21046287/resources/2268399011/84719 Deposit Invoice.pdf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>In Production</v>
          </cell>
          <cell r="T74" t="str">
            <v/>
          </cell>
          <cell r="U74">
            <v>416603</v>
          </cell>
          <cell r="V74">
            <v>501269.46</v>
          </cell>
          <cell r="W74" t="str">
            <v>Annalene Conde Jun 10, 2026 2:02 PM</v>
          </cell>
          <cell r="X74" t="str">
            <v>2025-04-01 00:00</v>
          </cell>
          <cell r="Y74">
            <v>45841</v>
          </cell>
          <cell r="Z74" t="str">
            <v/>
          </cell>
          <cell r="AA74">
            <v>45841</v>
          </cell>
          <cell r="AB74" t="str">
            <v>Jayme Truong Jul 3, 2025 9:27 AM</v>
          </cell>
          <cell r="AC74">
            <v>45841</v>
          </cell>
          <cell r="AD74">
            <v>45845</v>
          </cell>
          <cell r="AE74" t="str">
            <v/>
          </cell>
          <cell r="AF74" t="str">
            <v/>
          </cell>
          <cell r="AG74" t="str">
            <v/>
          </cell>
          <cell r="AH74" t="str">
            <v>Sinter Clad</v>
          </cell>
          <cell r="AI74" t="str">
            <v/>
          </cell>
        </row>
        <row r="75">
          <cell r="C75">
            <v>84726</v>
          </cell>
          <cell r="D75" t="str">
            <v/>
          </cell>
          <cell r="E75" t="str">
            <v/>
          </cell>
          <cell r="F75" t="str">
            <v>Deposit</v>
          </cell>
          <cell r="G75" t="str">
            <v>Deposit Collected</v>
          </cell>
          <cell r="H75" t="str">
            <v>No</v>
          </cell>
          <cell r="I75" t="str">
            <v>Derrick McCall</v>
          </cell>
          <cell r="J75" t="str">
            <v/>
          </cell>
          <cell r="K75" t="str">
            <v>https://panda-windows-and-doors.monday.com/protected_static/21046287/resources/2267752157/Q84726.pdf</v>
          </cell>
          <cell r="L75" t="str">
            <v>https://panda-windows-and-doors.monday.com/protected_static/21046287/resources/2267752519/SB Q84726.pdf</v>
          </cell>
          <cell r="M75" t="str">
            <v/>
          </cell>
          <cell r="N75" t="str">
            <v>https://panda-windows-and-doors.monday.com/protected_static/21046287/resources/2268442872/84726 Deposit Invoice.pdf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>Completed - Closed Out</v>
          </cell>
          <cell r="T75" t="str">
            <v/>
          </cell>
          <cell r="U75">
            <v>231351</v>
          </cell>
          <cell r="V75">
            <v>278265.28000000003</v>
          </cell>
          <cell r="W75" t="str">
            <v>Annalene Conde Jun 10, 2026 2:02 PM</v>
          </cell>
          <cell r="X75" t="str">
            <v>2025-04-01 00:00</v>
          </cell>
          <cell r="Y75">
            <v>45841</v>
          </cell>
          <cell r="Z75" t="str">
            <v/>
          </cell>
          <cell r="AA75">
            <v>45841</v>
          </cell>
          <cell r="AB75" t="str">
            <v>Jayme Truong Jul 3, 2025 9:55 AM</v>
          </cell>
          <cell r="AC75">
            <v>45841</v>
          </cell>
          <cell r="AD75">
            <v>45845</v>
          </cell>
          <cell r="AE75" t="str">
            <v/>
          </cell>
          <cell r="AF75" t="str">
            <v/>
          </cell>
          <cell r="AG75" t="str">
            <v/>
          </cell>
          <cell r="AH75" t="str">
            <v>Sinter Clad</v>
          </cell>
          <cell r="AI75" t="str">
            <v/>
          </cell>
        </row>
        <row r="76">
          <cell r="C76">
            <v>81910</v>
          </cell>
          <cell r="D76" t="str">
            <v/>
          </cell>
          <cell r="E76" t="str">
            <v/>
          </cell>
          <cell r="F76" t="str">
            <v>Deposit</v>
          </cell>
          <cell r="G76" t="str">
            <v>Deposit Collected</v>
          </cell>
          <cell r="H76" t="str">
            <v>No</v>
          </cell>
          <cell r="I76" t="str">
            <v>Derrick McCall</v>
          </cell>
          <cell r="J76" t="str">
            <v/>
          </cell>
          <cell r="K76" t="str">
            <v>https://panda-windows-and-doors.monday.com/protected_static/21046287/resources/2277818566/711976PL-Panda-Booking PO.pdf</v>
          </cell>
          <cell r="L76" t="str">
            <v>https://panda-windows-and-doors.monday.com/protected_static/21046287/resources/2277818937/Q81910 AB.pdf</v>
          </cell>
          <cell r="M76" t="str">
            <v/>
          </cell>
          <cell r="N76" t="str">
            <v>https://panda-windows-and-doors.monday.com/protected_static/21046287/resources/2278073820/81910 Deposit Invoice.pdf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>In Production</v>
          </cell>
          <cell r="T76" t="str">
            <v/>
          </cell>
          <cell r="U76">
            <v>13876</v>
          </cell>
          <cell r="V76">
            <v>16550.560000000001</v>
          </cell>
          <cell r="W76" t="str">
            <v>Annalene Conde Jun 10, 2026 2:02 PM</v>
          </cell>
          <cell r="X76" t="str">
            <v>2025-07-09 00:00</v>
          </cell>
          <cell r="Y76">
            <v>45847</v>
          </cell>
          <cell r="Z76" t="str">
            <v/>
          </cell>
          <cell r="AA76">
            <v>45847</v>
          </cell>
          <cell r="AB76" t="str">
            <v>Jayme Truong Jul 9, 2025 9:39 AM</v>
          </cell>
          <cell r="AC76">
            <v>45847</v>
          </cell>
          <cell r="AD76">
            <v>45859</v>
          </cell>
          <cell r="AE76" t="str">
            <v/>
          </cell>
          <cell r="AF76" t="str">
            <v/>
          </cell>
          <cell r="AG76" t="str">
            <v/>
          </cell>
          <cell r="AH76" t="str">
            <v>Progress Glass Co</v>
          </cell>
          <cell r="AI76" t="str">
            <v/>
          </cell>
        </row>
        <row r="77">
          <cell r="C77">
            <v>85604</v>
          </cell>
          <cell r="D77" t="str">
            <v/>
          </cell>
          <cell r="E77" t="str">
            <v/>
          </cell>
          <cell r="F77" t="str">
            <v>Deposit</v>
          </cell>
          <cell r="G77" t="str">
            <v>Deposit Collected</v>
          </cell>
          <cell r="H77" t="str">
            <v>No</v>
          </cell>
          <cell r="I77" t="str">
            <v>Luke Valles</v>
          </cell>
          <cell r="J77" t="str">
            <v/>
          </cell>
          <cell r="K77" t="str">
            <v>https://panda-windows-and-doors.monday.com/protected_static/21046287/resources/2322138146/QQ 85604 1420 King Street 6th Floor Ribbon Window 062025_Signed.pdf</v>
          </cell>
          <cell r="L77" t="str">
            <v>https://panda-windows-and-doors.monday.com/protected_static/21046287/resources/2322138783/1420 King Street_Signed Backer.pdf</v>
          </cell>
          <cell r="M77" t="str">
            <v/>
          </cell>
          <cell r="N77" t="str">
            <v>https://panda-windows-and-doors.monday.com/protected_static/21046287/resources/2324502472/85604 Deposit Invoice.pdf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>In Production</v>
          </cell>
          <cell r="T77" t="str">
            <v/>
          </cell>
          <cell r="U77">
            <v>80676.28</v>
          </cell>
          <cell r="V77">
            <v>0</v>
          </cell>
          <cell r="W77" t="str">
            <v>Annalene Conde Jun 10, 2026 2:02 PM</v>
          </cell>
          <cell r="X77" t="str">
            <v>2025-06-20 00:00</v>
          </cell>
          <cell r="Y77">
            <v>45868</v>
          </cell>
          <cell r="Z77" t="str">
            <v/>
          </cell>
          <cell r="AA77">
            <v>45868</v>
          </cell>
          <cell r="AB77" t="str">
            <v>Jayme Truong Jul 30, 2025 2:36 PM</v>
          </cell>
          <cell r="AC77">
            <v>45869</v>
          </cell>
          <cell r="AD77">
            <v>45881</v>
          </cell>
          <cell r="AE77" t="str">
            <v/>
          </cell>
          <cell r="AF77" t="str">
            <v/>
          </cell>
          <cell r="AG77" t="str">
            <v/>
          </cell>
          <cell r="AH77" t="str">
            <v>Lite Building Services</v>
          </cell>
          <cell r="AI77" t="str">
            <v/>
          </cell>
        </row>
        <row r="78">
          <cell r="C78">
            <v>83108</v>
          </cell>
          <cell r="D78" t="str">
            <v/>
          </cell>
          <cell r="E78" t="str">
            <v/>
          </cell>
          <cell r="F78" t="str">
            <v>Deposit</v>
          </cell>
          <cell r="G78" t="str">
            <v>Deposit Collected</v>
          </cell>
          <cell r="H78" t="str">
            <v>No</v>
          </cell>
          <cell r="I78" t="str">
            <v/>
          </cell>
          <cell r="J78" t="str">
            <v/>
          </cell>
          <cell r="K78" t="str">
            <v>https://panda-windows-and-doors.monday.com/protected_static/21046287/resources/2022537234/Folding Doors - Panda w Alt - 1.23.25 - Signed.pdf</v>
          </cell>
          <cell r="L78" t="str">
            <v>https://panda-windows-and-doors.monday.com/protected_static/21046287/resources/2083284206/New Logan Elementary Backer.pdf, https://panda-windows-and-doors.monday.com/protected_static/21046287/resources/2083284205/New Logan Elementary  (Crystal) - 01172025.xlsx, https://panda-windows-and-doors.monday.com/protected_static/21046287/resources/2092587856/New Logan Ele..pdf</v>
          </cell>
          <cell r="M78" t="str">
            <v/>
          </cell>
          <cell r="N78" t="str">
            <v>https://panda-windows-and-doors.monday.com/protected_static/21046287/resources/2043410650/83108 10% deposit invoice.pdf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>Sent to Engineering</v>
          </cell>
          <cell r="T78" t="str">
            <v/>
          </cell>
          <cell r="U78">
            <v>172204.5</v>
          </cell>
          <cell r="V78">
            <v>192680.04</v>
          </cell>
          <cell r="W78" t="str">
            <v>Annalene Conde Jun 10, 2026 2:02 PM</v>
          </cell>
          <cell r="X78" t="str">
            <v>2025-03-18 08:25</v>
          </cell>
          <cell r="Y78">
            <v>45734</v>
          </cell>
          <cell r="Z78" t="str">
            <v/>
          </cell>
          <cell r="AA78">
            <v>45743</v>
          </cell>
          <cell r="AB78" t="str">
            <v>Jayme Truong Mar 18, 2025 11:24 AM</v>
          </cell>
          <cell r="AC78">
            <v>45743</v>
          </cell>
          <cell r="AD78">
            <v>45883</v>
          </cell>
          <cell r="AE78" t="str">
            <v/>
          </cell>
          <cell r="AF78" t="str">
            <v/>
          </cell>
          <cell r="AG78" t="str">
            <v/>
          </cell>
          <cell r="AH78" t="str">
            <v>Jesse Ruzzin</v>
          </cell>
          <cell r="AI78" t="str">
            <v/>
          </cell>
        </row>
        <row r="79">
          <cell r="C79">
            <v>84075</v>
          </cell>
          <cell r="D79" t="str">
            <v/>
          </cell>
          <cell r="E79" t="str">
            <v/>
          </cell>
          <cell r="F79" t="str">
            <v>Deposit</v>
          </cell>
          <cell r="G79" t="str">
            <v>Deposit Collected</v>
          </cell>
          <cell r="H79" t="str">
            <v>No</v>
          </cell>
          <cell r="I79" t="str">
            <v>Derrick McCall</v>
          </cell>
          <cell r="J79" t="str">
            <v/>
          </cell>
          <cell r="K79" t="str">
            <v>https://panda-windows-and-doors.monday.com/protected_static/21046287/resources/2325183841/31528-2.pdf</v>
          </cell>
          <cell r="L79" t="str">
            <v>https://panda-windows-and-doors.monday.com/protected_static/21046287/resources/2325187098/Q84075 SB.pdf</v>
          </cell>
          <cell r="M79" t="str">
            <v/>
          </cell>
          <cell r="N79" t="str">
            <v>https://panda-windows-and-doors.monday.com/protected_static/21046287/resources/2325392649/84075 Deposit Invoice.pdf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>In Production</v>
          </cell>
          <cell r="T79" t="str">
            <v/>
          </cell>
          <cell r="U79">
            <v>13567</v>
          </cell>
          <cell r="V79">
            <v>13566</v>
          </cell>
          <cell r="W79" t="str">
            <v>Annalene Conde Jun 10, 2026 2:02 PM</v>
          </cell>
          <cell r="X79" t="str">
            <v>2025-02-26 00:00</v>
          </cell>
          <cell r="Y79">
            <v>45869</v>
          </cell>
          <cell r="Z79" t="str">
            <v/>
          </cell>
          <cell r="AA79">
            <v>45869</v>
          </cell>
          <cell r="AB79" t="str">
            <v>Jayme Truong Jul 31, 2025 3:36 PM</v>
          </cell>
          <cell r="AC79">
            <v>45869</v>
          </cell>
          <cell r="AD79">
            <v>45894</v>
          </cell>
          <cell r="AE79" t="str">
            <v/>
          </cell>
          <cell r="AF79" t="str">
            <v/>
          </cell>
          <cell r="AG79" t="str">
            <v/>
          </cell>
          <cell r="AH79" t="str">
            <v>Signature Glass &amp; Windows</v>
          </cell>
          <cell r="AI79" t="str">
            <v/>
          </cell>
        </row>
        <row r="80">
          <cell r="C80">
            <v>82413</v>
          </cell>
          <cell r="D80" t="str">
            <v/>
          </cell>
          <cell r="E80" t="str">
            <v/>
          </cell>
          <cell r="F80" t="str">
            <v>Deposit</v>
          </cell>
          <cell r="G80" t="str">
            <v>Deposit Collected</v>
          </cell>
          <cell r="H80" t="str">
            <v>No</v>
          </cell>
          <cell r="I80" t="str">
            <v>Derrick McCall</v>
          </cell>
          <cell r="J80" t="str">
            <v/>
          </cell>
          <cell r="K80" t="str">
            <v>https://panda-windows-and-doors.monday.com/protected_static/21046287/resources/2365917908/Signed_QQ #82413 - Lulus Place - 07292025.pdf</v>
          </cell>
          <cell r="L80" t="str">
            <v>https://panda-windows-and-doors.monday.com/protected_static/21046287/resources/2365918519/Q82413 APB.pdf</v>
          </cell>
          <cell r="M80" t="str">
            <v/>
          </cell>
          <cell r="N80" t="str">
            <v>https://panda-windows-and-doors.monday.com/protected_static/21046287/resources/2366234861/82413 Deposit Invoice.pdf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>In Production</v>
          </cell>
          <cell r="T80" t="str">
            <v/>
          </cell>
          <cell r="U80">
            <v>16601</v>
          </cell>
          <cell r="V80">
            <v>19381.68</v>
          </cell>
          <cell r="W80" t="str">
            <v>Annalene Conde Jun 10, 2026 2:02 PM</v>
          </cell>
          <cell r="X80" t="str">
            <v>2025-08-20 00:00</v>
          </cell>
          <cell r="Y80">
            <v>45889</v>
          </cell>
          <cell r="Z80" t="str">
            <v/>
          </cell>
          <cell r="AA80">
            <v>45889</v>
          </cell>
          <cell r="AB80" t="str">
            <v>Jayme Truong Aug 20, 2025 12:21 PM</v>
          </cell>
          <cell r="AC80">
            <v>45889</v>
          </cell>
          <cell r="AD80">
            <v>45895</v>
          </cell>
          <cell r="AE80" t="str">
            <v/>
          </cell>
          <cell r="AF80" t="str">
            <v/>
          </cell>
          <cell r="AG80" t="str">
            <v/>
          </cell>
          <cell r="AH80" t="str">
            <v>Walters &amp; Wolf</v>
          </cell>
          <cell r="AI80" t="str">
            <v/>
          </cell>
        </row>
        <row r="81">
          <cell r="C81">
            <v>86334</v>
          </cell>
          <cell r="D81" t="str">
            <v/>
          </cell>
          <cell r="E81" t="str">
            <v/>
          </cell>
          <cell r="F81" t="str">
            <v>Deposit</v>
          </cell>
          <cell r="G81" t="str">
            <v>Deposit Collected</v>
          </cell>
          <cell r="H81" t="str">
            <v>No</v>
          </cell>
          <cell r="I81" t="str">
            <v>Spencer Anderson</v>
          </cell>
          <cell r="J81" t="str">
            <v/>
          </cell>
          <cell r="K81" t="str">
            <v>https://panda-windows-and-doors.monday.com/protected_static/21046287/resources/2368376664/QQ #86334 - SPW_Williams Residence - 08062025 - signed order.pdf</v>
          </cell>
          <cell r="L81" t="str">
            <v>https://panda-windows-and-doors.monday.com/protected_static/21046287/resources/2368376095/smtp.office365.com_20250821_080546.pdf</v>
          </cell>
          <cell r="M81" t="str">
            <v/>
          </cell>
          <cell r="N81" t="str">
            <v>https://panda-windows-and-doors.monday.com/protected_static/21046287/resources/2369155571/86334 Deposit Invoice.pdf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>Sent to Engineering</v>
          </cell>
          <cell r="T81" t="str">
            <v/>
          </cell>
          <cell r="U81">
            <v>5093.55</v>
          </cell>
          <cell r="V81">
            <v>5195.45</v>
          </cell>
          <cell r="W81" t="str">
            <v>Annalene Conde Jun 10, 2026 2:02 PM</v>
          </cell>
          <cell r="X81" t="str">
            <v/>
          </cell>
          <cell r="Y81">
            <v>45890</v>
          </cell>
          <cell r="Z81" t="str">
            <v/>
          </cell>
          <cell r="AA81">
            <v>45890</v>
          </cell>
          <cell r="AB81" t="str">
            <v>Annalene Conde Aug 21, 2025 10:49 AM</v>
          </cell>
          <cell r="AC81">
            <v>45890</v>
          </cell>
          <cell r="AD81">
            <v>45898</v>
          </cell>
          <cell r="AE81" t="str">
            <v/>
          </cell>
          <cell r="AF81" t="str">
            <v/>
          </cell>
          <cell r="AG81" t="str">
            <v/>
          </cell>
          <cell r="AH81" t="str">
            <v>Williams Residence</v>
          </cell>
          <cell r="AI81" t="str">
            <v/>
          </cell>
        </row>
        <row r="82">
          <cell r="C82">
            <v>86988</v>
          </cell>
          <cell r="D82" t="str">
            <v/>
          </cell>
          <cell r="E82" t="str">
            <v/>
          </cell>
          <cell r="F82" t="str">
            <v>Deposit</v>
          </cell>
          <cell r="G82" t="str">
            <v>Deposit Collected</v>
          </cell>
          <cell r="H82" t="str">
            <v>No</v>
          </cell>
          <cell r="I82" t="str">
            <v>Tyler Clark</v>
          </cell>
          <cell r="J82" t="str">
            <v/>
          </cell>
          <cell r="K82" t="str">
            <v>https://panda-windows-and-doors.monday.com/protected_static/21046287/resources/2423852416/Signed Sales Order_86988_091625.pdf</v>
          </cell>
          <cell r="L82" t="str">
            <v>https://panda-windows-and-doors.monday.com/protected_static/21046287/resources/2423852193/Signed Backer_86988_091625.pdf</v>
          </cell>
          <cell r="M82" t="str">
            <v/>
          </cell>
          <cell r="N82" t="str">
            <v>https://panda-windows-and-doors.monday.com/protected_static/21046287/resources/2426187217/86988 Deposit Invoice.pdf</v>
          </cell>
          <cell r="O82" t="str">
            <v/>
          </cell>
          <cell r="P82" t="str">
            <v/>
          </cell>
          <cell r="Q82" t="str">
            <v/>
          </cell>
          <cell r="R82" t="str">
            <v>https://panda-windows-and-doors.monday.com/protected_static/21046287/resources/2292117407/Wenatchee Valley Glass - Reseller Permit  5 Effective 5-4-2023 - WA.pdf</v>
          </cell>
          <cell r="S82" t="str">
            <v>In Production</v>
          </cell>
          <cell r="T82" t="str">
            <v/>
          </cell>
          <cell r="U82">
            <v>61093</v>
          </cell>
          <cell r="V82">
            <v>61093</v>
          </cell>
          <cell r="W82" t="str">
            <v>Annalene Conde Jun 10, 2026 2:02 PM</v>
          </cell>
          <cell r="X82" t="str">
            <v>2024-12-17 00:00</v>
          </cell>
          <cell r="Y82">
            <v>45917</v>
          </cell>
          <cell r="Z82" t="str">
            <v/>
          </cell>
          <cell r="AA82">
            <v>45917</v>
          </cell>
          <cell r="AB82" t="str">
            <v>Jayme Truong Sep 17, 2025 9:51 AM</v>
          </cell>
          <cell r="AC82">
            <v>45917</v>
          </cell>
          <cell r="AD82">
            <v>45929</v>
          </cell>
          <cell r="AE82" t="str">
            <v/>
          </cell>
          <cell r="AF82" t="str">
            <v/>
          </cell>
          <cell r="AG82" t="str">
            <v/>
          </cell>
          <cell r="AH82" t="str">
            <v>Wenatchee Glass</v>
          </cell>
          <cell r="AI82" t="str">
            <v/>
          </cell>
        </row>
        <row r="83">
          <cell r="C83">
            <v>87713</v>
          </cell>
          <cell r="D83" t="str">
            <v/>
          </cell>
          <cell r="E83" t="str">
            <v/>
          </cell>
          <cell r="F83" t="str">
            <v>Deposit</v>
          </cell>
          <cell r="G83" t="str">
            <v>Deposit Collected</v>
          </cell>
          <cell r="H83" t="str">
            <v>No</v>
          </cell>
          <cell r="I83" t="str">
            <v>Derrick McCall</v>
          </cell>
          <cell r="J83" t="str">
            <v/>
          </cell>
          <cell r="K83" t="str">
            <v>https://panda-windows-and-doors.monday.com/protected_static/21046287/resources/2518530306/SIGNED_Panda SO (doors)_10282025_QQ#87713.pdf</v>
          </cell>
          <cell r="L83" t="str">
            <v>https://panda-windows-and-doors.monday.com/protected_static/21046287/resources/2518530693/smtp.office365.com_20251029_072015.pdf</v>
          </cell>
          <cell r="M83" t="str">
            <v/>
          </cell>
          <cell r="N83" t="str">
            <v>https://panda-windows-and-doors.monday.com/protected_static/21046287/resources/2519292939/87713 Deposit Invoice.pdf</v>
          </cell>
          <cell r="O83" t="str">
            <v/>
          </cell>
          <cell r="P83" t="str">
            <v/>
          </cell>
          <cell r="Q83" t="str">
            <v/>
          </cell>
          <cell r="R83" t="str">
            <v>https://panda-windows-and-doors.monday.com/protected_static/21046287/resources/2995763339/Q87713 ROYAL WAIKIKI - B.O.M.pdf, https://panda-windows-and-doors.monday.com/protected_static/21046287/resources/2995763414/Q87713 ROYAL WAIKIKI - CUTLIST (MANUAL).pdf</v>
          </cell>
          <cell r="S83" t="str">
            <v>In Production</v>
          </cell>
          <cell r="T83" t="str">
            <v/>
          </cell>
          <cell r="U83">
            <v>192821</v>
          </cell>
          <cell r="V83">
            <v>192821</v>
          </cell>
          <cell r="W83" t="str">
            <v>Annalene Conde Jun 10, 2026 2:02 PM</v>
          </cell>
          <cell r="X83" t="str">
            <v>2025-10-20 00:00</v>
          </cell>
          <cell r="Y83">
            <v>45959</v>
          </cell>
          <cell r="Z83" t="str">
            <v/>
          </cell>
          <cell r="AA83">
            <v>45959</v>
          </cell>
          <cell r="AB83" t="str">
            <v>Annalene Conde Oct 29, 2025 10:05 AM</v>
          </cell>
          <cell r="AC83">
            <v>45959</v>
          </cell>
          <cell r="AD83">
            <v>45960</v>
          </cell>
          <cell r="AE83" t="str">
            <v/>
          </cell>
          <cell r="AF83" t="str">
            <v/>
          </cell>
          <cell r="AG83" t="str">
            <v/>
          </cell>
          <cell r="AH83" t="str">
            <v>Royal Waikiki LLC</v>
          </cell>
          <cell r="AI83" t="str">
            <v/>
          </cell>
        </row>
        <row r="84">
          <cell r="C84">
            <v>87716</v>
          </cell>
          <cell r="D84" t="str">
            <v/>
          </cell>
          <cell r="E84" t="str">
            <v/>
          </cell>
          <cell r="F84" t="str">
            <v>Deposit</v>
          </cell>
          <cell r="G84" t="str">
            <v>Deposit Collected</v>
          </cell>
          <cell r="H84" t="str">
            <v>No</v>
          </cell>
          <cell r="I84" t="str">
            <v>Derrick McCall</v>
          </cell>
          <cell r="J84" t="str">
            <v/>
          </cell>
          <cell r="K84" t="str">
            <v>https://panda-windows-and-doors.monday.com/protected_static/21046287/resources/2518537420/SIGNED_Panda SO (windows)_10272025_QQ#87716..pdf</v>
          </cell>
          <cell r="L84" t="str">
            <v>https://panda-windows-and-doors.monday.com/protected_static/21046287/resources/2518538073/smtp.office365.com_20251029_072025.pdf</v>
          </cell>
          <cell r="M84" t="str">
            <v/>
          </cell>
          <cell r="N84" t="str">
            <v>https://panda-windows-and-doors.monday.com/protected_static/21046287/resources/2519216092/87716 Deposit Invoice.pdf</v>
          </cell>
          <cell r="O84" t="str">
            <v/>
          </cell>
          <cell r="P84" t="str">
            <v/>
          </cell>
          <cell r="Q84" t="str">
            <v/>
          </cell>
          <cell r="R84" t="str">
            <v>https://panda-windows-and-doors.monday.com/protected_static/21046287/resources/3011145559/Q87716_TS67_TSXO_R5_KYNAR (BLACK).pdf, https://panda-windows-and-doors.monday.com/protected_static/21046287/resources/3011145592/Q87716_TS67_TSXO_R5_KYNAR (BRONZE).pdf, https://panda-windows-and-doors.monday.com/protected_static/21046287/resources/3011145550/MF 5324 Q87716 ROYAL WAIKIKI -CUTLIST (BLACK) .pdf, https://panda-windows-and-doors.monday.com/protected_static/21046287/resources/3011145668/Q87716 ROYAL WAIKIKI -CUTLIST (BRONZE MANUAL).pdf, https://panda-windows-and-doors.monday.com/protected_static/21046287/resources/3011145576/MF 5324 Q87716 ROYAL WAIKIKI -CUTLIST (BRONZE) .pdf, https://panda-windows-and-doors.monday.com/protected_static/21046287/resources/3011145714/MF 5324 Q87716 ROYAL WAIKIKI -OPT (BLACK).pdf, https://panda-windows-and-doors.monday.com/protected_static/21046287/resources/3011145736/MF 5324 Q87716 ROYAL WAIKIKI -OPT (BRONZE).pdf, https://panda-windows-and-doors.monday.com/protected_static/21046287/resources/3011145741/MF 5324 Q87716 ROYAL WAIKIKI - B.O.M.pdf</v>
          </cell>
          <cell r="S84" t="str">
            <v>In Production</v>
          </cell>
          <cell r="T84" t="str">
            <v/>
          </cell>
          <cell r="U84">
            <v>94522</v>
          </cell>
          <cell r="V84">
            <v>94521</v>
          </cell>
          <cell r="W84" t="str">
            <v>Annalene Conde Jun 10, 2026 2:02 PM</v>
          </cell>
          <cell r="X84" t="str">
            <v>2025-10-20 00:00</v>
          </cell>
          <cell r="Y84">
            <v>45959</v>
          </cell>
          <cell r="Z84" t="str">
            <v/>
          </cell>
          <cell r="AA84">
            <v>45959</v>
          </cell>
          <cell r="AB84" t="str">
            <v>Annalene Conde Oct 29, 2025 10:06 AM</v>
          </cell>
          <cell r="AC84">
            <v>45959</v>
          </cell>
          <cell r="AD84">
            <v>45960</v>
          </cell>
          <cell r="AE84" t="str">
            <v/>
          </cell>
          <cell r="AF84" t="str">
            <v/>
          </cell>
          <cell r="AG84" t="str">
            <v/>
          </cell>
          <cell r="AH84" t="str">
            <v>Royal Waikiki LLC</v>
          </cell>
          <cell r="AI84" t="str">
            <v/>
          </cell>
        </row>
        <row r="85">
          <cell r="C85" t="str">
            <v>AG&amp;A</v>
          </cell>
          <cell r="D85" t="str">
            <v/>
          </cell>
          <cell r="E85" t="str">
            <v/>
          </cell>
          <cell r="F85" t="str">
            <v>Service</v>
          </cell>
          <cell r="G85" t="str">
            <v>Deposit Collected</v>
          </cell>
          <cell r="H85" t="str">
            <v>No</v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>https://panda-windows-and-doors.monday.com/protected_static/21046287/resources/2545053166/SO AG&amp;A.pdf</v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>
            <v>554.4</v>
          </cell>
          <cell r="W85" t="str">
            <v>Annalene Conde Jun 10, 2026 2:02 PM</v>
          </cell>
          <cell r="X85" t="str">
            <v/>
          </cell>
          <cell r="Y85">
            <v>45971</v>
          </cell>
          <cell r="Z85" t="str">
            <v/>
          </cell>
          <cell r="AA85">
            <v>45971</v>
          </cell>
          <cell r="AB85" t="str">
            <v>Jayme Truong Nov 10, 2025 2:09 PM</v>
          </cell>
          <cell r="AC85" t="str">
            <v/>
          </cell>
          <cell r="AD85">
            <v>45974</v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</row>
        <row r="86">
          <cell r="C86">
            <v>87022</v>
          </cell>
          <cell r="D86" t="str">
            <v/>
          </cell>
          <cell r="E86" t="str">
            <v/>
          </cell>
          <cell r="F86" t="str">
            <v>Deposit</v>
          </cell>
          <cell r="G86" t="str">
            <v>Deposit Collected</v>
          </cell>
          <cell r="H86" t="str">
            <v>No</v>
          </cell>
          <cell r="I86" t="str">
            <v>Derrick McCall</v>
          </cell>
          <cell r="J86" t="str">
            <v/>
          </cell>
          <cell r="K86" t="str">
            <v>https://panda-windows-and-doors.monday.com/protected_static/21046287/resources/2532202449/03 - 25202 UCSB SAN BENITO - PANDA DOORS - QUOTE 87022.pdf</v>
          </cell>
          <cell r="L86" t="str">
            <v>https://panda-windows-and-doors.monday.com/protected_static/21046287/resources/2532201987/BP-70M55_20251104_101231.pdf</v>
          </cell>
          <cell r="M86" t="str">
            <v/>
          </cell>
          <cell r="N86" t="str">
            <v>https://panda-windows-and-doors.monday.com/protected_static/21046287/resources/2568520308/87022 Deposit Invoice.pdf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>Sent to Engineering</v>
          </cell>
          <cell r="T86" t="str">
            <v/>
          </cell>
          <cell r="U86">
            <v>60823</v>
          </cell>
          <cell r="V86">
            <v>72682.399999999994</v>
          </cell>
          <cell r="W86" t="str">
            <v>Annalene Conde Jun 10, 2026 2:02 PM</v>
          </cell>
          <cell r="X86" t="str">
            <v>2025-11-04 00:00</v>
          </cell>
          <cell r="Y86">
            <v>45965</v>
          </cell>
          <cell r="Z86" t="str">
            <v/>
          </cell>
          <cell r="AA86">
            <v>45965</v>
          </cell>
          <cell r="AB86" t="str">
            <v>Annalene Conde Nov 4, 2025 11:25 AM</v>
          </cell>
          <cell r="AC86">
            <v>45965</v>
          </cell>
          <cell r="AD86">
            <v>45981</v>
          </cell>
          <cell r="AE86" t="str">
            <v/>
          </cell>
          <cell r="AF86" t="str">
            <v/>
          </cell>
          <cell r="AG86" t="str">
            <v/>
          </cell>
          <cell r="AH86" t="str">
            <v>Best Contracting</v>
          </cell>
          <cell r="AI86" t="str">
            <v/>
          </cell>
        </row>
        <row r="87">
          <cell r="C87">
            <v>84246</v>
          </cell>
          <cell r="D87" t="str">
            <v/>
          </cell>
          <cell r="E87" t="str">
            <v/>
          </cell>
          <cell r="F87" t="str">
            <v>Deposit</v>
          </cell>
          <cell r="G87" t="str">
            <v>Deposit Collected</v>
          </cell>
          <cell r="H87" t="str">
            <v>No</v>
          </cell>
          <cell r="I87" t="str">
            <v>Efrain Zarate, Trevor Benthagen</v>
          </cell>
          <cell r="J87" t="str">
            <v/>
          </cell>
          <cell r="K87" t="str">
            <v>https://panda-windows-and-doors.monday.com/protected_static/21046287/resources/2559917836/BP-70M55_20251117_093558.pdf</v>
          </cell>
          <cell r="L87" t="str">
            <v>https://panda-windows-and-doors.monday.com/protected_static/21046287/resources/2559917059/BP-70M55_20251117_093618.pdf</v>
          </cell>
          <cell r="M87" t="str">
            <v/>
          </cell>
          <cell r="N87" t="str">
            <v>https://panda-windows-and-doors.monday.com/protected_static/21046287/resources/2562858892/84246 Deposit Invoice.pdf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>Sent to Engineering</v>
          </cell>
          <cell r="T87" t="str">
            <v/>
          </cell>
          <cell r="U87">
            <v>17115</v>
          </cell>
          <cell r="V87">
            <v>19981.77</v>
          </cell>
          <cell r="W87" t="str">
            <v>Annalene Conde Jun 10, 2026 2:02 PM</v>
          </cell>
          <cell r="X87" t="str">
            <v>2025-03-07 00:00</v>
          </cell>
          <cell r="Y87">
            <v>45978</v>
          </cell>
          <cell r="Z87" t="str">
            <v/>
          </cell>
          <cell r="AA87">
            <v>45978</v>
          </cell>
          <cell r="AB87" t="str">
            <v>Annalene Conde Nov 17, 2025 10:32 AM</v>
          </cell>
          <cell r="AC87">
            <v>45979</v>
          </cell>
          <cell r="AD87">
            <v>45995</v>
          </cell>
          <cell r="AE87" t="str">
            <v/>
          </cell>
          <cell r="AF87" t="str">
            <v/>
          </cell>
          <cell r="AG87" t="str">
            <v/>
          </cell>
          <cell r="AH87" t="str">
            <v>Tridel Construction</v>
          </cell>
          <cell r="AI87" t="str">
            <v/>
          </cell>
        </row>
        <row r="88">
          <cell r="C88">
            <v>87185</v>
          </cell>
          <cell r="D88" t="str">
            <v/>
          </cell>
          <cell r="E88" t="str">
            <v/>
          </cell>
          <cell r="F88" t="str">
            <v>Deposit</v>
          </cell>
          <cell r="G88" t="str">
            <v>Deposit Collected</v>
          </cell>
          <cell r="H88" t="str">
            <v>No</v>
          </cell>
          <cell r="I88" t="str">
            <v>Sean Torre</v>
          </cell>
          <cell r="J88" t="str">
            <v/>
          </cell>
          <cell r="K88" t="str">
            <v>https://panda-windows-and-doors.monday.com/protected_static/21046287/resources/2566546823/QQ#87185 Doganis Residence 11-11-2025 SIGNED.pdf</v>
          </cell>
          <cell r="L88" t="str">
            <v>https://panda-windows-and-doors.monday.com/protected_static/21046287/resources/2566546899/CamScanner 11-19-25 13.42.pdf</v>
          </cell>
          <cell r="M88" t="str">
            <v/>
          </cell>
          <cell r="N88" t="str">
            <v>https://panda-windows-and-doors.monday.com/protected_static/21046287/resources/2569369617/87185 Deposit Invoice.pdf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>Sent to Engineering</v>
          </cell>
          <cell r="T88" t="str">
            <v/>
          </cell>
          <cell r="U88">
            <v>31515</v>
          </cell>
          <cell r="V88">
            <v>36792.68</v>
          </cell>
          <cell r="W88" t="str">
            <v>Annalene Conde Jun 10, 2026 2:02 PM</v>
          </cell>
          <cell r="X88" t="str">
            <v>2025-11-19 00:00</v>
          </cell>
          <cell r="Y88">
            <v>45980</v>
          </cell>
          <cell r="Z88" t="str">
            <v/>
          </cell>
          <cell r="AA88">
            <v>45980</v>
          </cell>
          <cell r="AB88" t="str">
            <v>Annalene Conde Nov 19, 2025 2:46 PM</v>
          </cell>
          <cell r="AC88">
            <v>45981</v>
          </cell>
          <cell r="AD88">
            <v>45996</v>
          </cell>
          <cell r="AE88" t="str">
            <v/>
          </cell>
          <cell r="AF88" t="str">
            <v/>
          </cell>
          <cell r="AG88" t="str">
            <v/>
          </cell>
          <cell r="AH88" t="str">
            <v>Doganis Residence</v>
          </cell>
          <cell r="AI88" t="str">
            <v/>
          </cell>
        </row>
        <row r="89">
          <cell r="C89">
            <v>87488</v>
          </cell>
          <cell r="D89" t="str">
            <v/>
          </cell>
          <cell r="E89" t="str">
            <v/>
          </cell>
          <cell r="F89" t="str">
            <v>Deposit</v>
          </cell>
          <cell r="G89" t="str">
            <v>Deposit Collected</v>
          </cell>
          <cell r="H89" t="str">
            <v>No</v>
          </cell>
          <cell r="I89" t="str">
            <v>Derrick McCall</v>
          </cell>
          <cell r="J89" t="str">
            <v/>
          </cell>
          <cell r="K89" t="str">
            <v>https://panda-windows-and-doors.monday.com/protected_static/21046287/resources/2622028405/QQ#87488 Diablo Valley College 09252025.pdf</v>
          </cell>
          <cell r="L89" t="str">
            <v>https://panda-windows-and-doors.monday.com/protected_static/21046287/resources/2622027189/87488.pdf</v>
          </cell>
          <cell r="M89" t="str">
            <v/>
          </cell>
          <cell r="N89" t="str">
            <v>https://panda-windows-and-doors.monday.com/protected_static/21046287/resources/2622135514/87488 Deposit Invoice.pdf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>Avi Approval</v>
          </cell>
          <cell r="T89" t="str">
            <v/>
          </cell>
          <cell r="U89">
            <v>17613</v>
          </cell>
          <cell r="V89">
            <v>20808.650000000001</v>
          </cell>
          <cell r="W89" t="str">
            <v>Annalene Conde Jun 10, 2026 2:02 PM</v>
          </cell>
          <cell r="X89" t="str">
            <v>2025-09-25 00:00</v>
          </cell>
          <cell r="Y89">
            <v>46006</v>
          </cell>
          <cell r="Z89" t="str">
            <v/>
          </cell>
          <cell r="AA89">
            <v>46006</v>
          </cell>
          <cell r="AB89" t="str">
            <v>Annalene Conde Dec 15, 2025 3:23 PM</v>
          </cell>
          <cell r="AC89">
            <v>46006</v>
          </cell>
          <cell r="AD89">
            <v>46007</v>
          </cell>
          <cell r="AE89" t="str">
            <v/>
          </cell>
          <cell r="AF89" t="str">
            <v/>
          </cell>
          <cell r="AG89" t="str">
            <v/>
          </cell>
          <cell r="AH89" t="str">
            <v>Integrated Glass Concepts, Inc</v>
          </cell>
          <cell r="AI89" t="str">
            <v/>
          </cell>
        </row>
        <row r="90">
          <cell r="C90">
            <v>83729</v>
          </cell>
          <cell r="D90" t="str">
            <v/>
          </cell>
          <cell r="E90" t="str">
            <v/>
          </cell>
          <cell r="F90" t="str">
            <v>Deposit</v>
          </cell>
          <cell r="G90" t="str">
            <v>Deposit Collected</v>
          </cell>
          <cell r="H90" t="str">
            <v>No</v>
          </cell>
          <cell r="I90" t="str">
            <v>Tyler Clark</v>
          </cell>
          <cell r="J90" t="str">
            <v/>
          </cell>
          <cell r="K90" t="str">
            <v>https://panda-windows-and-doors.monday.com/protected_static/21046287/resources/2541260088/6_Panda_Executed.pdf</v>
          </cell>
          <cell r="L90" t="str">
            <v>https://panda-windows-and-doors.monday.com/protected_static/21046287/resources/2541365600/BP-70M55_20251107_143754.pdf</v>
          </cell>
          <cell r="M90" t="str">
            <v/>
          </cell>
          <cell r="N90" t="str">
            <v>https://panda-windows-and-doors.monday.com/protected_static/21046287/resources/2544021609/83729 Deposit Invoice.pdf</v>
          </cell>
          <cell r="O90" t="str">
            <v/>
          </cell>
          <cell r="P90" t="str">
            <v/>
          </cell>
          <cell r="Q90" t="str">
            <v/>
          </cell>
          <cell r="R90" t="str">
            <v>https://panda-windows-and-doors.monday.com/protected_static/21046287/resources/2967815091/Q83729_VOYAGE BOM.pdf, https://panda-windows-and-doors.monday.com/protected_static/21046287/resources/2967815132/Q83729_VOYAGE OPT.pdf</v>
          </cell>
          <cell r="S90" t="str">
            <v>In Production</v>
          </cell>
          <cell r="T90" t="str">
            <v/>
          </cell>
          <cell r="U90">
            <v>31223</v>
          </cell>
          <cell r="V90">
            <v>31222.86</v>
          </cell>
          <cell r="W90" t="str">
            <v>Annalene Conde Jun 10, 2026 2:02 PM</v>
          </cell>
          <cell r="X90" t="str">
            <v>2025-01-18 17:30</v>
          </cell>
          <cell r="Y90">
            <v>45968</v>
          </cell>
          <cell r="Z90" t="str">
            <v/>
          </cell>
          <cell r="AA90">
            <v>45968</v>
          </cell>
          <cell r="AB90" t="str">
            <v>Annalene Conde Nov 7, 2025 2:40 PM</v>
          </cell>
          <cell r="AC90">
            <v>45971</v>
          </cell>
          <cell r="AD90">
            <v>46028</v>
          </cell>
          <cell r="AE90" t="str">
            <v/>
          </cell>
          <cell r="AF90" t="str">
            <v/>
          </cell>
          <cell r="AG90" t="str">
            <v/>
          </cell>
          <cell r="AH90" t="str">
            <v>David Peccarelli</v>
          </cell>
          <cell r="AI90" t="str">
            <v/>
          </cell>
        </row>
        <row r="91">
          <cell r="C91">
            <v>87242</v>
          </cell>
          <cell r="D91" t="str">
            <v/>
          </cell>
          <cell r="E91" t="str">
            <v/>
          </cell>
          <cell r="F91" t="str">
            <v>Deposit</v>
          </cell>
          <cell r="G91" t="str">
            <v>Deposit Collected</v>
          </cell>
          <cell r="H91" t="str">
            <v>No</v>
          </cell>
          <cell r="I91" t="str">
            <v>Derrick McCall</v>
          </cell>
          <cell r="J91" t="str">
            <v/>
          </cell>
          <cell r="K91" t="str">
            <v>https://panda-windows-and-doors.monday.com/protected_static/21046287/resources/2684973049/LP#014-013- QQ #87242 - San Ysidro - 01092026 SIGNED.pdf</v>
          </cell>
          <cell r="L91" t="str">
            <v>https://panda-windows-and-doors.monday.com/protected_static/21046287/resources/2684972729/BP-70M55_20260115_065844.pdf</v>
          </cell>
          <cell r="M91" t="str">
            <v/>
          </cell>
          <cell r="N91" t="str">
            <v>https://panda-windows-and-doors.monday.com/protected_static/21046287/resources/2686258901/87242 Deposit Invoice.pdf</v>
          </cell>
          <cell r="O91" t="str">
            <v/>
          </cell>
          <cell r="P91" t="str">
            <v/>
          </cell>
          <cell r="Q91" t="str">
            <v/>
          </cell>
          <cell r="R91" t="str">
            <v>https://panda-windows-and-doors.monday.com/protected_static/21046287/resources/2857545429/MF 5258 Q87242 SAN YSIDRO - CUTLIST (GINERI).pdf, https://panda-windows-and-doors.monday.com/protected_static/21046287/resources/2857545417/MF 5258 Q87242 SAN YSIDRO - B.O.M.pdf, https://panda-windows-and-doors.monday.com/protected_static/21046287/resources/2857545418/MF 5258 Q87242 SAN YSIDRO - OPT.pdf</v>
          </cell>
          <cell r="S91" t="str">
            <v>In Production</v>
          </cell>
          <cell r="T91" t="str">
            <v/>
          </cell>
          <cell r="U91">
            <v>44650</v>
          </cell>
          <cell r="V91">
            <v>51323.45</v>
          </cell>
          <cell r="W91" t="str">
            <v>Annalene Conde Jun 10, 2026 2:02 PM</v>
          </cell>
          <cell r="X91" t="str">
            <v>2025-09-10 00:00</v>
          </cell>
          <cell r="Y91">
            <v>46037</v>
          </cell>
          <cell r="Z91" t="str">
            <v/>
          </cell>
          <cell r="AA91">
            <v>46037</v>
          </cell>
          <cell r="AB91" t="str">
            <v>Annalene Conde Jan 15, 2026 8:04 AM</v>
          </cell>
          <cell r="AC91">
            <v>46037</v>
          </cell>
          <cell r="AD91">
            <v>46045</v>
          </cell>
          <cell r="AE91" t="str">
            <v/>
          </cell>
          <cell r="AF91" t="str">
            <v/>
          </cell>
          <cell r="AG91" t="str">
            <v/>
          </cell>
          <cell r="AH91" t="str">
            <v>L.P. Glazing &amp; Consulting</v>
          </cell>
          <cell r="AI91" t="str">
            <v/>
          </cell>
        </row>
        <row r="92">
          <cell r="C92">
            <v>88810</v>
          </cell>
          <cell r="D92" t="str">
            <v/>
          </cell>
          <cell r="E92" t="str">
            <v/>
          </cell>
          <cell r="F92" t="str">
            <v>Deposit</v>
          </cell>
          <cell r="G92" t="str">
            <v>Deposit Collected</v>
          </cell>
          <cell r="H92" t="str">
            <v>No</v>
          </cell>
          <cell r="I92" t="str">
            <v>Derrick McCall</v>
          </cell>
          <cell r="J92" t="str">
            <v/>
          </cell>
          <cell r="K92" t="str">
            <v>https://panda-windows-and-doors.monday.com/protected_static/21046287/resources/2706465531/QQ#88810 Callan - Bldg B 01232026.pdf</v>
          </cell>
          <cell r="L92" t="str">
            <v>https://panda-windows-and-doors.monday.com/protected_static/21046287/resources/2706464822/AP Backer.pdf</v>
          </cell>
          <cell r="M92" t="str">
            <v/>
          </cell>
          <cell r="N92" t="str">
            <v>https://panda-windows-and-doors.monday.com/protected_static/21046287/resources/2706602462/88810 Deposit Invoice.pdf</v>
          </cell>
          <cell r="O92" t="str">
            <v/>
          </cell>
          <cell r="P92" t="str">
            <v/>
          </cell>
          <cell r="Q92" t="str">
            <v/>
          </cell>
          <cell r="R92" t="str">
            <v>https://panda-windows-and-doors.monday.com/protected_static/21046287/resources/2808668514/Q88810 CALLAN B - B.O.M.pdf, https://panda-windows-and-doors.monday.com/protected_static/21046287/resources/2808668510/Q88810 CALLAN B - CUTLIST (MANUAL).pdf</v>
          </cell>
          <cell r="S92" t="str">
            <v>Test Wall</v>
          </cell>
          <cell r="T92" t="str">
            <v/>
          </cell>
          <cell r="U92">
            <v>22507</v>
          </cell>
          <cell r="V92">
            <v>26099.119999999999</v>
          </cell>
          <cell r="W92" t="str">
            <v>Annalene Conde Jun 10, 2026 2:02 PM</v>
          </cell>
          <cell r="X92" t="str">
            <v>2026-01-23 00:00</v>
          </cell>
          <cell r="Y92">
            <v>46045</v>
          </cell>
          <cell r="Z92" t="str">
            <v/>
          </cell>
          <cell r="AA92">
            <v>46045</v>
          </cell>
          <cell r="AB92" t="str">
            <v>Annalene Conde Jan 23, 2026 2:34 PM</v>
          </cell>
          <cell r="AC92">
            <v>46045</v>
          </cell>
          <cell r="AD92">
            <v>46050</v>
          </cell>
          <cell r="AE92" t="str">
            <v/>
          </cell>
          <cell r="AF92" t="str">
            <v/>
          </cell>
          <cell r="AG92" t="str">
            <v/>
          </cell>
          <cell r="AH92" t="str">
            <v>Primary Glazing</v>
          </cell>
          <cell r="AI92" t="str">
            <v/>
          </cell>
        </row>
        <row r="93">
          <cell r="C93" t="str">
            <v>Woodard</v>
          </cell>
          <cell r="D93" t="str">
            <v/>
          </cell>
          <cell r="E93" t="str">
            <v/>
          </cell>
          <cell r="F93" t="str">
            <v>Service</v>
          </cell>
          <cell r="G93" t="str">
            <v>Service Collected</v>
          </cell>
          <cell r="H93" t="str">
            <v>No</v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>https://panda-windows-and-doors.monday.com/protected_static/21046287/resources/2706321389/Service Form (72).pdf</v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>Annalene Conde Jun 10, 2026 2:02 PM</v>
          </cell>
          <cell r="X93" t="str">
            <v/>
          </cell>
          <cell r="Y93">
            <v>46045</v>
          </cell>
          <cell r="Z93" t="str">
            <v/>
          </cell>
          <cell r="AA93">
            <v>46045</v>
          </cell>
          <cell r="AB93" t="str">
            <v>Annalene Conde Jan 23, 2026 1:35 PM</v>
          </cell>
          <cell r="AC93" t="str">
            <v/>
          </cell>
          <cell r="AD93">
            <v>46057</v>
          </cell>
          <cell r="AE93" t="str">
            <v/>
          </cell>
          <cell r="AF93" t="str">
            <v/>
          </cell>
          <cell r="AG93">
            <v>46057</v>
          </cell>
          <cell r="AH93" t="str">
            <v/>
          </cell>
          <cell r="AI93" t="str">
            <v/>
          </cell>
        </row>
        <row r="94">
          <cell r="C94">
            <v>88322</v>
          </cell>
          <cell r="D94" t="str">
            <v/>
          </cell>
          <cell r="E94" t="str">
            <v/>
          </cell>
          <cell r="F94" t="str">
            <v>Deposit</v>
          </cell>
          <cell r="G94" t="str">
            <v>Deposit Collected</v>
          </cell>
          <cell r="H94" t="str">
            <v>No</v>
          </cell>
          <cell r="I94" t="str">
            <v>Efrain Zarate, Trevor Benthagen</v>
          </cell>
          <cell r="J94" t="str">
            <v/>
          </cell>
          <cell r="K94" t="str">
            <v>https://panda-windows-and-doors.monday.com/protected_static/21046287/resources/2709792236/Scan2026-01-23_134803.pdf</v>
          </cell>
          <cell r="L94" t="str">
            <v>https://panda-windows-and-doors.monday.com/protected_static/21046287/resources/2709792077/BP-70M55_20260126_080903.pdf</v>
          </cell>
          <cell r="M94" t="str">
            <v/>
          </cell>
          <cell r="N94" t="str">
            <v>https://panda-windows-and-doors.monday.com/protected_static/21046287/resources/2713254667/Estimate 10382.pdf</v>
          </cell>
          <cell r="O94" t="str">
            <v/>
          </cell>
          <cell r="P94" t="str">
            <v/>
          </cell>
          <cell r="Q94" t="str">
            <v/>
          </cell>
          <cell r="R94" t="str">
            <v>https://panda-windows-and-doors.monday.com/protected_static/21046287/resources/2984354054/Q88322 CONNOR COHN - B.O.M.pdf, https://panda-windows-and-doors.monday.com/protected_static/21046287/resources/2984354064/Q88322 CONNOR COHN - CUTLIST (MANUAL).pdf</v>
          </cell>
          <cell r="S94" t="str">
            <v>In Production</v>
          </cell>
          <cell r="T94" t="str">
            <v/>
          </cell>
          <cell r="U94" t="str">
            <v/>
          </cell>
          <cell r="V94" t="str">
            <v/>
          </cell>
          <cell r="W94" t="str">
            <v>Annalene Conde Jun 10, 2026 2:02 PM</v>
          </cell>
          <cell r="X94" t="str">
            <v>2025-11-25 00:00</v>
          </cell>
          <cell r="Y94">
            <v>46048</v>
          </cell>
          <cell r="Z94" t="str">
            <v/>
          </cell>
          <cell r="AA94">
            <v>46048</v>
          </cell>
          <cell r="AB94" t="str">
            <v>Annalene Conde Jan 26, 2026 9:05 AM</v>
          </cell>
          <cell r="AC94">
            <v>46049</v>
          </cell>
          <cell r="AD94">
            <v>46062</v>
          </cell>
          <cell r="AE94" t="str">
            <v/>
          </cell>
          <cell r="AF94" t="str">
            <v/>
          </cell>
          <cell r="AG94" t="str">
            <v/>
          </cell>
          <cell r="AH94" t="str">
            <v>The Big Door Company</v>
          </cell>
          <cell r="AI94" t="str">
            <v/>
          </cell>
        </row>
        <row r="95">
          <cell r="C95">
            <v>87492</v>
          </cell>
          <cell r="D95" t="str">
            <v/>
          </cell>
          <cell r="E95" t="str">
            <v/>
          </cell>
          <cell r="F95" t="str">
            <v>Deposit</v>
          </cell>
          <cell r="G95" t="str">
            <v>Deposit Collected</v>
          </cell>
          <cell r="H95" t="str">
            <v>No</v>
          </cell>
          <cell r="I95" t="str">
            <v/>
          </cell>
          <cell r="J95" t="str">
            <v/>
          </cell>
          <cell r="K95" t="str">
            <v>https://panda-windows-and-doors.monday.com/protected_static/21046287/resources/2549734347/BP-70M55_20251111_112230.pdf, https://panda-windows-and-doors.monday.com/protected_static/21046287/resources/2549734601/BP-70M55_20251111_112241.pdf</v>
          </cell>
          <cell r="L95" t="str">
            <v>https://panda-windows-and-doors.monday.com/protected_static/21046287/resources/2549735436/BP-70M55_20251111_112125.pdf</v>
          </cell>
          <cell r="M95" t="str">
            <v/>
          </cell>
          <cell r="N95" t="str">
            <v>https://panda-windows-and-doors.monday.com/protected_static/21046287/resources/2550185686/87492 deposit Invoice.pdf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>Sent to Engineering</v>
          </cell>
          <cell r="T95" t="str">
            <v/>
          </cell>
          <cell r="U95">
            <v>22079</v>
          </cell>
          <cell r="V95">
            <v>22079</v>
          </cell>
          <cell r="W95" t="str">
            <v>Annalene Conde Jun 10, 2026 2:02 PM</v>
          </cell>
          <cell r="X95" t="str">
            <v>2025-11-12 00:00</v>
          </cell>
          <cell r="Y95">
            <v>45973</v>
          </cell>
          <cell r="Z95" t="str">
            <v/>
          </cell>
          <cell r="AA95">
            <v>45973</v>
          </cell>
          <cell r="AB95" t="str">
            <v>Annalene Conde Nov 12, 2025 8:51 AM</v>
          </cell>
          <cell r="AC95">
            <v>45973</v>
          </cell>
          <cell r="AD95">
            <v>46063</v>
          </cell>
          <cell r="AE95" t="str">
            <v/>
          </cell>
          <cell r="AF95" t="str">
            <v/>
          </cell>
          <cell r="AG95" t="str">
            <v/>
          </cell>
          <cell r="AH95" t="str">
            <v>Peter Foley</v>
          </cell>
          <cell r="AI95" t="str">
            <v/>
          </cell>
        </row>
        <row r="96">
          <cell r="C96">
            <v>88511</v>
          </cell>
          <cell r="D96" t="str">
            <v/>
          </cell>
          <cell r="E96" t="str">
            <v/>
          </cell>
          <cell r="F96" t="str">
            <v>Deposit</v>
          </cell>
          <cell r="G96" t="str">
            <v>Deposit Collected</v>
          </cell>
          <cell r="H96" t="str">
            <v>No</v>
          </cell>
          <cell r="I96" t="str">
            <v>Tyler Clark</v>
          </cell>
          <cell r="J96" t="str">
            <v/>
          </cell>
          <cell r="K96" t="str">
            <v>https://panda-windows-and-doors.monday.com/protected_static/21046287/resources/2756463316/QQ #88511 - Doors Etc HSW - 01292026.pdf</v>
          </cell>
          <cell r="L96" t="str">
            <v>https://panda-windows-and-doors.monday.com/protected_static/21046287/resources/2766626452/BP-70M55_20260217_133609.pdf</v>
          </cell>
          <cell r="M96" t="str">
            <v/>
          </cell>
          <cell r="N96" t="str">
            <v>https://panda-windows-and-doors.monday.com/protected_static/21046287/resources/2769697710/88511 - Deposit Invoice.pdf</v>
          </cell>
          <cell r="O96" t="str">
            <v/>
          </cell>
          <cell r="P96" t="str">
            <v/>
          </cell>
          <cell r="Q96" t="str">
            <v/>
          </cell>
          <cell r="R96" t="str">
            <v>https://panda-windows-and-doors.monday.com/protected_static/21046287/resources/2984330932/Q88511 DOORS ETC HSW - B.O.M.pdf, https://panda-windows-and-doors.monday.com/protected_static/21046287/resources/2984330942/Q88511 DOORS ETC HSW - CUTLIST (MANUAL).pdf</v>
          </cell>
          <cell r="S96" t="str">
            <v>In Production</v>
          </cell>
          <cell r="T96" t="str">
            <v/>
          </cell>
          <cell r="U96">
            <v>19222</v>
          </cell>
          <cell r="V96">
            <v>19222</v>
          </cell>
          <cell r="W96" t="str">
            <v>Annalene Conde Jun 10, 2026 2:02 PM</v>
          </cell>
          <cell r="X96" t="str">
            <v>2025-12-09 12:25</v>
          </cell>
          <cell r="Y96">
            <v>46065</v>
          </cell>
          <cell r="Z96" t="str">
            <v/>
          </cell>
          <cell r="AA96">
            <v>46070</v>
          </cell>
          <cell r="AB96" t="str">
            <v>Annalene Conde Feb 12, 2026 11:15 AM</v>
          </cell>
          <cell r="AC96">
            <v>46070</v>
          </cell>
          <cell r="AD96">
            <v>46072</v>
          </cell>
          <cell r="AE96" t="str">
            <v/>
          </cell>
          <cell r="AF96" t="str">
            <v/>
          </cell>
          <cell r="AG96" t="str">
            <v/>
          </cell>
          <cell r="AH96" t="str">
            <v>Eddie Edgell</v>
          </cell>
          <cell r="AI96" t="str">
            <v/>
          </cell>
        </row>
        <row r="97">
          <cell r="C97" t="str">
            <v>Order 401629183</v>
          </cell>
          <cell r="D97" t="str">
            <v/>
          </cell>
          <cell r="E97" t="str">
            <v/>
          </cell>
          <cell r="F97" t="str">
            <v>Deposit</v>
          </cell>
          <cell r="G97" t="str">
            <v>Deposit Collected</v>
          </cell>
          <cell r="H97" t="str">
            <v>No</v>
          </cell>
          <cell r="I97" t="str">
            <v>Spencer Anderson</v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>Annalene Conde Jun 10, 2026 2:02 PM</v>
          </cell>
          <cell r="X97" t="str">
            <v/>
          </cell>
          <cell r="Y97">
            <v>46072</v>
          </cell>
          <cell r="Z97" t="str">
            <v/>
          </cell>
          <cell r="AA97" t="str">
            <v/>
          </cell>
          <cell r="AB97" t="str">
            <v>Amit Iarochevsky Feb 19, 2026 3:24 PM</v>
          </cell>
          <cell r="AC97" t="str">
            <v/>
          </cell>
          <cell r="AD97">
            <v>46072</v>
          </cell>
          <cell r="AE97" t="str">
            <v/>
          </cell>
          <cell r="AF97" t="str">
            <v/>
          </cell>
          <cell r="AG97" t="str">
            <v/>
          </cell>
          <cell r="AH97" t="str">
            <v>E-Commerce Lowes-Kent</v>
          </cell>
          <cell r="AI97" t="str">
            <v/>
          </cell>
        </row>
        <row r="98">
          <cell r="C98" t="str">
            <v>Order 401255568</v>
          </cell>
          <cell r="D98" t="str">
            <v/>
          </cell>
          <cell r="E98" t="str">
            <v/>
          </cell>
          <cell r="F98" t="str">
            <v>Deposit</v>
          </cell>
          <cell r="G98" t="str">
            <v>Deposit Collected</v>
          </cell>
          <cell r="H98" t="str">
            <v>No</v>
          </cell>
          <cell r="I98" t="str">
            <v>Spencer Anderson</v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>Annalene Conde Jun 10, 2026 2:02 PM</v>
          </cell>
          <cell r="X98" t="str">
            <v/>
          </cell>
          <cell r="Y98">
            <v>46072</v>
          </cell>
          <cell r="Z98" t="str">
            <v/>
          </cell>
          <cell r="AA98" t="str">
            <v/>
          </cell>
          <cell r="AB98" t="str">
            <v>Amit Iarochevsky Feb 19, 2026 3:24 PM</v>
          </cell>
          <cell r="AC98" t="str">
            <v/>
          </cell>
          <cell r="AD98">
            <v>46072</v>
          </cell>
          <cell r="AE98" t="str">
            <v/>
          </cell>
          <cell r="AF98" t="str">
            <v/>
          </cell>
          <cell r="AG98" t="str">
            <v/>
          </cell>
          <cell r="AH98" t="str">
            <v>E-Commerce Lowes-Donald</v>
          </cell>
          <cell r="AI98" t="str">
            <v/>
          </cell>
        </row>
        <row r="99">
          <cell r="C99" t="str">
            <v>92111-S</v>
          </cell>
          <cell r="D99" t="str">
            <v/>
          </cell>
          <cell r="E99" t="str">
            <v/>
          </cell>
          <cell r="F99" t="str">
            <v>Service</v>
          </cell>
          <cell r="G99" t="str">
            <v>Deposit Collected</v>
          </cell>
          <cell r="H99" t="str">
            <v>No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>https://panda-windows-and-doors.monday.com/protected_static/21046287/resources/2760125768/Service Form.pdf, https://panda-windows-and-doors.monday.com/protected_static/21046287/resources/2865025542/Service Form.pdf</v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>
            <v>329</v>
          </cell>
          <cell r="W99" t="str">
            <v>Annalene Conde Jun 10, 2026 2:02 PM</v>
          </cell>
          <cell r="X99" t="str">
            <v/>
          </cell>
          <cell r="Y99">
            <v>46066</v>
          </cell>
          <cell r="Z99" t="str">
            <v/>
          </cell>
          <cell r="AA99">
            <v>46066</v>
          </cell>
          <cell r="AB99" t="str">
            <v>Annalene Conde Feb 13, 2026 2:11 PM</v>
          </cell>
          <cell r="AC99" t="str">
            <v/>
          </cell>
          <cell r="AD99">
            <v>46076</v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</row>
        <row r="100">
          <cell r="C100">
            <v>88082</v>
          </cell>
          <cell r="D100" t="str">
            <v/>
          </cell>
          <cell r="E100" t="str">
            <v/>
          </cell>
          <cell r="F100" t="str">
            <v>Deposit</v>
          </cell>
          <cell r="G100" t="str">
            <v>Deposit Collected</v>
          </cell>
          <cell r="H100" t="str">
            <v>No</v>
          </cell>
          <cell r="I100" t="str">
            <v>Derrick McCall</v>
          </cell>
          <cell r="J100" t="str">
            <v/>
          </cell>
          <cell r="K100" t="str">
            <v>https://panda-windows-and-doors.monday.com/protected_static/21046287/resources/2775789800/QQ#88082 SoCalGas Loggia 11062025 - PM Signed.pdf</v>
          </cell>
          <cell r="L100" t="str">
            <v>https://panda-windows-and-doors.monday.com/protected_static/21046287/resources/2775788439/BP-70M55_20260220_131549.pdf</v>
          </cell>
          <cell r="M100" t="str">
            <v/>
          </cell>
          <cell r="N100" t="str">
            <v>https://panda-windows-and-doors.monday.com/protected_static/21046287/resources/2775888241/88082 Deposit Invoice.pdf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>Sent to Engineering</v>
          </cell>
          <cell r="T100" t="str">
            <v/>
          </cell>
          <cell r="U100">
            <v>35295</v>
          </cell>
          <cell r="V100">
            <v>41962.52</v>
          </cell>
          <cell r="W100" t="str">
            <v>Annalene Conde Jun 10, 2026 2:02 PM</v>
          </cell>
          <cell r="X100" t="str">
            <v>2025-11-06 00:00</v>
          </cell>
          <cell r="Y100">
            <v>46073</v>
          </cell>
          <cell r="Z100" t="str">
            <v/>
          </cell>
          <cell r="AA100">
            <v>46073</v>
          </cell>
          <cell r="AB100" t="str">
            <v>Annalene Conde Feb 20, 2026 2:57 PM</v>
          </cell>
          <cell r="AC100">
            <v>46073</v>
          </cell>
          <cell r="AD100">
            <v>46076</v>
          </cell>
          <cell r="AE100" t="str">
            <v/>
          </cell>
          <cell r="AF100" t="str">
            <v/>
          </cell>
          <cell r="AG100" t="str">
            <v/>
          </cell>
          <cell r="AH100" t="str">
            <v>Giroux Glass</v>
          </cell>
          <cell r="AI100" t="str">
            <v/>
          </cell>
        </row>
        <row r="101">
          <cell r="C101">
            <v>86704</v>
          </cell>
          <cell r="D101" t="str">
            <v/>
          </cell>
          <cell r="E101" t="str">
            <v/>
          </cell>
          <cell r="F101" t="str">
            <v>Deposit</v>
          </cell>
          <cell r="G101" t="str">
            <v>Deposit Collected</v>
          </cell>
          <cell r="H101" t="str">
            <v>No</v>
          </cell>
          <cell r="I101" t="str">
            <v>Sean Torre</v>
          </cell>
          <cell r="J101" t="str">
            <v/>
          </cell>
          <cell r="K101" t="str">
            <v>https://panda-windows-and-doors.monday.com/protected_static/21046287/resources/2738909962/Q#86704 - discount.pdf, https://panda-windows-and-doors.monday.com/protected_static/21046287/resources/2739181570/VEW Signed Panda Quote 2.4.26.pdf</v>
          </cell>
          <cell r="L101" t="str">
            <v>https://panda-windows-and-doors.monday.com/protected_static/21046287/resources/2738909731/Q#86704 - Backer.pdf, https://panda-windows-and-doors.monday.com/protected_static/21046287/resources/2741397371/02062026_Trapezoid.pdf</v>
          </cell>
          <cell r="M101" t="str">
            <v/>
          </cell>
          <cell r="N101" t="str">
            <v>https://panda-windows-and-doors.monday.com/protected_static/21046287/resources/2742372580/86704 Deposit Invoice.pdf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>Sent to Engineering</v>
          </cell>
          <cell r="T101" t="str">
            <v/>
          </cell>
          <cell r="U101">
            <v>90025</v>
          </cell>
          <cell r="V101">
            <v>90024</v>
          </cell>
          <cell r="W101" t="str">
            <v>Annalene Conde Jun 10, 2026 2:02 PM</v>
          </cell>
          <cell r="X101" t="str">
            <v/>
          </cell>
          <cell r="Y101">
            <v>46058</v>
          </cell>
          <cell r="Z101" t="str">
            <v/>
          </cell>
          <cell r="AA101">
            <v>46058</v>
          </cell>
          <cell r="AB101" t="str">
            <v>Annalene Conde Feb 5, 2026 11:28 AM</v>
          </cell>
          <cell r="AC101">
            <v>46059</v>
          </cell>
          <cell r="AD101">
            <v>46076</v>
          </cell>
          <cell r="AE101" t="str">
            <v/>
          </cell>
          <cell r="AF101" t="str">
            <v/>
          </cell>
          <cell r="AG101" t="str">
            <v/>
          </cell>
          <cell r="AH101" t="str">
            <v>Todd Nelson</v>
          </cell>
          <cell r="AI101" t="str">
            <v/>
          </cell>
        </row>
        <row r="102">
          <cell r="C102">
            <v>89367</v>
          </cell>
          <cell r="D102" t="str">
            <v/>
          </cell>
          <cell r="E102" t="str">
            <v/>
          </cell>
          <cell r="F102" t="str">
            <v>Deposit</v>
          </cell>
          <cell r="G102" t="str">
            <v>Deposit Collected</v>
          </cell>
          <cell r="H102" t="str">
            <v>No</v>
          </cell>
          <cell r="I102" t="str">
            <v>Spencer Anderson</v>
          </cell>
          <cell r="J102" t="str">
            <v/>
          </cell>
          <cell r="K102" t="str">
            <v>https://panda-windows-and-doors.monday.com/protected_static/21046287/resources/2775760924/QQ #89367 - SPW_Peterson Res Lot 5 Signed.pdf</v>
          </cell>
          <cell r="L102" t="str">
            <v>https://panda-windows-and-doors.monday.com/protected_static/21046287/resources/2775761263/BP-70M55_20260220_133501.pdf</v>
          </cell>
          <cell r="M102" t="str">
            <v/>
          </cell>
          <cell r="N102" t="str">
            <v>https://panda-windows-and-doors.monday.com/protected_static/21046287/resources/2779047581/89367 Deposit Invoice.pdf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>In Production</v>
          </cell>
          <cell r="T102" t="str">
            <v/>
          </cell>
          <cell r="U102">
            <v>106404</v>
          </cell>
          <cell r="V102">
            <v>106404</v>
          </cell>
          <cell r="W102" t="str">
            <v>Annalene Conde Jun 10, 2026 2:02 PM</v>
          </cell>
          <cell r="X102" t="str">
            <v/>
          </cell>
          <cell r="Y102">
            <v>46073</v>
          </cell>
          <cell r="Z102" t="str">
            <v/>
          </cell>
          <cell r="AA102">
            <v>46076</v>
          </cell>
          <cell r="AB102" t="str">
            <v>Annalene Conde Feb 20, 2026 2:43 PM</v>
          </cell>
          <cell r="AC102">
            <v>46076</v>
          </cell>
          <cell r="AD102">
            <v>46084</v>
          </cell>
          <cell r="AE102" t="str">
            <v/>
          </cell>
          <cell r="AF102" t="str">
            <v/>
          </cell>
          <cell r="AG102" t="str">
            <v/>
          </cell>
          <cell r="AH102" t="str">
            <v>Lyle Belnap</v>
          </cell>
          <cell r="AI102" t="str">
            <v/>
          </cell>
        </row>
        <row r="103">
          <cell r="C103">
            <v>88513</v>
          </cell>
          <cell r="D103" t="str">
            <v/>
          </cell>
          <cell r="E103" t="str">
            <v/>
          </cell>
          <cell r="F103" t="str">
            <v>Deposit</v>
          </cell>
          <cell r="G103" t="str">
            <v>Deposit Collected</v>
          </cell>
          <cell r="H103" t="str">
            <v>No</v>
          </cell>
          <cell r="I103" t="str">
            <v>Efrain Zarate, Trevor Benthagen</v>
          </cell>
          <cell r="J103" t="str">
            <v/>
          </cell>
          <cell r="K103" t="str">
            <v>https://panda-windows-and-doors.monday.com/protected_static/21046287/resources/2791009869/Doors- Panda QQ#88513 Kloehn Remodel 02172026.pdf</v>
          </cell>
          <cell r="L103" t="str">
            <v>https://panda-windows-and-doors.monday.com/protected_static/21046287/resources/2791009435/BP-70M55_20260225_101543.pdf</v>
          </cell>
          <cell r="M103" t="str">
            <v/>
          </cell>
          <cell r="N103" t="str">
            <v>https://panda-windows-and-doors.monday.com/protected_static/21046287/resources/2791163606/88513 Deposit Invoice.pdf</v>
          </cell>
          <cell r="O103" t="str">
            <v/>
          </cell>
          <cell r="P103" t="str">
            <v/>
          </cell>
          <cell r="Q103" t="str">
            <v/>
          </cell>
          <cell r="R103" t="str">
            <v>https://panda-windows-and-doors.monday.com/protected_static/21046287/resources/2948339501/Q88513 KLOEHN REMODEL - B.O.M.pdf, https://panda-windows-and-doors.monday.com/protected_static/21046287/resources/2948339619/Q88513 KLOEHN REMODEL - CUTLIST (MANUAL).pdf</v>
          </cell>
          <cell r="S103" t="str">
            <v>Request Final Invoice</v>
          </cell>
          <cell r="T103" t="str">
            <v/>
          </cell>
          <cell r="U103">
            <v>11224</v>
          </cell>
          <cell r="V103">
            <v>13103.48</v>
          </cell>
          <cell r="W103" t="str">
            <v>Annalene Conde Jun 10, 2026 2:02 PM</v>
          </cell>
          <cell r="X103" t="str">
            <v>2026-02-25 00:00</v>
          </cell>
          <cell r="Y103">
            <v>46079</v>
          </cell>
          <cell r="Z103" t="str">
            <v/>
          </cell>
          <cell r="AA103">
            <v>46078</v>
          </cell>
          <cell r="AB103" t="str">
            <v>Annalene Conde Feb 25, 2026 3:15 PM</v>
          </cell>
          <cell r="AC103">
            <v>46080</v>
          </cell>
          <cell r="AD103">
            <v>46085</v>
          </cell>
          <cell r="AE103" t="str">
            <v/>
          </cell>
          <cell r="AF103" t="str">
            <v/>
          </cell>
          <cell r="AG103" t="str">
            <v/>
          </cell>
          <cell r="AH103" t="str">
            <v>Chase Kloehn</v>
          </cell>
          <cell r="AI103" t="str">
            <v/>
          </cell>
        </row>
        <row r="104">
          <cell r="C104">
            <v>89424</v>
          </cell>
          <cell r="D104" t="str">
            <v/>
          </cell>
          <cell r="E104" t="str">
            <v/>
          </cell>
          <cell r="F104" t="str">
            <v>Deposit</v>
          </cell>
          <cell r="G104" t="str">
            <v>Deposit Collected</v>
          </cell>
          <cell r="H104" t="str">
            <v>No</v>
          </cell>
          <cell r="I104" t="str">
            <v>Sean Torre</v>
          </cell>
          <cell r="J104" t="str">
            <v/>
          </cell>
          <cell r="K104" t="str">
            <v>https://panda-windows-and-doors.monday.com/protected_static/21046287/resources/2792069149/7333 Chaparral_Panda Window Doors_022726_QUOTE 629-Singed.Pdf</v>
          </cell>
          <cell r="L104" t="str">
            <v>https://panda-windows-and-doors.monday.com/protected_static/21046287/resources/2792069084/CamScanner 2-27-26 12.03.pdf</v>
          </cell>
          <cell r="M104" t="str">
            <v/>
          </cell>
          <cell r="N104" t="str">
            <v>https://panda-windows-and-doors.monday.com/protected_static/21046287/resources/2792510023/89424 Deposit Invoice REVISED.pdf</v>
          </cell>
          <cell r="O104" t="str">
            <v/>
          </cell>
          <cell r="P104" t="str">
            <v/>
          </cell>
          <cell r="Q104" t="str">
            <v/>
          </cell>
          <cell r="R104" t="str">
            <v>https://panda-windows-and-doors.monday.com/protected_static/21046287/resources/2931310566/MF 5293 Q89424 CAHAPPRAL JANIGA RESIDENCE - B.O.M.pdf, https://panda-windows-and-doors.monday.com/protected_static/21046287/resources/2931310564/MF 5293 Q89424 CAHAPPRAL JANIGA RESIDENCE - CUTLIST (MANUAL).pdf, https://panda-windows-and-doors.monday.com/protected_static/21046287/resources/2931310570/MF 5293 Q89424 CAHAPPRAL JANIGA RESIDENCE -CUTLIST (GINERI).pdf, https://panda-windows-and-doors.monday.com/protected_static/21046287/resources/2931310563/MF 5293 Q89424 CAHAPPRAL JANIGA RESIDENCE -OPT.pdf</v>
          </cell>
          <cell r="S104" t="str">
            <v>In Production</v>
          </cell>
          <cell r="T104" t="str">
            <v/>
          </cell>
          <cell r="U104">
            <v>16906.509999999998</v>
          </cell>
          <cell r="V104">
            <v>16906.5</v>
          </cell>
          <cell r="W104" t="str">
            <v>Elizabet Lopez Jun 12, 2026 3:16 PM</v>
          </cell>
          <cell r="X104" t="str">
            <v>2026-02-18 00:00</v>
          </cell>
          <cell r="Y104">
            <v>46071</v>
          </cell>
          <cell r="Z104" t="str">
            <v/>
          </cell>
          <cell r="AA104">
            <v>46071</v>
          </cell>
          <cell r="AB104" t="str">
            <v>Annalene Conde Feb 18, 2026 11:36 AM</v>
          </cell>
          <cell r="AC104">
            <v>46080</v>
          </cell>
          <cell r="AD104">
            <v>46090</v>
          </cell>
          <cell r="AE104" t="str">
            <v/>
          </cell>
          <cell r="AF104" t="str">
            <v/>
          </cell>
          <cell r="AG104" t="str">
            <v/>
          </cell>
          <cell r="AH104" t="str">
            <v>Chaparral Janiga Residence</v>
          </cell>
          <cell r="AI104" t="str">
            <v/>
          </cell>
        </row>
        <row r="105">
          <cell r="C105">
            <v>88756</v>
          </cell>
          <cell r="D105" t="str">
            <v/>
          </cell>
          <cell r="E105" t="str">
            <v/>
          </cell>
          <cell r="F105" t="str">
            <v>Deposit</v>
          </cell>
          <cell r="G105" t="str">
            <v>Deposit Collected</v>
          </cell>
          <cell r="H105" t="str">
            <v>No</v>
          </cell>
          <cell r="I105" t="str">
            <v>Tyler Clark</v>
          </cell>
          <cell r="J105" t="str">
            <v/>
          </cell>
          <cell r="K105" t="str">
            <v>https://panda-windows-and-doors.monday.com/protected_static/21046287/resources/2818474608/BP-70M55_20260310_144326.pdf</v>
          </cell>
          <cell r="L105" t="str">
            <v>https://panda-windows-and-doors.monday.com/protected_static/21046287/resources/2818474888/BP-70M55_20260310_144344.pdf</v>
          </cell>
          <cell r="M105" t="str">
            <v/>
          </cell>
          <cell r="N105" t="str">
            <v>https://panda-windows-and-doors.monday.com/protected_static/21046287/resources/2820490085/88756 Deposit Invoice.pdf</v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>Sent to Engineering</v>
          </cell>
          <cell r="T105" t="str">
            <v/>
          </cell>
          <cell r="U105">
            <v>160000</v>
          </cell>
          <cell r="V105">
            <v>182820.94</v>
          </cell>
          <cell r="W105" t="str">
            <v>Annalene Conde Jun 10, 2026 2:02 PM</v>
          </cell>
          <cell r="X105" t="str">
            <v/>
          </cell>
          <cell r="Y105">
            <v>46091</v>
          </cell>
          <cell r="Z105" t="str">
            <v/>
          </cell>
          <cell r="AA105">
            <v>46091</v>
          </cell>
          <cell r="AB105" t="str">
            <v>Annalene Conde Mar 10, 2026 4:27 PM</v>
          </cell>
          <cell r="AC105">
            <v>46092</v>
          </cell>
          <cell r="AD105">
            <v>46093</v>
          </cell>
          <cell r="AE105" t="str">
            <v/>
          </cell>
          <cell r="AF105" t="str">
            <v/>
          </cell>
          <cell r="AG105" t="str">
            <v/>
          </cell>
          <cell r="AH105" t="str">
            <v>Donatello Bonasera</v>
          </cell>
          <cell r="AI105" t="str">
            <v/>
          </cell>
        </row>
        <row r="106">
          <cell r="C106">
            <v>87836</v>
          </cell>
          <cell r="D106" t="str">
            <v/>
          </cell>
          <cell r="E106" t="str">
            <v/>
          </cell>
          <cell r="F106" t="str">
            <v>Deposit</v>
          </cell>
          <cell r="G106" t="str">
            <v>Deposit Collected</v>
          </cell>
          <cell r="H106" t="str">
            <v>No</v>
          </cell>
          <cell r="I106" t="str">
            <v/>
          </cell>
          <cell r="J106" t="str">
            <v/>
          </cell>
          <cell r="K106" t="str">
            <v>https://panda-windows-and-doors.monday.com/protected_static/21046287/resources/2817603197/QQ #87836 - 1000 Nevillewood Drive FINAL - 03042026  SIGNED PROPOSAL.pdf</v>
          </cell>
          <cell r="L106" t="str">
            <v>https://panda-windows-and-doors.monday.com/protected_static/21046287/resources/2817597240/87836 - 1000 nevillewood drive.pdf</v>
          </cell>
          <cell r="M106" t="str">
            <v/>
          </cell>
          <cell r="N106" t="str">
            <v>https://panda-windows-and-doors.monday.com/protected_static/21046287/resources/2818022576/87836 Deposit Invoice.pdf</v>
          </cell>
          <cell r="O106" t="str">
            <v/>
          </cell>
          <cell r="P106" t="str">
            <v/>
          </cell>
          <cell r="Q106" t="str">
            <v/>
          </cell>
          <cell r="R106" t="str">
            <v>https://panda-windows-and-doors.monday.com/protected_static/21046287/resources/3050586272/Q87836_FTS60 CUT LIST.pdf, https://panda-windows-and-doors.monday.com/protected_static/21046287/resources/3050586267/Q87836_FTS60 BOM.pdf, https://panda-windows-and-doors.monday.com/protected_static/21046287/resources/3050586310/Q87836_FTS60 MAT LIST.pdf, https://panda-windows-and-doors.monday.com/protected_static/21046287/resources/3050586314/Q87836_FTS60 OPT.pdf</v>
          </cell>
          <cell r="S106" t="str">
            <v>Cut Sheets Received + Approved</v>
          </cell>
          <cell r="T106" t="str">
            <v/>
          </cell>
          <cell r="U106">
            <v>18709</v>
          </cell>
          <cell r="V106">
            <v>20738.080000000002</v>
          </cell>
          <cell r="W106" t="str">
            <v>Annalene Conde Jun 10, 2026 2:02 PM</v>
          </cell>
          <cell r="X106" t="str">
            <v>2025-10-20 00:00</v>
          </cell>
          <cell r="Y106">
            <v>46091</v>
          </cell>
          <cell r="Z106" t="str">
            <v/>
          </cell>
          <cell r="AA106">
            <v>46091</v>
          </cell>
          <cell r="AB106" t="str">
            <v>Annalene Conde Mar 10, 2026 12:14 PM</v>
          </cell>
          <cell r="AC106">
            <v>46091</v>
          </cell>
          <cell r="AD106">
            <v>46098</v>
          </cell>
          <cell r="AE106" t="str">
            <v/>
          </cell>
          <cell r="AF106" t="str">
            <v/>
          </cell>
          <cell r="AG106" t="str">
            <v/>
          </cell>
          <cell r="AH106" t="str">
            <v>American Glass and Mirror Co</v>
          </cell>
          <cell r="AI106" t="str">
            <v/>
          </cell>
        </row>
        <row r="107">
          <cell r="C107">
            <v>88490</v>
          </cell>
          <cell r="D107" t="str">
            <v/>
          </cell>
          <cell r="E107" t="str">
            <v/>
          </cell>
          <cell r="F107" t="str">
            <v>Deposit</v>
          </cell>
          <cell r="G107" t="str">
            <v>Deposit Collected</v>
          </cell>
          <cell r="H107" t="str">
            <v>No</v>
          </cell>
          <cell r="I107" t="str">
            <v>Stefan Monetta</v>
          </cell>
          <cell r="J107" t="str">
            <v/>
          </cell>
          <cell r="K107" t="str">
            <v>https://panda-windows-and-doors.monday.com/protected_static/21046287/resources/2783252036/Panda Windows - SRD 399 Entry Door Signed.pdf</v>
          </cell>
          <cell r="L107" t="str">
            <v>https://panda-windows-and-doors.monday.com/protected_static/21046287/resources/2783253793/BP-70M55_20260223_132218.pdf</v>
          </cell>
          <cell r="M107" t="str">
            <v/>
          </cell>
          <cell r="N107" t="str">
            <v>https://panda-windows-and-doors.monday.com/protected_static/21046287/resources/2784925605/88490 Deposit Invoice.pdf</v>
          </cell>
          <cell r="O107" t="str">
            <v/>
          </cell>
          <cell r="P107" t="str">
            <v/>
          </cell>
          <cell r="Q107" t="str">
            <v/>
          </cell>
          <cell r="R107" t="str">
            <v>https://panda-windows-and-doors.monday.com/protected_static/21046287/resources/2997395879/Q88490 399 ROYAL PALM WAY - B.O.M.pdf, https://panda-windows-and-doors.monday.com/protected_static/21046287/resources/2997395892/Q88490 399 ROYAL PALM WAY - CUTLIST (MANUAL).pdf</v>
          </cell>
          <cell r="S107" t="str">
            <v>In Production</v>
          </cell>
          <cell r="T107" t="str">
            <v/>
          </cell>
          <cell r="U107">
            <v>21569</v>
          </cell>
          <cell r="V107">
            <v>21569</v>
          </cell>
          <cell r="W107" t="str">
            <v>Annalene Conde Jun 10, 2026 2:02 PM</v>
          </cell>
          <cell r="X107" t="str">
            <v>2025-12-09 00:00</v>
          </cell>
          <cell r="Y107">
            <v>46077</v>
          </cell>
          <cell r="Z107" t="str">
            <v/>
          </cell>
          <cell r="AA107">
            <v>46077</v>
          </cell>
          <cell r="AB107" t="str">
            <v>Annalene Conde Feb 24, 2026 4:58 PM</v>
          </cell>
          <cell r="AC107">
            <v>46078</v>
          </cell>
          <cell r="AD107">
            <v>46099</v>
          </cell>
          <cell r="AE107" t="str">
            <v/>
          </cell>
          <cell r="AF107" t="str">
            <v/>
          </cell>
          <cell r="AG107" t="str">
            <v/>
          </cell>
          <cell r="AH107" t="str">
            <v>Royal Palm Aluminum, Inc.</v>
          </cell>
          <cell r="AI107" t="str">
            <v/>
          </cell>
        </row>
        <row r="108">
          <cell r="C108">
            <v>84966</v>
          </cell>
          <cell r="D108" t="str">
            <v/>
          </cell>
          <cell r="E108" t="str">
            <v/>
          </cell>
          <cell r="F108" t="str">
            <v>Deposit</v>
          </cell>
          <cell r="G108" t="str">
            <v>Deposit Collected</v>
          </cell>
          <cell r="H108" t="str">
            <v>No</v>
          </cell>
          <cell r="I108" t="str">
            <v>Derrick McCall</v>
          </cell>
          <cell r="J108" t="str">
            <v/>
          </cell>
          <cell r="K108" t="str">
            <v>https://panda-windows-and-doors.monday.com/protected_static/21046287/resources/2440301141/QQ#84966 The Eliza 08072025 signed.pdf</v>
          </cell>
          <cell r="L108" t="str">
            <v>https://panda-windows-and-doors.monday.com/protected_static/21046287/resources/2440299239/Approved Backer.pdf</v>
          </cell>
          <cell r="M108" t="str">
            <v/>
          </cell>
          <cell r="N108" t="str">
            <v>https://panda-windows-and-doors.monday.com/protected_static/21046287/resources/2440785015/84966 Deposit Invoice.pdf</v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>Sent to Engineering</v>
          </cell>
          <cell r="T108" t="str">
            <v/>
          </cell>
          <cell r="U108">
            <v>39804</v>
          </cell>
          <cell r="V108">
            <v>48154.68</v>
          </cell>
          <cell r="W108" t="str">
            <v>Annalene Conde Jun 10, 2026 2:02 PM</v>
          </cell>
          <cell r="X108" t="str">
            <v>2025-04-11 00:00</v>
          </cell>
          <cell r="Y108">
            <v>45924</v>
          </cell>
          <cell r="Z108" t="str">
            <v/>
          </cell>
          <cell r="AA108">
            <v>45924</v>
          </cell>
          <cell r="AB108" t="str">
            <v>Jayme Truong Sep 24, 2025 9:11 AM</v>
          </cell>
          <cell r="AC108">
            <v>45924</v>
          </cell>
          <cell r="AD108">
            <v>46099</v>
          </cell>
          <cell r="AE108" t="str">
            <v/>
          </cell>
          <cell r="AF108" t="str">
            <v/>
          </cell>
          <cell r="AG108" t="str">
            <v/>
          </cell>
          <cell r="AH108" t="str">
            <v>Capitol Glass Company</v>
          </cell>
          <cell r="AI108" t="str">
            <v/>
          </cell>
        </row>
        <row r="109">
          <cell r="C109">
            <v>86089</v>
          </cell>
          <cell r="D109">
            <v>46066</v>
          </cell>
          <cell r="E109" t="str">
            <v/>
          </cell>
          <cell r="F109" t="str">
            <v>Change Order</v>
          </cell>
          <cell r="G109" t="str">
            <v>Deposit Collected</v>
          </cell>
          <cell r="H109" t="str">
            <v>No</v>
          </cell>
          <cell r="I109" t="str">
            <v>Sean Torre</v>
          </cell>
          <cell r="J109" t="str">
            <v/>
          </cell>
          <cell r="K109" t="str">
            <v>https://panda-windows-and-doors.monday.com/protected_static/21046287/resources/2494403231/SIGNED Stratos Development Inc QQ#86089 Kanani Residence (clear) 10-9-2025.pdf</v>
          </cell>
          <cell r="L109" t="str">
            <v>https://panda-windows-and-doors.monday.com/protected_static/21046287/resources/2535185620/smtp.office365.com_20251017_125734.pdf</v>
          </cell>
          <cell r="M109" t="str">
            <v/>
          </cell>
          <cell r="N109" t="str">
            <v>https://panda-windows-and-doors.monday.com/protected_static/21046287/resources/2494504412/86089 DEPOSIT INVOICE.pdf, https://panda-windows-and-doors.monday.com/protected_static/21046287/resources/2839430337/86089 DEPOSIT INVOICE CO# 1.pdf</v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>Sent to Engineering</v>
          </cell>
          <cell r="T109" t="str">
            <v/>
          </cell>
          <cell r="U109">
            <v>416889.25</v>
          </cell>
          <cell r="V109">
            <v>450965.65</v>
          </cell>
          <cell r="W109" t="str">
            <v>Annalene Conde Jun 10, 2026 2:02 PM</v>
          </cell>
          <cell r="X109" t="str">
            <v/>
          </cell>
          <cell r="Y109">
            <v>45947</v>
          </cell>
          <cell r="Z109" t="str">
            <v/>
          </cell>
          <cell r="AA109">
            <v>45947</v>
          </cell>
          <cell r="AB109" t="str">
            <v>Annalene Conde Oct 17, 2025 3:34 PM</v>
          </cell>
          <cell r="AC109">
            <v>45947</v>
          </cell>
          <cell r="AD109">
            <v>46099</v>
          </cell>
          <cell r="AE109" t="str">
            <v/>
          </cell>
          <cell r="AF109" t="str">
            <v/>
          </cell>
          <cell r="AG109" t="str">
            <v/>
          </cell>
          <cell r="AH109" t="str">
            <v>Juan Molina</v>
          </cell>
          <cell r="AI109">
            <v>46066</v>
          </cell>
        </row>
        <row r="110">
          <cell r="C110">
            <v>85504</v>
          </cell>
          <cell r="D110" t="str">
            <v/>
          </cell>
          <cell r="E110" t="str">
            <v/>
          </cell>
          <cell r="F110" t="str">
            <v>Deposit</v>
          </cell>
          <cell r="G110" t="str">
            <v>Deposit Collected</v>
          </cell>
          <cell r="H110" t="str">
            <v>No</v>
          </cell>
          <cell r="I110" t="str">
            <v>Efrain Zarate</v>
          </cell>
          <cell r="J110" t="str">
            <v/>
          </cell>
          <cell r="K110" t="str">
            <v>https://panda-windows-and-doors.monday.com/protected_static/21046287/resources/2746604218/BP-70M55_20260209_112911.pdf</v>
          </cell>
          <cell r="L110" t="str">
            <v>https://panda-windows-and-doors.monday.com/protected_static/21046287/resources/2746604125/BP-70M55_20260209_112901.pdf</v>
          </cell>
          <cell r="M110" t="str">
            <v/>
          </cell>
          <cell r="N110" t="str">
            <v>https://panda-windows-and-doors.monday.com/protected_static/21046287/resources/2746809155/85504 Deposit Invoice.pdf</v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>Sent to Engineering</v>
          </cell>
          <cell r="T110" t="str">
            <v/>
          </cell>
          <cell r="U110">
            <v>151068</v>
          </cell>
          <cell r="V110">
            <v>176020.37</v>
          </cell>
          <cell r="W110" t="str">
            <v>Annalene Conde Jun 10, 2026 2:02 PM</v>
          </cell>
          <cell r="X110" t="str">
            <v>2025-05-09 09:00</v>
          </cell>
          <cell r="Y110">
            <v>46062</v>
          </cell>
          <cell r="Z110" t="str">
            <v/>
          </cell>
          <cell r="AA110">
            <v>46062</v>
          </cell>
          <cell r="AB110" t="str">
            <v>Annalene Conde Feb 9, 2026 12:29 PM</v>
          </cell>
          <cell r="AC110">
            <v>46062</v>
          </cell>
          <cell r="AD110">
            <v>46100</v>
          </cell>
          <cell r="AE110" t="str">
            <v/>
          </cell>
          <cell r="AF110" t="str">
            <v/>
          </cell>
          <cell r="AG110" t="str">
            <v/>
          </cell>
          <cell r="AH110" t="str">
            <v>Dynamic Glass</v>
          </cell>
          <cell r="AI110" t="str">
            <v/>
          </cell>
        </row>
        <row r="111">
          <cell r="C111">
            <v>89316</v>
          </cell>
          <cell r="D111" t="str">
            <v/>
          </cell>
          <cell r="E111" t="str">
            <v/>
          </cell>
          <cell r="F111" t="str">
            <v>Deposit</v>
          </cell>
          <cell r="G111" t="str">
            <v>Deposit Collected</v>
          </cell>
          <cell r="H111" t="str">
            <v>No</v>
          </cell>
          <cell r="I111" t="str">
            <v>Stefan Monetta</v>
          </cell>
          <cell r="J111" t="str">
            <v/>
          </cell>
          <cell r="K111" t="str">
            <v>https://panda-windows-and-doors.monday.com/protected_static/21046287/resources/2838086034/QQ#89316 Hilton Ballroom Doors - Island Tiles 02102026 (002) SIGNED BY ROSS LEE LUM ISLAND TILES.pdf</v>
          </cell>
          <cell r="L111" t="str">
            <v>https://panda-windows-and-doors.monday.com/protected_static/21046287/resources/2838085412/Signed Backer.pdf</v>
          </cell>
          <cell r="M111" t="str">
            <v/>
          </cell>
          <cell r="N111" t="str">
            <v>https://panda-windows-and-doors.monday.com/protected_static/21046287/resources/2839568549/89316 Deposit Invoice.pdf</v>
          </cell>
          <cell r="O111" t="str">
            <v/>
          </cell>
          <cell r="P111" t="str">
            <v/>
          </cell>
          <cell r="Q111" t="str">
            <v/>
          </cell>
          <cell r="R111" t="str">
            <v>https://panda-windows-and-doors.monday.com/protected_static/21046287/resources/3007903291/Q89316 HILTON BALLROOMS - B.O.M.pdf, https://panda-windows-and-doors.monday.com/protected_static/21046287/resources/3007903300/Q89316 HILTON BALLROOMS - CUTLIST (MANUAL)pdf.pdf</v>
          </cell>
          <cell r="S111" t="str">
            <v>In Production</v>
          </cell>
          <cell r="T111" t="str">
            <v/>
          </cell>
          <cell r="U111">
            <v>56063</v>
          </cell>
          <cell r="V111">
            <v>56063</v>
          </cell>
          <cell r="W111" t="str">
            <v>Annalene Conde Jun 10, 2026 2:02 PM</v>
          </cell>
          <cell r="X111" t="str">
            <v>2025-01-14 00:00</v>
          </cell>
          <cell r="Y111">
            <v>46099</v>
          </cell>
          <cell r="Z111" t="str">
            <v/>
          </cell>
          <cell r="AA111">
            <v>46099</v>
          </cell>
          <cell r="AB111" t="str">
            <v>Annalene Conde Mar 18, 2026 9:56 AM</v>
          </cell>
          <cell r="AC111">
            <v>46099</v>
          </cell>
          <cell r="AD111">
            <v>46101</v>
          </cell>
          <cell r="AE111" t="str">
            <v/>
          </cell>
          <cell r="AF111" t="str">
            <v/>
          </cell>
          <cell r="AG111" t="str">
            <v/>
          </cell>
          <cell r="AH111" t="str">
            <v>Island Tiles</v>
          </cell>
          <cell r="AI111" t="str">
            <v/>
          </cell>
        </row>
        <row r="112">
          <cell r="C112">
            <v>87907</v>
          </cell>
          <cell r="D112" t="str">
            <v/>
          </cell>
          <cell r="E112" t="str">
            <v/>
          </cell>
          <cell r="F112" t="str">
            <v>Deposit</v>
          </cell>
          <cell r="G112" t="str">
            <v>Deposit Collected</v>
          </cell>
          <cell r="H112" t="str">
            <v>No</v>
          </cell>
          <cell r="I112" t="str">
            <v>Spencer Anderson</v>
          </cell>
          <cell r="J112" t="str">
            <v/>
          </cell>
          <cell r="K112" t="str">
            <v>https://panda-windows-and-doors.monday.com/protected_static/21046287/resources/2820130360/QQ #87907 - SPW_Steel Clad Pivot Door - 02112026 - SIGNED.pdf</v>
          </cell>
          <cell r="L112" t="str">
            <v>https://panda-windows-and-doors.monday.com/protected_static/21046287/resources/2820129859/BP-70M55_20260310_153042.pdf</v>
          </cell>
          <cell r="M112" t="str">
            <v/>
          </cell>
          <cell r="N112" t="str">
            <v>https://panda-windows-and-doors.monday.com/protected_static/21046287/resources/2823959755/87907 Deposit Invoice.pdf</v>
          </cell>
          <cell r="O112" t="str">
            <v/>
          </cell>
          <cell r="P112" t="str">
            <v/>
          </cell>
          <cell r="Q112" t="str">
            <v/>
          </cell>
          <cell r="R112" t="str">
            <v>https://panda-windows-and-doors.monday.com/protected_static/21046287/resources/2987617132/Q87907_TS68 BOM.pdf, https://panda-windows-and-doors.monday.com/protected_static/21046287/resources/2987617138/Q87907_TS68 OPT 1.pdf, https://panda-windows-and-doors.monday.com/protected_static/21046287/resources/2987617129/Q87907_TS68 OPT 2.pdf</v>
          </cell>
          <cell r="S112" t="str">
            <v>In Production</v>
          </cell>
          <cell r="T112" t="str">
            <v/>
          </cell>
          <cell r="U112">
            <v>10313.82</v>
          </cell>
          <cell r="V112">
            <v>10522.18</v>
          </cell>
          <cell r="W112" t="str">
            <v>Annalene Conde Jun 10, 2026 2:02 PM</v>
          </cell>
          <cell r="X112" t="str">
            <v/>
          </cell>
          <cell r="Y112">
            <v>46092</v>
          </cell>
          <cell r="Z112" t="str">
            <v/>
          </cell>
          <cell r="AA112">
            <v>46092</v>
          </cell>
          <cell r="AB112" t="str">
            <v>Annalene Conde Mar 11, 2026 8:34 AM</v>
          </cell>
          <cell r="AC112">
            <v>46093</v>
          </cell>
          <cell r="AD112">
            <v>46101</v>
          </cell>
          <cell r="AE112" t="str">
            <v/>
          </cell>
          <cell r="AF112" t="str">
            <v/>
          </cell>
          <cell r="AG112" t="str">
            <v/>
          </cell>
          <cell r="AH112" t="str">
            <v>Kyle Lunetta</v>
          </cell>
          <cell r="AI112" t="str">
            <v/>
          </cell>
        </row>
        <row r="113">
          <cell r="C113">
            <v>86157</v>
          </cell>
          <cell r="D113" t="str">
            <v/>
          </cell>
          <cell r="E113" t="str">
            <v/>
          </cell>
          <cell r="F113" t="str">
            <v>Deposit</v>
          </cell>
          <cell r="G113" t="str">
            <v>Deposit Collected</v>
          </cell>
          <cell r="H113" t="str">
            <v>No</v>
          </cell>
          <cell r="I113" t="str">
            <v>Sean Torre</v>
          </cell>
          <cell r="J113" t="str">
            <v/>
          </cell>
          <cell r="K113" t="str">
            <v>https://panda-windows-and-doors.monday.com/protected_static/21046287/resources/2757767606/QQ #86157 - Eclipse Residence - 02052026 copy.pdf</v>
          </cell>
          <cell r="L113" t="str">
            <v>https://panda-windows-and-doors.monday.com/protected_static/21046287/resources/2757767710/CamScanner 2-12-26 19.29.pdf</v>
          </cell>
          <cell r="M113" t="str">
            <v/>
          </cell>
          <cell r="N113" t="str">
            <v>https://panda-windows-and-doors.monday.com/protected_static/21046287/resources/2759265734/86157 Deposit Invoice.pdf</v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>Sent to Engineering</v>
          </cell>
          <cell r="T113" t="str">
            <v/>
          </cell>
          <cell r="U113">
            <v>255026</v>
          </cell>
          <cell r="V113">
            <v>301471.09000000003</v>
          </cell>
          <cell r="W113" t="str">
            <v>Annalene Conde Jun 10, 2026 2:02 PM</v>
          </cell>
          <cell r="X113" t="str">
            <v>2026-02-12 00:00</v>
          </cell>
          <cell r="Y113">
            <v>46065</v>
          </cell>
          <cell r="Z113" t="str">
            <v/>
          </cell>
          <cell r="AA113">
            <v>46065</v>
          </cell>
          <cell r="AB113" t="str">
            <v>Annalene Conde Feb 12, 2026 8:34 PM</v>
          </cell>
          <cell r="AC113">
            <v>46066</v>
          </cell>
          <cell r="AD113">
            <v>46101</v>
          </cell>
          <cell r="AE113" t="str">
            <v/>
          </cell>
          <cell r="AF113" t="str">
            <v/>
          </cell>
          <cell r="AG113" t="str">
            <v/>
          </cell>
          <cell r="AH113" t="str">
            <v>Eclipse Residence</v>
          </cell>
          <cell r="AI113" t="str">
            <v/>
          </cell>
        </row>
        <row r="114">
          <cell r="C114">
            <v>83204</v>
          </cell>
          <cell r="D114" t="str">
            <v/>
          </cell>
          <cell r="E114" t="str">
            <v/>
          </cell>
          <cell r="F114" t="str">
            <v>Deposit</v>
          </cell>
          <cell r="G114" t="str">
            <v>Deposit Collected</v>
          </cell>
          <cell r="H114" t="str">
            <v>No</v>
          </cell>
          <cell r="I114" t="str">
            <v>Derrick McCall</v>
          </cell>
          <cell r="J114" t="str">
            <v/>
          </cell>
          <cell r="K114" t="str">
            <v>https://panda-windows-and-doors.monday.com/protected_static/21046287/resources/2760327951/QQ#83204 Cardella 02132026.pdf</v>
          </cell>
          <cell r="L114" t="str">
            <v>https://panda-windows-and-doors.monday.com/protected_static/21046287/resources/2760327828/BP-70M55_20260213_145654.pdf</v>
          </cell>
          <cell r="M114" t="str">
            <v/>
          </cell>
          <cell r="N114" t="str">
            <v>https://panda-windows-and-doors.monday.com/protected_static/21046287/resources/2763689286/83204 Deposit Invoice.pdf</v>
          </cell>
          <cell r="O114" t="str">
            <v/>
          </cell>
          <cell r="P114" t="str">
            <v/>
          </cell>
          <cell r="Q114" t="str">
            <v/>
          </cell>
          <cell r="R114" t="str">
            <v>https://panda-windows-and-doors.monday.com/protected_static/21046287/resources/2951639181/MF 5307 Q83204 CARDELLA - B.O.M.pdf, https://panda-windows-and-doors.monday.com/protected_static/21046287/resources/2951639178/MF 5307 Q83204 CARDELLA - CUTLIST (GINERI).pdf, https://panda-windows-and-doors.monday.com/protected_static/21046287/resources/2951639233/MF 5307 Q83204 CARDELLA - OPT.pdf, https://panda-windows-and-doors.monday.com/protected_static/21046287/resources/2951639184/Q83204_UTS60_R1_KYNAR.pdf</v>
          </cell>
          <cell r="S114" t="str">
            <v>In Production</v>
          </cell>
          <cell r="T114" t="str">
            <v/>
          </cell>
          <cell r="U114">
            <v>44368</v>
          </cell>
          <cell r="V114">
            <v>44368</v>
          </cell>
          <cell r="W114" t="str">
            <v>Annalene Conde Jun 10, 2026 2:02 PM</v>
          </cell>
          <cell r="X114" t="str">
            <v>2024-12-26 00:00</v>
          </cell>
          <cell r="Y114">
            <v>46066</v>
          </cell>
          <cell r="Z114" t="str">
            <v/>
          </cell>
          <cell r="AA114">
            <v>46066</v>
          </cell>
          <cell r="AB114" t="str">
            <v>Annalene Conde Feb 13, 2026 3:55 PM</v>
          </cell>
          <cell r="AC114">
            <v>46069</v>
          </cell>
          <cell r="AD114">
            <v>46108</v>
          </cell>
          <cell r="AE114" t="str">
            <v/>
          </cell>
          <cell r="AF114" t="str">
            <v/>
          </cell>
          <cell r="AG114" t="str">
            <v/>
          </cell>
          <cell r="AH114" t="str">
            <v>Discount Glass &amp; Mirror</v>
          </cell>
          <cell r="AI114" t="str">
            <v/>
          </cell>
        </row>
        <row r="115">
          <cell r="C115">
            <v>89520</v>
          </cell>
          <cell r="D115" t="str">
            <v/>
          </cell>
          <cell r="E115" t="str">
            <v/>
          </cell>
          <cell r="F115" t="str">
            <v>Deposit</v>
          </cell>
          <cell r="G115" t="str">
            <v>Deposit Collected</v>
          </cell>
          <cell r="H115" t="str">
            <v>No</v>
          </cell>
          <cell r="I115" t="str">
            <v>Efrain Zarate, Trevor Benthagen</v>
          </cell>
          <cell r="J115" t="str">
            <v/>
          </cell>
          <cell r="K115" t="str">
            <v>https://panda-windows-and-doors.monday.com/protected_static/21046287/resources/2854651997/Q#89520 Thorton ID 13 DOOR SIGNED PROPOSAL.pdf</v>
          </cell>
          <cell r="L115" t="str">
            <v>https://panda-windows-and-doors.monday.com/protected_static/21046287/resources/2854651753/Q#89520 Thorton ID 13 DOOR SIGNED BACKER.pdf</v>
          </cell>
          <cell r="M115" t="str">
            <v/>
          </cell>
          <cell r="N115" t="str">
            <v>https://panda-windows-and-doors.monday.com/protected_static/21046287/resources/2860405694/89520 Deposit Invoice.pdf</v>
          </cell>
          <cell r="O115" t="str">
            <v/>
          </cell>
          <cell r="P115" t="str">
            <v/>
          </cell>
          <cell r="Q115" t="str">
            <v/>
          </cell>
          <cell r="R115" t="str">
            <v>https://panda-windows-and-doors.monday.com/protected_static/21046287/resources/2928420064/Q89520_TS68 OPT.pdf, https://panda-windows-and-doors.monday.com/protected_static/21046287/resources/2928420065/Q89520_TS68 BOM.pdf</v>
          </cell>
          <cell r="S115" t="str">
            <v>In Production</v>
          </cell>
          <cell r="T115" t="str">
            <v/>
          </cell>
          <cell r="U115">
            <v>8091.5</v>
          </cell>
          <cell r="V115">
            <v>8091.5</v>
          </cell>
          <cell r="W115" t="str">
            <v>Annalene Conde Jun 10, 2026 2:02 PM</v>
          </cell>
          <cell r="X115" t="str">
            <v>2026-02-24 00:00</v>
          </cell>
          <cell r="Y115">
            <v>46106</v>
          </cell>
          <cell r="Z115" t="str">
            <v/>
          </cell>
          <cell r="AA115">
            <v>46106</v>
          </cell>
          <cell r="AB115" t="str">
            <v>Annalene Conde Mar 25, 2026 10:14 AM</v>
          </cell>
          <cell r="AC115">
            <v>46106</v>
          </cell>
          <cell r="AD115">
            <v>46112</v>
          </cell>
          <cell r="AE115" t="str">
            <v/>
          </cell>
          <cell r="AF115" t="str">
            <v/>
          </cell>
          <cell r="AG115" t="str">
            <v/>
          </cell>
          <cell r="AH115" t="str">
            <v>Peak Glass</v>
          </cell>
          <cell r="AI115" t="str">
            <v/>
          </cell>
        </row>
        <row r="116">
          <cell r="C116">
            <v>88754</v>
          </cell>
          <cell r="D116" t="str">
            <v/>
          </cell>
          <cell r="E116" t="str">
            <v/>
          </cell>
          <cell r="F116" t="str">
            <v>Deposit</v>
          </cell>
          <cell r="G116" t="str">
            <v>Deposit Collected</v>
          </cell>
          <cell r="H116" t="str">
            <v>No</v>
          </cell>
          <cell r="I116" t="str">
            <v>Jameson Dahn</v>
          </cell>
          <cell r="J116" t="str">
            <v/>
          </cell>
          <cell r="K116" t="str">
            <v>https://panda-windows-and-doors.monday.com/protected_static/21046287/resources/2865900612/Panda Windows and Doors Invoice.pdf</v>
          </cell>
          <cell r="L116" t="str">
            <v>https://panda-windows-and-doors.monday.com/protected_static/21046287/resources/2865976051/McCrossin - Joe Leahy - Backer - SIGNED.pdf</v>
          </cell>
          <cell r="M116" t="str">
            <v/>
          </cell>
          <cell r="N116" t="str">
            <v>https://panda-windows-and-doors.monday.com/protected_static/21046287/resources/2868389507/88754 Deposit Invoice.pdf</v>
          </cell>
          <cell r="O116" t="str">
            <v/>
          </cell>
          <cell r="P116" t="str">
            <v/>
          </cell>
          <cell r="Q116" t="str">
            <v/>
          </cell>
          <cell r="R116" t="str">
            <v>https://panda-windows-and-doors.monday.com/protected_static/21046287/resources/2954171664/MF 5308 Q88754 LEAHEY RESIDENCE - CUTLIST (GINERI).pdf, https://panda-windows-and-doors.monday.com/protected_static/21046287/resources/2954171668/MF 5308 Q88754 LEAHEY RESIDENCE - B.O.M.pdf, https://panda-windows-and-doors.monday.com/protected_static/21046287/resources/2954171697/MF 5308 Q88754 LEAHEY RESIDENCE - CUTLIST (MANUAL).pdf, https://panda-windows-and-doors.monday.com/protected_static/21046287/resources/2954171661/MF 5308 Q88754 LEAHEY RESIDENCE - OPT.pdf</v>
          </cell>
          <cell r="S116" t="str">
            <v>Test Wall</v>
          </cell>
          <cell r="T116" t="str">
            <v/>
          </cell>
          <cell r="U116">
            <v>21095</v>
          </cell>
          <cell r="V116">
            <v>23437.4</v>
          </cell>
          <cell r="W116" t="str">
            <v>Annalene Conde Jun 10, 2026 2:02 PM</v>
          </cell>
          <cell r="X116" t="str">
            <v>2026-01-03 17:00</v>
          </cell>
          <cell r="Y116">
            <v>46111</v>
          </cell>
          <cell r="Z116" t="str">
            <v/>
          </cell>
          <cell r="AA116">
            <v>46111</v>
          </cell>
          <cell r="AB116" t="str">
            <v>Annalene Conde Mar 30, 2026 4:00 PM</v>
          </cell>
          <cell r="AC116">
            <v>46112</v>
          </cell>
          <cell r="AD116">
            <v>46113</v>
          </cell>
          <cell r="AE116" t="str">
            <v/>
          </cell>
          <cell r="AF116" t="str">
            <v/>
          </cell>
          <cell r="AG116" t="str">
            <v/>
          </cell>
          <cell r="AH116" t="str">
            <v>Joe Leahy</v>
          </cell>
          <cell r="AI116" t="str">
            <v/>
          </cell>
        </row>
        <row r="117">
          <cell r="C117">
            <v>89287</v>
          </cell>
          <cell r="D117" t="str">
            <v/>
          </cell>
          <cell r="E117" t="str">
            <v/>
          </cell>
          <cell r="F117" t="str">
            <v>Deposit</v>
          </cell>
          <cell r="G117" t="str">
            <v>Deposit Collected</v>
          </cell>
          <cell r="H117" t="str">
            <v>No</v>
          </cell>
          <cell r="I117" t="str">
            <v>Efrain Zarate, Trevor Benthagen</v>
          </cell>
          <cell r="J117" t="str">
            <v/>
          </cell>
          <cell r="K117" t="str">
            <v>https://panda-windows-and-doors.monday.com/protected_static/21046287/resources/2853983254/BP-70M55_20260325_090817.pdf</v>
          </cell>
          <cell r="L117" t="str">
            <v>https://panda-windows-and-doors.monday.com/protected_static/21046287/resources/2853983593/BP-70M55_20260325_090809.pdf</v>
          </cell>
          <cell r="M117" t="str">
            <v/>
          </cell>
          <cell r="N117" t="str">
            <v>https://panda-windows-and-doors.monday.com/protected_static/21046287/resources/2854764762/89287 Deposit Invoice.pdf</v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>Sent to Engineering</v>
          </cell>
          <cell r="T117" t="str">
            <v/>
          </cell>
          <cell r="U117">
            <v>89586</v>
          </cell>
          <cell r="V117">
            <v>89585</v>
          </cell>
          <cell r="W117" t="str">
            <v>Annalene Conde Jun 10, 2026 2:02 PM</v>
          </cell>
          <cell r="X117" t="str">
            <v>2026-02-10 00:00</v>
          </cell>
          <cell r="Y117">
            <v>46105</v>
          </cell>
          <cell r="Z117" t="str">
            <v/>
          </cell>
          <cell r="AA117">
            <v>46106</v>
          </cell>
          <cell r="AB117" t="str">
            <v>Annalene Conde Mar 24, 2026 11:52 AM</v>
          </cell>
          <cell r="AC117">
            <v>46106</v>
          </cell>
          <cell r="AD117">
            <v>46113</v>
          </cell>
          <cell r="AE117" t="str">
            <v/>
          </cell>
          <cell r="AF117" t="str">
            <v/>
          </cell>
          <cell r="AG117" t="str">
            <v/>
          </cell>
          <cell r="AH117" t="str">
            <v>Goldfinch Brothers</v>
          </cell>
          <cell r="AI117" t="str">
            <v/>
          </cell>
        </row>
        <row r="118">
          <cell r="C118">
            <v>88845</v>
          </cell>
          <cell r="D118" t="str">
            <v/>
          </cell>
          <cell r="E118" t="str">
            <v/>
          </cell>
          <cell r="F118" t="str">
            <v>Deposit</v>
          </cell>
          <cell r="G118" t="str">
            <v>Deposit Collected</v>
          </cell>
          <cell r="H118" t="str">
            <v>No</v>
          </cell>
          <cell r="I118" t="str">
            <v>Derrick McCall</v>
          </cell>
          <cell r="J118" t="str">
            <v/>
          </cell>
          <cell r="K118" t="str">
            <v>https://panda-windows-and-doors.monday.com/protected_static/21046287/resources/2843798233/Panda quote #88845 - Hotel Mohi - 01122026.pdf, https://panda-windows-and-doors.monday.com/protected_static/21046287/resources/2843799790/Classic Glass resale cert-PANDA DOOR CO.pdf</v>
          </cell>
          <cell r="L118" t="str">
            <v>https://panda-windows-and-doors.monday.com/protected_static/21046287/resources/2843886972/BP-70M55_20260320_073717.pdf</v>
          </cell>
          <cell r="M118" t="str">
            <v/>
          </cell>
          <cell r="N118" t="str">
            <v>https://panda-windows-and-doors.monday.com/protected_static/21046287/resources/2844528374/88845 Deposit Invoice.pdf</v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>Sent to Engineering</v>
          </cell>
          <cell r="T118" t="str">
            <v/>
          </cell>
          <cell r="U118">
            <v>51819</v>
          </cell>
          <cell r="V118">
            <v>51818</v>
          </cell>
          <cell r="W118" t="str">
            <v>Annalene Conde Jun 10, 2026 2:02 PM</v>
          </cell>
          <cell r="X118" t="str">
            <v>2026-03-20 00:00</v>
          </cell>
          <cell r="Y118">
            <v>46101</v>
          </cell>
          <cell r="Z118" t="str">
            <v/>
          </cell>
          <cell r="AA118">
            <v>46101</v>
          </cell>
          <cell r="AB118" t="str">
            <v>Annalene Conde Mar 20, 2026 8:14 AM</v>
          </cell>
          <cell r="AC118">
            <v>46101</v>
          </cell>
          <cell r="AD118">
            <v>46115</v>
          </cell>
          <cell r="AE118" t="str">
            <v/>
          </cell>
          <cell r="AF118" t="str">
            <v/>
          </cell>
          <cell r="AG118" t="str">
            <v/>
          </cell>
          <cell r="AH118" t="str">
            <v>Classic Glass</v>
          </cell>
          <cell r="AI118" t="str">
            <v/>
          </cell>
        </row>
        <row r="119">
          <cell r="C119">
            <v>85987</v>
          </cell>
          <cell r="D119" t="str">
            <v/>
          </cell>
          <cell r="E119" t="str">
            <v/>
          </cell>
          <cell r="F119" t="str">
            <v>Deposit</v>
          </cell>
          <cell r="G119" t="str">
            <v>Deposit Collected</v>
          </cell>
          <cell r="H119" t="str">
            <v>No</v>
          </cell>
          <cell r="I119" t="str">
            <v>Derrick McCall</v>
          </cell>
          <cell r="J119" t="str">
            <v/>
          </cell>
          <cell r="K119" t="str">
            <v>https://panda-windows-and-doors.monday.com/protected_static/21046287/resources/2857157252/Scan2026-03-25_142948.pdf</v>
          </cell>
          <cell r="L119" t="str">
            <v>https://panda-windows-and-doors.monday.com/protected_static/21046287/resources/2857156663/BP-70M55_20260325_155805.pdf</v>
          </cell>
          <cell r="M119" t="str">
            <v/>
          </cell>
          <cell r="N119" t="str">
            <v>https://panda-windows-and-doors.monday.com/protected_static/21046287/resources/2857527771/85987 Deposit Invoice.pdf</v>
          </cell>
          <cell r="O119" t="str">
            <v/>
          </cell>
          <cell r="P119" t="str">
            <v/>
          </cell>
          <cell r="Q119" t="str">
            <v/>
          </cell>
          <cell r="R119" t="str">
            <v>https://panda-windows-and-doors.monday.com/protected_static/21046287/resources/3019500865/Q85987 RSF CLUBHOUSE - B.O.M.pdf, https://panda-windows-and-doors.monday.com/protected_static/21046287/resources/3019500866/Q85987 RSF CLUBHOUSE - BENDING MATERIALS.pdf, https://panda-windows-and-doors.monday.com/protected_static/21046287/resources/3019500919/Q85987 RSF CLUBHOUSE - CUTLIST (MANUAL).pdf</v>
          </cell>
          <cell r="S119" t="str">
            <v>In Production</v>
          </cell>
          <cell r="T119" t="str">
            <v/>
          </cell>
          <cell r="U119">
            <v>68043</v>
          </cell>
          <cell r="V119">
            <v>78406</v>
          </cell>
          <cell r="W119" t="str">
            <v>Annalene Conde Jun 10, 2026 2:02 PM</v>
          </cell>
          <cell r="X119" t="str">
            <v>2025-06-09 00:00</v>
          </cell>
          <cell r="Y119">
            <v>46107</v>
          </cell>
          <cell r="Z119" t="str">
            <v/>
          </cell>
          <cell r="AA119">
            <v>46107</v>
          </cell>
          <cell r="AB119" t="str">
            <v>Annalene Conde Mar 26, 2026 9:25 AM</v>
          </cell>
          <cell r="AC119">
            <v>46107</v>
          </cell>
          <cell r="AD119">
            <v>46115</v>
          </cell>
          <cell r="AE119" t="str">
            <v/>
          </cell>
          <cell r="AF119" t="str">
            <v/>
          </cell>
          <cell r="AG119" t="str">
            <v/>
          </cell>
          <cell r="AH119" t="str">
            <v>Elite Glazing Inc</v>
          </cell>
          <cell r="AI119" t="str">
            <v/>
          </cell>
        </row>
        <row r="120">
          <cell r="C120">
            <v>88850</v>
          </cell>
          <cell r="D120" t="str">
            <v/>
          </cell>
          <cell r="E120" t="str">
            <v/>
          </cell>
          <cell r="F120" t="str">
            <v>Deposit</v>
          </cell>
          <cell r="G120" t="str">
            <v>Deposit Collected</v>
          </cell>
          <cell r="H120" t="str">
            <v>No</v>
          </cell>
          <cell r="I120" t="str">
            <v>Derrick McCall</v>
          </cell>
          <cell r="J120" t="str">
            <v/>
          </cell>
          <cell r="K120" t="str">
            <v>https://panda-windows-and-doors.monday.com/protected_static/21046287/resources/2860900459/QQ #88850 - Netflix Bldg G (Pacific) - 01132026 rdoss signed 3_27_2026 for approvals.pdf</v>
          </cell>
          <cell r="L120" t="str">
            <v>https://panda-windows-and-doors.monday.com/protected_static/21046287/resources/2860899310/BP-70M55_20260327_115826.pdf</v>
          </cell>
          <cell r="M120" t="str">
            <v/>
          </cell>
          <cell r="N120" t="str">
            <v>https://panda-windows-and-doors.monday.com/protected_static/21046287/resources/2861572843/88850 Deposit Invoice.pdf</v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>Sent to Engineering</v>
          </cell>
          <cell r="T120" t="str">
            <v/>
          </cell>
          <cell r="U120">
            <v>49392</v>
          </cell>
          <cell r="V120">
            <v>58246.95</v>
          </cell>
          <cell r="W120" t="str">
            <v>Annalene Conde Jun 10, 2026 2:02 PM</v>
          </cell>
          <cell r="X120" t="str">
            <v>2026-03-27 00:00</v>
          </cell>
          <cell r="Y120">
            <v>46108</v>
          </cell>
          <cell r="Z120" t="str">
            <v/>
          </cell>
          <cell r="AA120">
            <v>46108</v>
          </cell>
          <cell r="AB120" t="str">
            <v>Annalene Conde Mar 27, 2026 1:06 PM</v>
          </cell>
          <cell r="AC120">
            <v>46108</v>
          </cell>
          <cell r="AD120">
            <v>46115</v>
          </cell>
          <cell r="AE120" t="str">
            <v/>
          </cell>
          <cell r="AF120" t="str">
            <v/>
          </cell>
          <cell r="AG120" t="str">
            <v/>
          </cell>
          <cell r="AH120" t="str">
            <v>Pacific Glazing Contractors</v>
          </cell>
          <cell r="AI120" t="str">
            <v/>
          </cell>
        </row>
        <row r="121">
          <cell r="C121">
            <v>86092</v>
          </cell>
          <cell r="D121" t="str">
            <v/>
          </cell>
          <cell r="E121" t="str">
            <v/>
          </cell>
          <cell r="F121" t="str">
            <v>Deposit</v>
          </cell>
          <cell r="G121" t="str">
            <v>Deposit Collected</v>
          </cell>
          <cell r="H121" t="str">
            <v>No</v>
          </cell>
          <cell r="I121" t="str">
            <v>Tyler Clark</v>
          </cell>
          <cell r="J121" t="str">
            <v/>
          </cell>
          <cell r="K121" t="str">
            <v>https://panda-windows-and-doors.monday.com/protected_static/21046287/resources/2880045267/BP-70M55_20260406_111317.pdf</v>
          </cell>
          <cell r="L121" t="str">
            <v>https://panda-windows-and-doors.monday.com/protected_static/21046287/resources/2880047543/BP-70M55_20260406_111317.pdf</v>
          </cell>
          <cell r="M121" t="str">
            <v/>
          </cell>
          <cell r="N121" t="str">
            <v>https://panda-windows-and-doors.monday.com/protected_static/21046287/resources/2880358461/86092 - Deposit Invoice.pdf</v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>Sent to Engineering</v>
          </cell>
          <cell r="T121" t="str">
            <v/>
          </cell>
          <cell r="U121">
            <v>9201</v>
          </cell>
          <cell r="V121">
            <v>10888.77</v>
          </cell>
          <cell r="W121" t="str">
            <v>Annalene Conde Jun 10, 2026 2:02 PM</v>
          </cell>
          <cell r="X121" t="str">
            <v>2026-04-06 11:18</v>
          </cell>
          <cell r="Y121">
            <v>46118</v>
          </cell>
          <cell r="Z121" t="str">
            <v/>
          </cell>
          <cell r="AA121">
            <v>46118</v>
          </cell>
          <cell r="AB121" t="str">
            <v>Annalene Conde Apr 6, 2026 12:25 PM</v>
          </cell>
          <cell r="AC121">
            <v>46118</v>
          </cell>
          <cell r="AD121">
            <v>46120</v>
          </cell>
          <cell r="AE121" t="str">
            <v/>
          </cell>
          <cell r="AF121" t="str">
            <v/>
          </cell>
          <cell r="AG121" t="str">
            <v/>
          </cell>
          <cell r="AH121" t="str">
            <v>Jeremy D. Whalon</v>
          </cell>
          <cell r="AI121" t="str">
            <v/>
          </cell>
        </row>
        <row r="122">
          <cell r="C122">
            <v>89722</v>
          </cell>
          <cell r="D122" t="str">
            <v/>
          </cell>
          <cell r="E122" t="str">
            <v/>
          </cell>
          <cell r="F122" t="str">
            <v>Deposit</v>
          </cell>
          <cell r="G122" t="str">
            <v>Deposit Collected</v>
          </cell>
          <cell r="H122" t="str">
            <v>No</v>
          </cell>
          <cell r="I122" t="str">
            <v>Jameson Dahn</v>
          </cell>
          <cell r="J122" t="str">
            <v/>
          </cell>
          <cell r="K122" t="str">
            <v>https://panda-windows-and-doors.monday.com/protected_static/21046287/resources/2875561809/Panda Sales Order - Jeff Kohler - 040126_260402_140236.pdf</v>
          </cell>
          <cell r="L122" t="str">
            <v>https://panda-windows-and-doors.monday.com/protected_static/21046287/resources/2875561395/932 Talus SIGNED Backer.pdf</v>
          </cell>
          <cell r="M122" t="str">
            <v/>
          </cell>
          <cell r="N122" t="str">
            <v>https://panda-windows-and-doors.monday.com/protected_static/21046287/resources/2876987400/89722 Deposit Invoice.pdf</v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>Sent to Engineering</v>
          </cell>
          <cell r="T122" t="str">
            <v/>
          </cell>
          <cell r="U122">
            <v>3826</v>
          </cell>
          <cell r="V122">
            <v>4221.16</v>
          </cell>
          <cell r="W122" t="str">
            <v>Annalene Conde Jun 10, 2026 2:02 PM</v>
          </cell>
          <cell r="X122" t="str">
            <v>2026-02-17 18:53</v>
          </cell>
          <cell r="Y122">
            <v>46114</v>
          </cell>
          <cell r="Z122" t="str">
            <v/>
          </cell>
          <cell r="AA122">
            <v>46114</v>
          </cell>
          <cell r="AB122" t="str">
            <v>Annalene Conde Apr 2, 2026 5:10 PM</v>
          </cell>
          <cell r="AC122">
            <v>46115</v>
          </cell>
          <cell r="AD122">
            <v>46120</v>
          </cell>
          <cell r="AE122" t="str">
            <v/>
          </cell>
          <cell r="AF122" t="str">
            <v/>
          </cell>
          <cell r="AG122" t="str">
            <v/>
          </cell>
          <cell r="AH122" t="str">
            <v>Jeff Kohler</v>
          </cell>
          <cell r="AI122" t="str">
            <v/>
          </cell>
        </row>
        <row r="123">
          <cell r="C123">
            <v>89055</v>
          </cell>
          <cell r="D123" t="str">
            <v/>
          </cell>
          <cell r="E123" t="str">
            <v/>
          </cell>
          <cell r="F123" t="str">
            <v>Deposit</v>
          </cell>
          <cell r="G123" t="str">
            <v>Deposit Collected</v>
          </cell>
          <cell r="H123" t="str">
            <v>No</v>
          </cell>
          <cell r="I123" t="str">
            <v>Derrick McCall</v>
          </cell>
          <cell r="J123" t="str">
            <v/>
          </cell>
          <cell r="K123" t="str">
            <v>https://panda-windows-and-doors.monday.com/protected_static/21046287/resources/2879780286/Panda Confirmation (copy).pdf</v>
          </cell>
          <cell r="L123" t="str">
            <v>https://panda-windows-and-doors.monday.com/protected_static/21046287/resources/2879759906/BP-70M55_20260406_104123.pdf</v>
          </cell>
          <cell r="M123" t="str">
            <v/>
          </cell>
          <cell r="N123" t="str">
            <v>https://panda-windows-and-doors.monday.com/protected_static/21046287/resources/2880326306/89055 Deposit Invoice.pdf</v>
          </cell>
          <cell r="O123" t="str">
            <v/>
          </cell>
          <cell r="P123" t="str">
            <v/>
          </cell>
          <cell r="Q123" t="str">
            <v/>
          </cell>
          <cell r="R123" t="str">
            <v>https://panda-windows-and-doors.monday.com/protected_static/21046287/resources/2988384535/Q89055_TS60 BOM.pdf, https://panda-windows-and-doors.monday.com/protected_static/21046287/resources/2988384541/Q89055_TS60 CUT LIST.pdf, https://panda-windows-and-doors.monday.com/protected_static/21046287/resources/2988384552/Q89055_TS60 MAT LIST.pdf, https://panda-windows-and-doors.monday.com/protected_static/21046287/resources/2988384549/Q89055_TS60 OPT.pdf</v>
          </cell>
          <cell r="S123" t="str">
            <v>In Production</v>
          </cell>
          <cell r="T123" t="str">
            <v/>
          </cell>
          <cell r="U123">
            <v>8582</v>
          </cell>
          <cell r="V123">
            <v>8582</v>
          </cell>
          <cell r="W123" t="str">
            <v>Annalene Conde Jun 10, 2026 2:02 PM</v>
          </cell>
          <cell r="X123" t="str">
            <v>2026-01-26 00:00</v>
          </cell>
          <cell r="Y123">
            <v>46118</v>
          </cell>
          <cell r="Z123" t="str">
            <v/>
          </cell>
          <cell r="AA123">
            <v>46118</v>
          </cell>
          <cell r="AB123" t="str">
            <v>Annalene Conde Apr 6, 2026 11:51 AM</v>
          </cell>
          <cell r="AC123">
            <v>46118</v>
          </cell>
          <cell r="AD123">
            <v>46120</v>
          </cell>
          <cell r="AE123" t="str">
            <v/>
          </cell>
          <cell r="AF123" t="str">
            <v/>
          </cell>
          <cell r="AG123" t="str">
            <v/>
          </cell>
          <cell r="AH123" t="str">
            <v>Green Glass</v>
          </cell>
          <cell r="AI123" t="str">
            <v/>
          </cell>
        </row>
        <row r="124">
          <cell r="C124">
            <v>88818</v>
          </cell>
          <cell r="D124" t="str">
            <v/>
          </cell>
          <cell r="E124" t="str">
            <v/>
          </cell>
          <cell r="F124" t="str">
            <v>Deposit</v>
          </cell>
          <cell r="G124" t="str">
            <v>Deposit Collected</v>
          </cell>
          <cell r="H124" t="str">
            <v>No</v>
          </cell>
          <cell r="I124" t="str">
            <v>Efrain Zarate</v>
          </cell>
          <cell r="J124" t="str">
            <v/>
          </cell>
          <cell r="K124" t="str">
            <v>https://panda-windows-and-doors.monday.com/protected_static/21046287/resources/2875512218/QQ#88818 5026 Iron Ridge - Patio 03162026 signed.pdf</v>
          </cell>
          <cell r="L124" t="str">
            <v>https://panda-windows-and-doors.monday.com/protected_static/21046287/resources/2875512541/BP-70M55_20260402_152029.pdf</v>
          </cell>
          <cell r="M124" t="str">
            <v/>
          </cell>
          <cell r="N124" t="str">
            <v>https://panda-windows-and-doors.monday.com/protected_static/21046287/resources/2876847494/88818-Deposit invoice.pdf</v>
          </cell>
          <cell r="O124" t="str">
            <v/>
          </cell>
          <cell r="P124" t="str">
            <v/>
          </cell>
          <cell r="Q124" t="str">
            <v/>
          </cell>
          <cell r="R124" t="str">
            <v>https://panda-windows-and-doors.monday.com/protected_static/21046287/resources/3027931013/MF 5338 Q88818 5026 IRON PATIO - B.O.M.pdf, https://panda-windows-and-doors.monday.com/protected_static/21046287/resources/3027931087/MF 5338 Q88818 5026 IRON PATIO - CUTLIST (GINERI).pdf, https://panda-windows-and-doors.monday.com/protected_static/21046287/resources/3027931024/MF 5338 Q88818 5026 IRON PATIO - OPT.pdf</v>
          </cell>
          <cell r="S124" t="str">
            <v>In Production</v>
          </cell>
          <cell r="T124" t="str">
            <v/>
          </cell>
          <cell r="U124">
            <v>15127</v>
          </cell>
          <cell r="V124">
            <v>15126</v>
          </cell>
          <cell r="W124" t="str">
            <v>Annalene Conde Jun 10, 2026 2:02 PM</v>
          </cell>
          <cell r="X124" t="str">
            <v>2026-01-22 00:00</v>
          </cell>
          <cell r="Y124">
            <v>46114</v>
          </cell>
          <cell r="Z124" t="str">
            <v/>
          </cell>
          <cell r="AA124">
            <v>46114</v>
          </cell>
          <cell r="AB124" t="str">
            <v>Annalene Conde Apr 2, 2026 4:23 PM</v>
          </cell>
          <cell r="AC124">
            <v>46115</v>
          </cell>
          <cell r="AD124">
            <v>46121</v>
          </cell>
          <cell r="AE124" t="str">
            <v/>
          </cell>
          <cell r="AF124" t="str">
            <v/>
          </cell>
          <cell r="AG124" t="str">
            <v/>
          </cell>
          <cell r="AH124" t="str">
            <v>Gallatin Glass Works Inc</v>
          </cell>
          <cell r="AI124" t="str">
            <v/>
          </cell>
        </row>
        <row r="125">
          <cell r="C125">
            <v>87359</v>
          </cell>
          <cell r="D125" t="str">
            <v/>
          </cell>
          <cell r="E125" t="str">
            <v/>
          </cell>
          <cell r="F125" t="str">
            <v>Deposit</v>
          </cell>
          <cell r="G125" t="str">
            <v>Deposit Collected</v>
          </cell>
          <cell r="H125" t="str">
            <v>No</v>
          </cell>
          <cell r="I125" t="str">
            <v/>
          </cell>
          <cell r="J125" t="str">
            <v/>
          </cell>
          <cell r="K125" t="str">
            <v>https://panda-windows-and-doors.monday.com/protected_static/21046287/resources/2883881541/Signed 4.7.26 _ QQ #87359 - TT-Union Building D - 09242025.pdf</v>
          </cell>
          <cell r="L125" t="str">
            <v>https://panda-windows-and-doors.monday.com/protected_static/21046287/resources/2883880382/BP-70M55_20260407_125303.pdf</v>
          </cell>
          <cell r="M125" t="str">
            <v/>
          </cell>
          <cell r="N125" t="str">
            <v>https://panda-windows-and-doors.monday.com/protected_static/21046287/resources/2886608361/87359 Deposit Invoice.pdf</v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>Sent to Engineering</v>
          </cell>
          <cell r="T125" t="str">
            <v/>
          </cell>
          <cell r="U125">
            <v>19467</v>
          </cell>
          <cell r="V125">
            <v>19466</v>
          </cell>
          <cell r="W125" t="str">
            <v>Annalene Conde Jun 10, 2026 2:02 PM</v>
          </cell>
          <cell r="X125" t="str">
            <v>2025-09-11 11:43</v>
          </cell>
          <cell r="Y125">
            <v>46119</v>
          </cell>
          <cell r="Z125" t="str">
            <v/>
          </cell>
          <cell r="AA125">
            <v>46119</v>
          </cell>
          <cell r="AB125" t="str">
            <v>Annalene Conde Apr 7, 2026 1:46 PM</v>
          </cell>
          <cell r="AC125">
            <v>46119</v>
          </cell>
          <cell r="AD125">
            <v>46125</v>
          </cell>
          <cell r="AE125" t="str">
            <v/>
          </cell>
          <cell r="AF125" t="str">
            <v/>
          </cell>
          <cell r="AG125" t="str">
            <v/>
          </cell>
          <cell r="AH125" t="str">
            <v>Ryan Tomlin</v>
          </cell>
          <cell r="AI125" t="str">
            <v/>
          </cell>
        </row>
        <row r="126">
          <cell r="C126">
            <v>90062</v>
          </cell>
          <cell r="D126" t="str">
            <v/>
          </cell>
          <cell r="E126" t="str">
            <v/>
          </cell>
          <cell r="F126" t="str">
            <v>Deposit</v>
          </cell>
          <cell r="G126" t="str">
            <v>Deposit Collected</v>
          </cell>
          <cell r="H126" t="str">
            <v>No</v>
          </cell>
          <cell r="I126" t="str">
            <v>Efrain Zarate, Trevor Benthagen</v>
          </cell>
          <cell r="J126" t="str">
            <v/>
          </cell>
          <cell r="K126" t="str">
            <v>https://panda-windows-and-doors.monday.com/protected_static/21046287/resources/2877121121/BP-70M55_20260403_151516.pdf</v>
          </cell>
          <cell r="L126" t="str">
            <v>https://panda-windows-and-doors.monday.com/protected_static/21046287/resources/2877121213/BP-70M55_20260403_151523.pdf</v>
          </cell>
          <cell r="M126" t="str">
            <v/>
          </cell>
          <cell r="N126" t="str">
            <v>https://panda-windows-and-doors.monday.com/protected_static/21046287/resources/2879223480/90062 - Deposit Invoice.pdf</v>
          </cell>
          <cell r="O126" t="str">
            <v/>
          </cell>
          <cell r="P126" t="str">
            <v/>
          </cell>
          <cell r="Q126" t="str">
            <v/>
          </cell>
          <cell r="R126" t="str">
            <v>https://panda-windows-and-doors.monday.com/protected_static/21046287/resources/2951874892/Q90062_VOYAGE BOM.pdf, https://panda-windows-and-doors.monday.com/protected_static/21046287/resources/2951874887/Q90062_VOYAGE CNC LOCKLY ZENO.pdf, https://panda-windows-and-doors.monday.com/protected_static/21046287/resources/2951874894/Q90062_VOYAGE CNC VOLPER.pdf, https://panda-windows-and-doors.monday.com/protected_static/21046287/resources/2951874940/Q90062_VOYAGE OPT.pdf</v>
          </cell>
          <cell r="S126" t="str">
            <v>Assembly</v>
          </cell>
          <cell r="T126" t="str">
            <v/>
          </cell>
          <cell r="U126">
            <v>9484</v>
          </cell>
          <cell r="V126">
            <v>11072.12</v>
          </cell>
          <cell r="W126" t="str">
            <v>Annalene Conde Jun 10, 2026 2:02 PM</v>
          </cell>
          <cell r="X126" t="str">
            <v>2026-03-27 00:00</v>
          </cell>
          <cell r="Y126">
            <v>46115</v>
          </cell>
          <cell r="Z126" t="str">
            <v/>
          </cell>
          <cell r="AA126">
            <v>46115</v>
          </cell>
          <cell r="AB126" t="str">
            <v>Annalene Conde Apr 3, 2026 4:14 PM</v>
          </cell>
          <cell r="AC126">
            <v>46118</v>
          </cell>
          <cell r="AD126">
            <v>46125</v>
          </cell>
          <cell r="AE126" t="str">
            <v/>
          </cell>
          <cell r="AF126" t="str">
            <v/>
          </cell>
          <cell r="AG126" t="str">
            <v/>
          </cell>
          <cell r="AH126" t="str">
            <v>Rafael Construction Inc</v>
          </cell>
          <cell r="AI126" t="str">
            <v/>
          </cell>
        </row>
        <row r="127">
          <cell r="C127">
            <v>89607</v>
          </cell>
          <cell r="D127" t="str">
            <v/>
          </cell>
          <cell r="E127" t="str">
            <v/>
          </cell>
          <cell r="F127" t="str">
            <v>Deposit</v>
          </cell>
          <cell r="G127" t="str">
            <v>Deposit Collected</v>
          </cell>
          <cell r="H127" t="str">
            <v>No</v>
          </cell>
          <cell r="I127" t="str">
            <v>Efrain Zarate, Trevor Benthagen</v>
          </cell>
          <cell r="J127" t="str">
            <v/>
          </cell>
          <cell r="K127" t="str">
            <v>https://panda-windows-and-doors.monday.com/protected_static/21046287/resources/2886752621/Panda Sales Order Updated .pdf</v>
          </cell>
          <cell r="L127" t="str">
            <v>https://panda-windows-and-doors.monday.com/protected_static/21046287/resources/2885981702/BP-70M55_20260408_071008.pdf</v>
          </cell>
          <cell r="M127" t="str">
            <v/>
          </cell>
          <cell r="N127" t="str">
            <v>https://panda-windows-and-doors.monday.com/protected_static/21046287/resources/2886963390/89607 Deposit Invoice.pdf</v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>Sent to Engineering</v>
          </cell>
          <cell r="T127" t="str">
            <v/>
          </cell>
          <cell r="U127">
            <v>19335</v>
          </cell>
          <cell r="V127">
            <v>22573.62</v>
          </cell>
          <cell r="W127" t="str">
            <v>Annalene Conde Jun 10, 2026 2:02 PM</v>
          </cell>
          <cell r="X127" t="str">
            <v>2026-03-09 00:00</v>
          </cell>
          <cell r="Y127">
            <v>46120</v>
          </cell>
          <cell r="Z127" t="str">
            <v/>
          </cell>
          <cell r="AA127">
            <v>46120</v>
          </cell>
          <cell r="AB127" t="str">
            <v>Annalene Conde Apr 8, 2026 8:18 AM</v>
          </cell>
          <cell r="AC127">
            <v>46120</v>
          </cell>
          <cell r="AD127">
            <v>46126</v>
          </cell>
          <cell r="AE127" t="str">
            <v/>
          </cell>
          <cell r="AF127" t="str">
            <v/>
          </cell>
          <cell r="AG127" t="str">
            <v/>
          </cell>
          <cell r="AH127" t="str">
            <v>C Thru Glass</v>
          </cell>
          <cell r="AI127" t="str">
            <v/>
          </cell>
        </row>
        <row r="128">
          <cell r="C128">
            <v>88832</v>
          </cell>
          <cell r="D128" t="str">
            <v/>
          </cell>
          <cell r="E128" t="str">
            <v/>
          </cell>
          <cell r="F128" t="str">
            <v>Deposit</v>
          </cell>
          <cell r="G128" t="str">
            <v>Deposit Collected</v>
          </cell>
          <cell r="H128" t="str">
            <v>No</v>
          </cell>
          <cell r="I128" t="str">
            <v>Sean Torre</v>
          </cell>
          <cell r="J128" t="str">
            <v/>
          </cell>
          <cell r="K128" t="str">
            <v>https://panda-windows-and-doors.monday.com/protected_static/21046287/resources/2884437481/v2.pdf, https://panda-windows-and-doors.monday.com/protected_static/21046287/resources/2886900431/88832 - 5431 Tortuga Trail Signed proposal.pdf</v>
          </cell>
          <cell r="L128" t="str">
            <v>https://panda-windows-and-doors.monday.com/protected_static/21046287/resources/2884437737/CamScanner 4-7-26 15.56.pdf, https://panda-windows-and-doors.monday.com/protected_static/21046287/resources/2886900076/88832 - 5431 Tortuga Trail Signed Backer.pdf</v>
          </cell>
          <cell r="M128" t="str">
            <v/>
          </cell>
          <cell r="N128" t="str">
            <v>https://panda-windows-and-doors.monday.com/protected_static/21046287/resources/2879312940/88832 Deposit Invoice.pdf, https://panda-windows-and-doors.monday.com/protected_static/21046287/resources/2886920418/88832 Deposit Invoice-REVISED.pdf</v>
          </cell>
          <cell r="O128" t="str">
            <v/>
          </cell>
          <cell r="P128" t="str">
            <v/>
          </cell>
          <cell r="Q128" t="str">
            <v/>
          </cell>
          <cell r="R128" t="str">
            <v>https://panda-windows-and-doors.monday.com/protected_static/21046287/resources/2957117677/Glass_Panel request General from 5_5_2026.pdf, https://panda-windows-and-doors.monday.com/protected_static/21046287/resources/2957117684/Assembly List Panda 002(1) from 5_5_2026.pdf, https://panda-windows-and-doors.monday.com/protected_static/21046287/resources/2957117680/Cut optimisation from 5_5_2026.pdf, https://panda-windows-and-doors.monday.com/protected_static/21046287/resources/2957117680/Cut optimisation from 5_5_2026.pdf, https://panda-windows-and-doors.monday.com/protected_static/21046287/resources/2957117682/Q88832 5431 TRLTUGA TRAIL - B.O.M.pdf, https://panda-windows-and-doors.monday.com/protected_static/21046287/resources/2957117702/Q88832 5431 TRLTUGA TRAIL - CUTLIST (MANUAL).pdf, https://panda-windows-and-doors.monday.com/protected_static/21046287/resources/2957117761/Stock list from 5_5_2026.pdf</v>
          </cell>
          <cell r="S128" t="str">
            <v>Request Final Invoice</v>
          </cell>
          <cell r="T128" t="str">
            <v/>
          </cell>
          <cell r="U128">
            <v>5556</v>
          </cell>
          <cell r="V128">
            <v>5556</v>
          </cell>
          <cell r="W128" t="str">
            <v>Annalene Conde Jun 10, 2026 2:02 PM</v>
          </cell>
          <cell r="X128" t="str">
            <v>2026-04-06 00:00</v>
          </cell>
          <cell r="Y128">
            <v>46118</v>
          </cell>
          <cell r="Z128" t="str">
            <v/>
          </cell>
          <cell r="AA128">
            <v>46118</v>
          </cell>
          <cell r="AB128" t="str">
            <v>Annalene Conde Apr 6, 2026 9:18 AM</v>
          </cell>
          <cell r="AC128">
            <v>46118</v>
          </cell>
          <cell r="AD128">
            <v>46126</v>
          </cell>
          <cell r="AE128" t="str">
            <v/>
          </cell>
          <cell r="AF128" t="str">
            <v/>
          </cell>
          <cell r="AG128" t="str">
            <v/>
          </cell>
          <cell r="AH128" t="str">
            <v>5431 Tortuga Trail</v>
          </cell>
          <cell r="AI128" t="str">
            <v/>
          </cell>
        </row>
        <row r="129">
          <cell r="C129">
            <v>86011</v>
          </cell>
          <cell r="D129" t="str">
            <v/>
          </cell>
          <cell r="E129" t="str">
            <v/>
          </cell>
          <cell r="F129" t="str">
            <v>Deposit</v>
          </cell>
          <cell r="G129" t="str">
            <v>Deposit Collected</v>
          </cell>
          <cell r="H129" t="str">
            <v>No</v>
          </cell>
          <cell r="I129" t="str">
            <v>Spencer Anderson</v>
          </cell>
          <cell r="J129" t="str">
            <v/>
          </cell>
          <cell r="K129" t="str">
            <v>https://panda-windows-and-doors.monday.com/protected_static/21046287/resources/2899946310/Signed QQ #86011 - The League Georgetown - 04142026.pdf</v>
          </cell>
          <cell r="L129" t="str">
            <v>https://panda-windows-and-doors.monday.com/protected_static/21046287/resources/2899946876/BP-70M55_20260414_110816.pdf</v>
          </cell>
          <cell r="M129" t="str">
            <v/>
          </cell>
          <cell r="N129" t="str">
            <v>https://panda-windows-and-doors.monday.com/protected_static/21046287/resources/2900378893/86011 Deposit Invoice.pdf</v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>Sent to Engineering</v>
          </cell>
          <cell r="T129" t="str">
            <v/>
          </cell>
          <cell r="U129">
            <v>9490</v>
          </cell>
          <cell r="V129">
            <v>9489</v>
          </cell>
          <cell r="W129" t="str">
            <v>Annalene Conde Jun 10, 2026 2:02 PM</v>
          </cell>
          <cell r="X129" t="str">
            <v/>
          </cell>
          <cell r="Y129">
            <v>46126</v>
          </cell>
          <cell r="Z129" t="str">
            <v/>
          </cell>
          <cell r="AA129">
            <v>46126</v>
          </cell>
          <cell r="AB129" t="str">
            <v>Annalene Conde Apr 14, 2026 12:10 PM</v>
          </cell>
          <cell r="AC129">
            <v>46126</v>
          </cell>
          <cell r="AD129">
            <v>46127</v>
          </cell>
          <cell r="AE129" t="str">
            <v/>
          </cell>
          <cell r="AF129" t="str">
            <v/>
          </cell>
          <cell r="AG129" t="str">
            <v/>
          </cell>
          <cell r="AH129" t="str">
            <v>Bill Polkinghorn</v>
          </cell>
          <cell r="AI129" t="str">
            <v/>
          </cell>
        </row>
        <row r="130">
          <cell r="C130">
            <v>89295</v>
          </cell>
          <cell r="D130" t="str">
            <v/>
          </cell>
          <cell r="E130" t="str">
            <v/>
          </cell>
          <cell r="F130" t="str">
            <v>Deposit</v>
          </cell>
          <cell r="G130" t="str">
            <v>Deposit Collected</v>
          </cell>
          <cell r="H130" t="str">
            <v>No</v>
          </cell>
          <cell r="I130" t="str">
            <v>Efrain Zarate, Trevor Benthagen</v>
          </cell>
          <cell r="J130" t="str">
            <v/>
          </cell>
          <cell r="K130" t="str">
            <v>https://panda-windows-and-doors.monday.com/protected_static/21046287/resources/2828611990/[Untitled].pdf</v>
          </cell>
          <cell r="L130" t="str">
            <v>https://panda-windows-and-doors.monday.com/protected_static/21046287/resources/2828620616/BP-70M55_20260313_132020.pdf</v>
          </cell>
          <cell r="M130" t="str">
            <v/>
          </cell>
          <cell r="N130" t="str">
            <v>https://panda-windows-and-doors.monday.com/protected_static/21046287/resources/2854236429/89295 Deposit Invoice.pdf</v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>Sent to Engineering</v>
          </cell>
          <cell r="T130" t="str">
            <v/>
          </cell>
          <cell r="U130">
            <v>26512</v>
          </cell>
          <cell r="V130">
            <v>26512</v>
          </cell>
          <cell r="W130" t="str">
            <v>Annalene Conde Jun 10, 2026 2:02 PM</v>
          </cell>
          <cell r="X130" t="str">
            <v>2026-02-13 00:00</v>
          </cell>
          <cell r="Y130">
            <v>46097</v>
          </cell>
          <cell r="Z130" t="str">
            <v/>
          </cell>
          <cell r="AA130">
            <v>46094</v>
          </cell>
          <cell r="AB130" t="str">
            <v>Annalene Conde Mar 13, 2026 2:46 PM</v>
          </cell>
          <cell r="AC130">
            <v>46106</v>
          </cell>
          <cell r="AD130">
            <v>46127</v>
          </cell>
          <cell r="AE130" t="str">
            <v/>
          </cell>
          <cell r="AF130" t="str">
            <v/>
          </cell>
          <cell r="AG130" t="str">
            <v/>
          </cell>
          <cell r="AH130" t="str">
            <v>Newton Construction LLC</v>
          </cell>
          <cell r="AI130" t="str">
            <v/>
          </cell>
        </row>
        <row r="131">
          <cell r="C131">
            <v>90005</v>
          </cell>
          <cell r="D131" t="str">
            <v/>
          </cell>
          <cell r="E131" t="str">
            <v/>
          </cell>
          <cell r="F131" t="str">
            <v>Deposit</v>
          </cell>
          <cell r="G131" t="str">
            <v>Deposit Collected</v>
          </cell>
          <cell r="H131" t="str">
            <v>No</v>
          </cell>
          <cell r="I131" t="str">
            <v>Sean Torre</v>
          </cell>
          <cell r="J131" t="str">
            <v/>
          </cell>
          <cell r="K131" t="str">
            <v>https://panda-windows-and-doors.monday.com/protected_static/21046287/resources/2903548006/Hund PO 4-15-26 (1).pdf</v>
          </cell>
          <cell r="L131" t="str">
            <v>https://panda-windows-and-doors.monday.com/protected_static/21046287/resources/2903548123/CamScanner 4-15-26 10.51 (1).pdf</v>
          </cell>
          <cell r="M131" t="str">
            <v/>
          </cell>
          <cell r="N131" t="str">
            <v>https://panda-windows-and-doors.monday.com/protected_static/21046287/resources/2906273621/90005 Deposit Invoice.pdf</v>
          </cell>
          <cell r="O131" t="str">
            <v/>
          </cell>
          <cell r="P131" t="str">
            <v/>
          </cell>
          <cell r="Q131" t="str">
            <v/>
          </cell>
          <cell r="R131" t="str">
            <v>https://panda-windows-and-doors.monday.com/protected_static/21046287/resources/2995935373/Q90005_VOYAGE BOM.pdf, https://panda-windows-and-doors.monday.com/protected_static/21046287/resources/2995935369/Q90005_VOYAGE OPT 1.pdf, https://panda-windows-and-doors.monday.com/protected_static/21046287/resources/2995935369/Q90005_VOYAGE OPT 1.pdf, https://panda-windows-and-doors.monday.com/protected_static/21046287/resources/2995935354/Q90005_VOYAGE OPT 2.pdf</v>
          </cell>
          <cell r="S131" t="str">
            <v>In Production</v>
          </cell>
          <cell r="T131" t="str">
            <v/>
          </cell>
          <cell r="U131">
            <v>9786</v>
          </cell>
          <cell r="V131">
            <v>9785.44</v>
          </cell>
          <cell r="W131" t="str">
            <v>Annalene Conde Jun 10, 2026 2:02 PM</v>
          </cell>
          <cell r="X131" t="str">
            <v>2026-04-15 00:00</v>
          </cell>
          <cell r="Y131">
            <v>46127</v>
          </cell>
          <cell r="Z131" t="str">
            <v/>
          </cell>
          <cell r="AA131">
            <v>46127</v>
          </cell>
          <cell r="AB131" t="str">
            <v>Annalene Conde Apr 15, 2026 12:23 PM</v>
          </cell>
          <cell r="AC131">
            <v>46127</v>
          </cell>
          <cell r="AD131">
            <v>46129</v>
          </cell>
          <cell r="AE131" t="str">
            <v/>
          </cell>
          <cell r="AF131" t="str">
            <v/>
          </cell>
          <cell r="AG131" t="str">
            <v/>
          </cell>
          <cell r="AH131" t="str">
            <v>Callender's House of Glass</v>
          </cell>
          <cell r="AI131" t="str">
            <v/>
          </cell>
        </row>
        <row r="132">
          <cell r="C132">
            <v>89829</v>
          </cell>
          <cell r="D132" t="str">
            <v/>
          </cell>
          <cell r="E132" t="str">
            <v>Gineri</v>
          </cell>
          <cell r="F132" t="str">
            <v>Deposit</v>
          </cell>
          <cell r="G132" t="str">
            <v>Deposit Collected</v>
          </cell>
          <cell r="H132" t="str">
            <v>No</v>
          </cell>
          <cell r="I132" t="str">
            <v>Efrain Zarate, Trevor Benthagen</v>
          </cell>
          <cell r="J132" t="str">
            <v/>
          </cell>
          <cell r="K132" t="str">
            <v>https://panda-windows-and-doors.monday.com/protected_static/21046287/resources/2899274667/Panda XS Remodel Signed Sales Order.pdf</v>
          </cell>
          <cell r="L132" t="str">
            <v>https://panda-windows-and-doors.monday.com/protected_static/21046287/resources/2899274591/BP-70M55_20260414_081011.pdf</v>
          </cell>
          <cell r="M132" t="str">
            <v/>
          </cell>
          <cell r="N132" t="str">
            <v>https://panda-windows-and-doors.monday.com/protected_static/21046287/resources/2900327040/89829 Deposit Invoice.pdf</v>
          </cell>
          <cell r="O132" t="str">
            <v/>
          </cell>
          <cell r="P132" t="str">
            <v/>
          </cell>
          <cell r="Q132" t="str">
            <v/>
          </cell>
          <cell r="R132" t="str">
            <v>https://panda-windows-and-doors.monday.com/protected_static/21046287/resources/3035219467/MF 5343 Q89829 XS REMODEL - B.O.M.pdf, https://panda-windows-and-doors.monday.com/protected_static/21046287/resources/3035219502/MF 5343 Q89829 XS REMODEL - CUTLIST (GINERI).pdf, https://panda-windows-and-doors.monday.com/protected_static/21046287/resources/3035219547/MF 5343 Q89829 XS REMODEL - CUTLIST (MANUAL).pdf, https://panda-windows-and-doors.monday.com/protected_static/21046287/resources/3035219540/MF 5343 Q89829 XS REMODEL - OPT.pdf, https://panda-windows-and-doors.monday.com/protected_static/21046287/resources/3035219507/Q89829_LIS.14_R1_KYNAR.pdf</v>
          </cell>
          <cell r="S132" t="str">
            <v>In Production</v>
          </cell>
          <cell r="T132" t="str">
            <v/>
          </cell>
          <cell r="U132">
            <v>90746</v>
          </cell>
          <cell r="V132">
            <v>105945.96</v>
          </cell>
          <cell r="W132" t="str">
            <v>Annalene Conde Jun 10, 2026 2:02 PM</v>
          </cell>
          <cell r="X132" t="str">
            <v>2026-03-16 00:00</v>
          </cell>
          <cell r="Y132">
            <v>46126</v>
          </cell>
          <cell r="Z132" t="str">
            <v/>
          </cell>
          <cell r="AA132">
            <v>46126</v>
          </cell>
          <cell r="AB132" t="str">
            <v>Annalene Conde Apr 14, 2026 9:07 AM</v>
          </cell>
          <cell r="AC132">
            <v>46126</v>
          </cell>
          <cell r="AD132">
            <v>46134</v>
          </cell>
          <cell r="AE132" t="str">
            <v/>
          </cell>
          <cell r="AF132" t="str">
            <v/>
          </cell>
          <cell r="AG132" t="str">
            <v/>
          </cell>
          <cell r="AH132" t="str">
            <v>Clear Solutions Group</v>
          </cell>
          <cell r="AI132" t="str">
            <v/>
          </cell>
        </row>
        <row r="133">
          <cell r="C133">
            <v>89338</v>
          </cell>
          <cell r="D133" t="str">
            <v/>
          </cell>
          <cell r="E133" t="str">
            <v>Gineri</v>
          </cell>
          <cell r="F133" t="str">
            <v>Deposit</v>
          </cell>
          <cell r="G133" t="str">
            <v>Deposit Collected</v>
          </cell>
          <cell r="H133" t="str">
            <v>No</v>
          </cell>
          <cell r="I133" t="str">
            <v>Stefan Monetta</v>
          </cell>
          <cell r="J133" t="str">
            <v/>
          </cell>
          <cell r="K133" t="str">
            <v>https://panda-windows-and-doors.monday.com/protected_static/21046287/resources/2897466091/QQ#89338 Bodnar 03262026.pdf</v>
          </cell>
          <cell r="L133" t="str">
            <v>https://panda-windows-and-doors.monday.com/protected_static/21046287/resources/2897473716/BP-70M55_20260413_142026.pdf</v>
          </cell>
          <cell r="M133" t="str">
            <v/>
          </cell>
          <cell r="N133" t="str">
            <v>https://panda-windows-and-doors.monday.com/protected_static/21046287/resources/2897521690/RSM Invoice Form (29).pdf, https://panda-windows-and-doors.monday.com/protected_static/21046287/resources/2897556148/89338 deposit invoice.pdf</v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>Sent to Engineering</v>
          </cell>
          <cell r="T133" t="str">
            <v/>
          </cell>
          <cell r="U133">
            <v>14498</v>
          </cell>
          <cell r="V133">
            <v>14498</v>
          </cell>
          <cell r="W133" t="str">
            <v>Annalene Conde Jun 10, 2026 2:02 PM</v>
          </cell>
          <cell r="X133" t="str">
            <v>2026-02-10 00:00</v>
          </cell>
          <cell r="Y133">
            <v>46125</v>
          </cell>
          <cell r="Z133" t="str">
            <v/>
          </cell>
          <cell r="AA133">
            <v>46125</v>
          </cell>
          <cell r="AB133" t="str">
            <v>Annalene Conde Apr 13, 2026 3:17 PM</v>
          </cell>
          <cell r="AC133">
            <v>46125</v>
          </cell>
          <cell r="AD133">
            <v>46134</v>
          </cell>
          <cell r="AE133" t="str">
            <v/>
          </cell>
          <cell r="AF133" t="str">
            <v/>
          </cell>
          <cell r="AG133" t="str">
            <v/>
          </cell>
          <cell r="AH133" t="str">
            <v>Devoe Custom Homes</v>
          </cell>
          <cell r="AI133" t="str">
            <v/>
          </cell>
        </row>
        <row r="134">
          <cell r="C134">
            <v>90268</v>
          </cell>
          <cell r="D134" t="str">
            <v/>
          </cell>
          <cell r="E134" t="str">
            <v>1358</v>
          </cell>
          <cell r="F134" t="str">
            <v>Deposit</v>
          </cell>
          <cell r="G134" t="str">
            <v>Deposit Collected</v>
          </cell>
          <cell r="H134" t="str">
            <v>No</v>
          </cell>
          <cell r="I134" t="str">
            <v>Efrain Zarate, Trevor Benthagen</v>
          </cell>
          <cell r="J134" t="str">
            <v/>
          </cell>
          <cell r="K134" t="str">
            <v>https://panda-windows-and-doors.monday.com/protected_static/21046287/resources/2903429593/BP-70M55_20260415_094226.pdf</v>
          </cell>
          <cell r="L134" t="str">
            <v/>
          </cell>
          <cell r="M134" t="str">
            <v/>
          </cell>
          <cell r="N134" t="str">
            <v>https://panda-windows-and-doors.monday.com/protected_static/21046287/resources/2903958837/90268 Deposit Invoice.pdf</v>
          </cell>
          <cell r="O134" t="str">
            <v/>
          </cell>
          <cell r="P134" t="str">
            <v/>
          </cell>
          <cell r="Q134" t="str">
            <v/>
          </cell>
          <cell r="R134" t="str">
            <v>https://panda-windows-and-doors.monday.com/protected_static/21046287/resources/3022089730/Q90268 1239 GLORIA MOUNIN RD. - B.O.M.pdf, https://panda-windows-and-doors.monday.com/protected_static/21046287/resources/3022089750/Q90268 1239 GLORIA MOUNIN RD. - CUTLIST (MANUAL).pdf</v>
          </cell>
          <cell r="S134" t="str">
            <v>In Production</v>
          </cell>
          <cell r="T134" t="str">
            <v/>
          </cell>
          <cell r="U134">
            <v>13185</v>
          </cell>
          <cell r="V134">
            <v>15394.18</v>
          </cell>
          <cell r="W134" t="str">
            <v>Annalene Conde Jun 10, 2026 2:02 PM</v>
          </cell>
          <cell r="X134" t="str">
            <v>2026-04-09 00:00</v>
          </cell>
          <cell r="Y134">
            <v>46127</v>
          </cell>
          <cell r="Z134" t="str">
            <v/>
          </cell>
          <cell r="AA134">
            <v>46127</v>
          </cell>
          <cell r="AB134" t="str">
            <v>Annalene Conde Apr 15, 2026 11:05 AM</v>
          </cell>
          <cell r="AC134">
            <v>46127</v>
          </cell>
          <cell r="AD134">
            <v>46134</v>
          </cell>
          <cell r="AE134" t="str">
            <v/>
          </cell>
          <cell r="AF134" t="str">
            <v/>
          </cell>
          <cell r="AG134" t="str">
            <v/>
          </cell>
          <cell r="AH134" t="str">
            <v>Rafael Construction</v>
          </cell>
          <cell r="AI134" t="str">
            <v/>
          </cell>
        </row>
        <row r="135">
          <cell r="C135">
            <v>85309</v>
          </cell>
          <cell r="D135" t="str">
            <v/>
          </cell>
          <cell r="E135" t="str">
            <v>Gineri</v>
          </cell>
          <cell r="F135" t="str">
            <v>Deposit</v>
          </cell>
          <cell r="G135" t="str">
            <v>Deposit Collected</v>
          </cell>
          <cell r="H135" t="str">
            <v>No</v>
          </cell>
          <cell r="I135" t="str">
            <v>Sean Torre</v>
          </cell>
          <cell r="J135" t="str">
            <v/>
          </cell>
          <cell r="K135" t="str">
            <v>https://panda-windows-and-doors.monday.com/protected_static/21046287/resources/2919172129/B4253BI Hoffman 6506 N Lenox Panda signed order.pdf</v>
          </cell>
          <cell r="L135" t="str">
            <v>https://panda-windows-and-doors.monday.com/protected_static/21046287/resources/2920056273/CamScanner 4-22-26 09.29(1).pdf</v>
          </cell>
          <cell r="M135" t="str">
            <v/>
          </cell>
          <cell r="N135" t="str">
            <v>https://panda-windows-and-doors.monday.com/protected_static/21046287/resources/2920083309/85309 Deposit Invoice.pdf</v>
          </cell>
          <cell r="O135" t="str">
            <v/>
          </cell>
          <cell r="P135" t="str">
            <v/>
          </cell>
          <cell r="Q135" t="str">
            <v/>
          </cell>
          <cell r="R135" t="str">
            <v>https://panda-windows-and-doors.monday.com/protected_static/21046287/resources/3046290614/Q85309 HOFFMAN-LENOX - BENDING MATERIALS.pdf, https://panda-windows-and-doors.monday.com/protected_static/21046287/resources/3046290608/Q85309_PDTS68_TS64_R1_S2_KYNAR.pdf, https://panda-windows-and-doors.monday.com/protected_static/21046287/resources/3046290623/Q85309 HOFFMAN-LENOX - B.O.M.pdf, https://panda-windows-and-doors.monday.com/protected_static/21046287/resources/3046290716/Q85309 HOFFMAN-LENOX - CUTLIST (MANUAL).pdf</v>
          </cell>
          <cell r="S135" t="str">
            <v>In Production</v>
          </cell>
          <cell r="T135" t="str">
            <v/>
          </cell>
          <cell r="U135">
            <v>14942</v>
          </cell>
          <cell r="V135">
            <v>17325.43</v>
          </cell>
          <cell r="W135" t="str">
            <v>Annalene Conde Jun 10, 2026 2:02 PM</v>
          </cell>
          <cell r="X135" t="str">
            <v>2026-04-20 00:00</v>
          </cell>
          <cell r="Y135">
            <v>46134</v>
          </cell>
          <cell r="Z135" t="str">
            <v/>
          </cell>
          <cell r="AA135">
            <v>46134</v>
          </cell>
          <cell r="AB135" t="str">
            <v>Amit Iarochevsky Apr 22, 2026 10:33 AM</v>
          </cell>
          <cell r="AC135">
            <v>46134</v>
          </cell>
          <cell r="AD135">
            <v>46135</v>
          </cell>
          <cell r="AE135" t="str">
            <v/>
          </cell>
          <cell r="AF135" t="str">
            <v/>
          </cell>
          <cell r="AG135" t="str">
            <v/>
          </cell>
          <cell r="AH135" t="str">
            <v>Bret Green</v>
          </cell>
          <cell r="AI135" t="str">
            <v/>
          </cell>
        </row>
        <row r="136">
          <cell r="C136">
            <v>88155</v>
          </cell>
          <cell r="D136" t="str">
            <v/>
          </cell>
          <cell r="E136" t="str">
            <v>Gineri</v>
          </cell>
          <cell r="F136" t="str">
            <v>Deposit</v>
          </cell>
          <cell r="G136" t="str">
            <v>Deposit Collected</v>
          </cell>
          <cell r="H136" t="str">
            <v>No</v>
          </cell>
          <cell r="I136" t="str">
            <v>Sean Torre</v>
          </cell>
          <cell r="J136" t="str">
            <v/>
          </cell>
          <cell r="K136" t="str">
            <v>https://panda-windows-and-doors.monday.com/protected_static/21046287/resources/2783154783/QQ #88155 - 102 McKnight Dr - Phase 2 - 02242026 (1) (1).pdf</v>
          </cell>
          <cell r="L136" t="str">
            <v>https://panda-windows-and-doors.monday.com/protected_static/21046287/resources/2783193108/BP-70M55_20260224_152149.pdf</v>
          </cell>
          <cell r="M136" t="str">
            <v/>
          </cell>
          <cell r="N136" t="str">
            <v>https://panda-windows-and-doors.monday.com/protected_static/21046287/resources/2784883335/88155 Deposit Invoice.pdf</v>
          </cell>
          <cell r="O136" t="str">
            <v/>
          </cell>
          <cell r="P136" t="str">
            <v/>
          </cell>
          <cell r="Q136" t="str">
            <v/>
          </cell>
          <cell r="R136" t="str">
            <v>https://panda-windows-and-doors.monday.com/protected_static/21046287/resources/2985342277/Cut optimisation from 5_18_2026.pdf, https://panda-windows-and-doors.monday.com/protected_static/21046287/resources/2985342291/Assembly List Panda 001(1) from 5_18_2026.pdf, https://panda-windows-and-doors.monday.com/protected_static/21046287/resources/2985342278/Glass_Panel request General from 5_18_2026.pdf, https://panda-windows-and-doors.monday.com/protected_static/21046287/resources/2985342280/Stock list from 5_18_2026.pdf</v>
          </cell>
          <cell r="S136" t="str">
            <v>In Production</v>
          </cell>
          <cell r="T136" t="str">
            <v/>
          </cell>
          <cell r="U136">
            <v>26625</v>
          </cell>
          <cell r="V136">
            <v>26625</v>
          </cell>
          <cell r="W136" t="str">
            <v>Annalene Conde Jun 10, 2026 2:02 PM</v>
          </cell>
          <cell r="X136" t="str">
            <v>2026-02-24 00:00</v>
          </cell>
          <cell r="Y136">
            <v>46077</v>
          </cell>
          <cell r="Z136" t="str">
            <v/>
          </cell>
          <cell r="AA136">
            <v>46077</v>
          </cell>
          <cell r="AB136" t="str">
            <v>Annalene Conde Feb 24, 2026 4:00 PM</v>
          </cell>
          <cell r="AC136">
            <v>46078</v>
          </cell>
          <cell r="AD136">
            <v>46135</v>
          </cell>
          <cell r="AE136" t="str">
            <v/>
          </cell>
          <cell r="AF136" t="str">
            <v/>
          </cell>
          <cell r="AG136" t="str">
            <v/>
          </cell>
          <cell r="AH136" t="str">
            <v>102 McKnight Dr - Phase 2</v>
          </cell>
          <cell r="AI136" t="str">
            <v/>
          </cell>
        </row>
        <row r="137">
          <cell r="C137">
            <v>89168</v>
          </cell>
          <cell r="D137" t="str">
            <v/>
          </cell>
          <cell r="E137" t="str">
            <v>Gineri</v>
          </cell>
          <cell r="F137" t="str">
            <v>Deposit</v>
          </cell>
          <cell r="G137" t="str">
            <v>Deposit Collected</v>
          </cell>
          <cell r="H137" t="str">
            <v>No</v>
          </cell>
          <cell r="I137" t="str">
            <v>Sean Torre</v>
          </cell>
          <cell r="J137" t="str">
            <v/>
          </cell>
          <cell r="K137" t="str">
            <v>https://panda-windows-and-doors.monday.com/protected_static/21046287/resources/2920186592/QQ #89168 - Nandini Saraiya - 02022026 (2).pdf</v>
          </cell>
          <cell r="L137" t="str">
            <v>https://panda-windows-and-doors.monday.com/protected_static/21046287/resources/2920186559/CamScanner 4-22-26 12.17.pdf</v>
          </cell>
          <cell r="M137" t="str">
            <v/>
          </cell>
          <cell r="N137" t="str">
            <v>https://panda-windows-and-doors.monday.com/protected_static/21046287/resources/2922004909/89168 Deposit Invoice.pdf</v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>Sent to Engineering</v>
          </cell>
          <cell r="T137" t="str">
            <v/>
          </cell>
          <cell r="U137">
            <v>30691</v>
          </cell>
          <cell r="V137">
            <v>30691</v>
          </cell>
          <cell r="W137" t="str">
            <v>Annalene Conde Jun 10, 2026 2:02 PM</v>
          </cell>
          <cell r="X137" t="str">
            <v>2026-04-22 00:00</v>
          </cell>
          <cell r="Y137">
            <v>46134</v>
          </cell>
          <cell r="Z137" t="str">
            <v/>
          </cell>
          <cell r="AA137">
            <v>46134</v>
          </cell>
          <cell r="AB137" t="str">
            <v>Amit Iarochevsky Apr 22, 2026 4:41 PM</v>
          </cell>
          <cell r="AC137">
            <v>46135</v>
          </cell>
          <cell r="AD137">
            <v>46136</v>
          </cell>
          <cell r="AE137" t="str">
            <v/>
          </cell>
          <cell r="AF137" t="str">
            <v/>
          </cell>
          <cell r="AG137" t="str">
            <v/>
          </cell>
          <cell r="AH137" t="str">
            <v>Nandini Saraiya</v>
          </cell>
          <cell r="AI137" t="str">
            <v/>
          </cell>
        </row>
        <row r="138">
          <cell r="C138">
            <v>89429</v>
          </cell>
          <cell r="D138" t="str">
            <v/>
          </cell>
          <cell r="E138" t="str">
            <v>Gineri</v>
          </cell>
          <cell r="F138" t="str">
            <v>Deposit</v>
          </cell>
          <cell r="G138" t="str">
            <v>Deposit Collected</v>
          </cell>
          <cell r="H138" t="str">
            <v>No</v>
          </cell>
          <cell r="I138" t="str">
            <v>Derrick McCall</v>
          </cell>
          <cell r="J138" t="str">
            <v/>
          </cell>
          <cell r="K138" t="str">
            <v>https://panda-windows-and-doors.monday.com/protected_static/21046287/resources/2860727611/BP-70M55_20260327_080456.pdf</v>
          </cell>
          <cell r="L138" t="str">
            <v>https://panda-windows-and-doors.monday.com/protected_static/21046287/resources/2860724915/BP-70M55_20260326_103232.pdf</v>
          </cell>
          <cell r="M138" t="str">
            <v/>
          </cell>
          <cell r="N138" t="str">
            <v>https://panda-windows-and-doors.monday.com/protected_static/21046287/resources/2861539729/89429 Deposit Invoice.pdf</v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>Receive Signed  Drawings</v>
          </cell>
          <cell r="T138" t="str">
            <v/>
          </cell>
          <cell r="U138">
            <v>24032</v>
          </cell>
          <cell r="V138">
            <v>28129.27</v>
          </cell>
          <cell r="W138" t="str">
            <v>Annalene Conde Jun 10, 2026 2:02 PM</v>
          </cell>
          <cell r="X138" t="str">
            <v>2026-02-17 00:00</v>
          </cell>
          <cell r="Y138">
            <v>46108</v>
          </cell>
          <cell r="Z138" t="str">
            <v/>
          </cell>
          <cell r="AA138">
            <v>46108</v>
          </cell>
          <cell r="AB138" t="str">
            <v>Annalene Conde Mar 27, 2026 12:35 PM</v>
          </cell>
          <cell r="AC138">
            <v>46108</v>
          </cell>
          <cell r="AD138">
            <v>46136</v>
          </cell>
          <cell r="AE138" t="str">
            <v/>
          </cell>
          <cell r="AF138" t="str">
            <v/>
          </cell>
          <cell r="AG138" t="str">
            <v/>
          </cell>
          <cell r="AH138" t="str">
            <v>Platinum Glass</v>
          </cell>
          <cell r="AI138" t="str">
            <v/>
          </cell>
        </row>
        <row r="139">
          <cell r="C139">
            <v>90348</v>
          </cell>
          <cell r="D139" t="str">
            <v/>
          </cell>
          <cell r="E139" t="str">
            <v>1411</v>
          </cell>
          <cell r="F139" t="str">
            <v>Deposit</v>
          </cell>
          <cell r="G139" t="str">
            <v>Deposit Collected</v>
          </cell>
          <cell r="H139" t="str">
            <v>No</v>
          </cell>
          <cell r="I139" t="str">
            <v>Stefan Monetta</v>
          </cell>
          <cell r="J139" t="str">
            <v/>
          </cell>
          <cell r="K139" t="str">
            <v>https://panda-windows-and-doors.monday.com/protected_static/21046287/resources/2919278572/1796_001.pdf, https://panda-windows-and-doors.monday.com/protected_static/21046287/resources/2920181673/90348 signed.pdf</v>
          </cell>
          <cell r="L139" t="str">
            <v>https://panda-windows-and-doors.monday.com/protected_static/21046287/resources/2919279906/BP-70M55_20260422_082019.pdf</v>
          </cell>
          <cell r="M139" t="str">
            <v/>
          </cell>
          <cell r="N139" t="str">
            <v>https://panda-windows-and-doors.monday.com/protected_static/21046287/resources/2923002708/90348 Deposit Invoice.pdf</v>
          </cell>
          <cell r="O139" t="str">
            <v/>
          </cell>
          <cell r="P139" t="str">
            <v/>
          </cell>
          <cell r="Q139" t="str">
            <v/>
          </cell>
          <cell r="R139" t="str">
            <v>https://panda-windows-and-doors.monday.com/protected_static/21046287/resources/2971858197/Q90348_TS30 OPT MANUAL.pdf, https://panda-windows-and-doors.monday.com/protected_static/21046287/resources/2971858238/Q90348_TS30 OPT.pdf, https://panda-windows-and-doors.monday.com/protected_static/21046287/resources/2971858224/Q90348_TS30_S-W-DLO.pdf, https://panda-windows-and-doors.monday.com/protected_static/21046287/resources/2971858247/Q90348_TS30 CUT LIST.pdf, https://panda-windows-and-doors.monday.com/protected_static/21046287/resources/2971858208/Q90348_TS30 MAT LIST.pdf</v>
          </cell>
          <cell r="S139" t="str">
            <v>Request Final Invoice</v>
          </cell>
          <cell r="T139" t="str">
            <v/>
          </cell>
          <cell r="U139">
            <v>10078</v>
          </cell>
          <cell r="V139">
            <v>10078.74</v>
          </cell>
          <cell r="W139" t="str">
            <v>Annalene Conde Jun 10, 2026 2:02 PM</v>
          </cell>
          <cell r="X139" t="str">
            <v>2026-04-14 00:00</v>
          </cell>
          <cell r="Y139">
            <v>46134</v>
          </cell>
          <cell r="Z139" t="str">
            <v/>
          </cell>
          <cell r="AA139">
            <v>46134</v>
          </cell>
          <cell r="AB139" t="str">
            <v>Amit Iarochevsky Apr 22, 2026 11:07 AM</v>
          </cell>
          <cell r="AC139">
            <v>46135</v>
          </cell>
          <cell r="AD139">
            <v>46136</v>
          </cell>
          <cell r="AE139" t="str">
            <v/>
          </cell>
          <cell r="AF139" t="str">
            <v/>
          </cell>
          <cell r="AG139" t="str">
            <v/>
          </cell>
          <cell r="AH139" t="str">
            <v>Reeves Hardware &amp; Building Supply</v>
          </cell>
          <cell r="AI139" t="str">
            <v/>
          </cell>
        </row>
        <row r="140">
          <cell r="C140">
            <v>89293</v>
          </cell>
          <cell r="D140" t="str">
            <v/>
          </cell>
          <cell r="E140" t="str">
            <v>Gineri</v>
          </cell>
          <cell r="F140" t="str">
            <v>Deposit</v>
          </cell>
          <cell r="G140" t="str">
            <v>Deposit Collected</v>
          </cell>
          <cell r="H140" t="str">
            <v>No</v>
          </cell>
          <cell r="I140" t="str">
            <v>Stefan Monetta</v>
          </cell>
          <cell r="J140" t="str">
            <v/>
          </cell>
          <cell r="K140" t="str">
            <v>https://panda-windows-and-doors.monday.com/protected_static/21046287/resources/2882522626/QQ#89293 Miami Beach Condo 02092026.pdf</v>
          </cell>
          <cell r="L140" t="str">
            <v>https://panda-windows-and-doors.monday.com/protected_static/21046287/resources/2882606216/BP-70M55_20260407_072927.pdf</v>
          </cell>
          <cell r="M140" t="str">
            <v/>
          </cell>
          <cell r="N140" t="str">
            <v>https://panda-windows-and-doors.monday.com/protected_static/21046287/resources/2887034339/89293 Deposit Invoice.pdf</v>
          </cell>
          <cell r="O140" t="str">
            <v/>
          </cell>
          <cell r="P140" t="str">
            <v/>
          </cell>
          <cell r="Q140" t="str">
            <v/>
          </cell>
          <cell r="R140" t="str">
            <v>https://panda-windows-and-doors.monday.com/protected_static/21046287/resources/3000368726/Q89293 MIAMI BEACH CONDO - B.O.M.pdf, https://panda-windows-and-doors.monday.com/protected_static/21046287/resources/3000368768/Q89293 MIAMI BEACH CONDO - CUTLIST (MANUAL).pdf</v>
          </cell>
          <cell r="S140" t="str">
            <v>In Production</v>
          </cell>
          <cell r="T140" t="str">
            <v/>
          </cell>
          <cell r="U140">
            <v>15723</v>
          </cell>
          <cell r="V140">
            <v>15722</v>
          </cell>
          <cell r="W140" t="str">
            <v>Annalene Conde Jun 10, 2026 2:02 PM</v>
          </cell>
          <cell r="X140" t="str">
            <v>2026-02-09 00:00</v>
          </cell>
          <cell r="Y140">
            <v>46119</v>
          </cell>
          <cell r="Z140" t="str">
            <v/>
          </cell>
          <cell r="AA140">
            <v>46119</v>
          </cell>
          <cell r="AB140" t="str">
            <v>Annalene Conde Apr 7, 2026 8:21 AM</v>
          </cell>
          <cell r="AC140">
            <v>46120</v>
          </cell>
          <cell r="AD140">
            <v>46139</v>
          </cell>
          <cell r="AE140" t="str">
            <v/>
          </cell>
          <cell r="AF140" t="str">
            <v/>
          </cell>
          <cell r="AG140" t="str">
            <v/>
          </cell>
          <cell r="AH140" t="str">
            <v>Kyle Spivey</v>
          </cell>
          <cell r="AI140" t="str">
            <v/>
          </cell>
        </row>
        <row r="141">
          <cell r="C141">
            <v>90484</v>
          </cell>
          <cell r="D141" t="str">
            <v/>
          </cell>
          <cell r="E141" t="str">
            <v>1593</v>
          </cell>
          <cell r="F141" t="str">
            <v>Deposit</v>
          </cell>
          <cell r="G141" t="str">
            <v>Deposit Collected</v>
          </cell>
          <cell r="H141" t="str">
            <v>No</v>
          </cell>
          <cell r="I141" t="str">
            <v>Trevor Benthagen, Efrain Zarate</v>
          </cell>
          <cell r="J141" t="str">
            <v/>
          </cell>
          <cell r="K141" t="str">
            <v>https://panda-windows-and-doors.monday.com/protected_static/21046287/resources/2921933320/BP-70M55_20260423_085154.pdf</v>
          </cell>
          <cell r="L141" t="str">
            <v>https://panda-windows-and-doors.monday.com/protected_static/21046287/resources/2921933522/BP-70M55_20260423_085206.pdf</v>
          </cell>
          <cell r="M141" t="str">
            <v/>
          </cell>
          <cell r="N141" t="str">
            <v>https://panda-windows-and-doors.monday.com/protected_static/21046287/resources/2922067473/90484 Deposit Invoice.pdf</v>
          </cell>
          <cell r="O141" t="str">
            <v/>
          </cell>
          <cell r="P141" t="str">
            <v/>
          </cell>
          <cell r="Q141" t="str">
            <v/>
          </cell>
          <cell r="R141" t="str">
            <v>https://panda-windows-and-doors.monday.com/protected_static/21046287/resources/2995915615/ES 5330 Q90484 - 80 GRAND MASTERS - Cut - List.pdf, https://panda-windows-and-doors.monday.com/protected_static/21046287/resources/2995915606/ES 5330 Q90484 - 80 GRAND MASTERS - Optimization.pdf, https://panda-windows-and-doors.monday.com/protected_static/21046287/resources/2995915606/ES 5330 Q90484 - 80 GRAND MASTERS - Optimization.pdf, https://panda-windows-and-doors.monday.com/protected_static/21046287/resources/2995915610/Q90484_UTS60_TS60-BOM.pdf</v>
          </cell>
          <cell r="S141" t="str">
            <v>In Production</v>
          </cell>
          <cell r="T141" t="str">
            <v/>
          </cell>
          <cell r="U141">
            <v>15984</v>
          </cell>
          <cell r="V141">
            <v>18661.61</v>
          </cell>
          <cell r="W141" t="str">
            <v>Annalene Conde Jun 10, 2026 2:02 PM</v>
          </cell>
          <cell r="X141" t="str">
            <v>2026-04-22 00:00</v>
          </cell>
          <cell r="Y141">
            <v>46135</v>
          </cell>
          <cell r="Z141" t="str">
            <v/>
          </cell>
          <cell r="AA141">
            <v>46135</v>
          </cell>
          <cell r="AB141" t="str">
            <v>Amit Iarochevsky Apr 23, 2026 9:57 AM</v>
          </cell>
          <cell r="AC141">
            <v>46135</v>
          </cell>
          <cell r="AD141">
            <v>46139</v>
          </cell>
          <cell r="AE141" t="str">
            <v/>
          </cell>
          <cell r="AF141" t="str">
            <v/>
          </cell>
          <cell r="AG141" t="str">
            <v/>
          </cell>
          <cell r="AH141" t="str">
            <v>True U Renovations and Construction LLC</v>
          </cell>
          <cell r="AI141" t="str">
            <v/>
          </cell>
        </row>
        <row r="142">
          <cell r="C142">
            <v>89792</v>
          </cell>
          <cell r="D142" t="str">
            <v/>
          </cell>
          <cell r="E142" t="str">
            <v>Gineri</v>
          </cell>
          <cell r="F142" t="str">
            <v>Deposit</v>
          </cell>
          <cell r="G142" t="str">
            <v>Deposit Collected</v>
          </cell>
          <cell r="H142" t="str">
            <v>No</v>
          </cell>
          <cell r="I142" t="str">
            <v>Sean Torre</v>
          </cell>
          <cell r="J142" t="str">
            <v/>
          </cell>
          <cell r="K142" t="str">
            <v>https://panda-windows-and-doors.monday.com/protected_static/21046287/resources/2906690678/DEALER.SIGNED.PANDA ESTIMATE.4.14.2026.pdf</v>
          </cell>
          <cell r="L142" t="str">
            <v>https://panda-windows-and-doors.monday.com/protected_static/21046287/resources/2906691053/CamScanner 4-16-26 10.30.pdf</v>
          </cell>
          <cell r="M142" t="str">
            <v/>
          </cell>
          <cell r="N142" t="str">
            <v>https://panda-windows-and-doors.monday.com/protected_static/21046287/resources/2907260556/89792 Deposit Invoice.pdf</v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>Sent to Engineering</v>
          </cell>
          <cell r="T142" t="str">
            <v/>
          </cell>
          <cell r="U142">
            <v>34278</v>
          </cell>
          <cell r="V142">
            <v>34278</v>
          </cell>
          <cell r="W142" t="str">
            <v>Annalene Conde Jun 10, 2026 2:02 PM</v>
          </cell>
          <cell r="X142" t="str">
            <v>2026-04-16 00:00</v>
          </cell>
          <cell r="Y142">
            <v>46128</v>
          </cell>
          <cell r="Z142" t="str">
            <v/>
          </cell>
          <cell r="AA142">
            <v>46128</v>
          </cell>
          <cell r="AB142" t="str">
            <v>Annalene Conde Apr 16, 2026 12:36 PM</v>
          </cell>
          <cell r="AC142">
            <v>46128</v>
          </cell>
          <cell r="AD142">
            <v>46140</v>
          </cell>
          <cell r="AE142" t="str">
            <v/>
          </cell>
          <cell r="AF142" t="str">
            <v/>
          </cell>
          <cell r="AG142" t="str">
            <v/>
          </cell>
          <cell r="AH142" t="str">
            <v>Christian Rooney</v>
          </cell>
          <cell r="AI142" t="str">
            <v/>
          </cell>
        </row>
        <row r="143">
          <cell r="C143">
            <v>90185</v>
          </cell>
          <cell r="D143" t="str">
            <v/>
          </cell>
          <cell r="E143" t="str">
            <v>1285</v>
          </cell>
          <cell r="F143" t="str">
            <v>Deposit</v>
          </cell>
          <cell r="G143" t="str">
            <v>Deposit Collected</v>
          </cell>
          <cell r="H143" t="str">
            <v>No</v>
          </cell>
          <cell r="I143" t="str">
            <v>Trevor Benthagen, Efrain Zarate</v>
          </cell>
          <cell r="J143" t="str">
            <v/>
          </cell>
          <cell r="K143" t="str">
            <v>https://panda-windows-and-doors.monday.com/protected_static/21046287/resources/2928647571/Panda Doors 20260427_0001.pdf, https://panda-windows-and-doors.monday.com/protected_static/21046287/resources/2928648285/BP-70M55_20260427_111033.pdf</v>
          </cell>
          <cell r="L143" t="str">
            <v>https://panda-windows-and-doors.monday.com/protected_static/21046287/resources/2928647995/BP-70M55_20260427_111033.pdf</v>
          </cell>
          <cell r="M143" t="str">
            <v/>
          </cell>
          <cell r="N143" t="str">
            <v>https://panda-windows-and-doors.monday.com/protected_static/21046287/resources/2929238517/90185 Deposit Invoice.pdf</v>
          </cell>
          <cell r="O143" t="str">
            <v/>
          </cell>
          <cell r="P143" t="str">
            <v/>
          </cell>
          <cell r="Q143" t="str">
            <v/>
          </cell>
          <cell r="R143" t="str">
            <v>https://panda-windows-and-doors.monday.com/protected_static/21046287/resources/3043502816/Q90185_TS30 BOM.pdf, https://panda-windows-and-doors.monday.com/protected_static/21046287/resources/3043502863/Q90185_TS30 CUT LIST.pdf, https://panda-windows-and-doors.monday.com/protected_static/21046287/resources/3043502843/Q90185_TS30 MAT LIST.pdf, https://panda-windows-and-doors.monday.com/protected_static/21046287/resources/3043502827/Q90185_TS30 OPT MANUAL.pdf, https://panda-windows-and-doors.monday.com/protected_static/21046287/resources/3043502826/Q90185_TS30 OPT.pdf</v>
          </cell>
          <cell r="S143" t="str">
            <v>In Production</v>
          </cell>
          <cell r="T143" t="str">
            <v/>
          </cell>
          <cell r="U143">
            <v>7191</v>
          </cell>
          <cell r="V143">
            <v>8396.0499999999993</v>
          </cell>
          <cell r="W143" t="str">
            <v>Annalene Conde Jun 10, 2026 2:02 PM</v>
          </cell>
          <cell r="X143" t="str">
            <v>2026-04-03 00:00</v>
          </cell>
          <cell r="Y143">
            <v>46139</v>
          </cell>
          <cell r="Z143" t="str">
            <v/>
          </cell>
          <cell r="AA143">
            <v>46139</v>
          </cell>
          <cell r="AB143" t="str">
            <v>Amit Iarochevsky Apr 27, 2026 12:24 PM</v>
          </cell>
          <cell r="AC143">
            <v>46139</v>
          </cell>
          <cell r="AD143">
            <v>46140</v>
          </cell>
          <cell r="AE143" t="str">
            <v/>
          </cell>
          <cell r="AF143" t="str">
            <v/>
          </cell>
          <cell r="AG143" t="str">
            <v/>
          </cell>
          <cell r="AH143" t="str">
            <v>Bill Jaeger</v>
          </cell>
          <cell r="AI143" t="str">
            <v/>
          </cell>
        </row>
        <row r="144">
          <cell r="C144">
            <v>90388</v>
          </cell>
          <cell r="D144" t="str">
            <v/>
          </cell>
          <cell r="E144" t="str">
            <v>1487</v>
          </cell>
          <cell r="F144" t="str">
            <v>Deposit</v>
          </cell>
          <cell r="G144" t="str">
            <v>Deposit Collected</v>
          </cell>
          <cell r="H144" t="str">
            <v>No</v>
          </cell>
          <cell r="I144" t="str">
            <v>Stefan Monetta</v>
          </cell>
          <cell r="J144" t="str">
            <v/>
          </cell>
          <cell r="K144" t="str">
            <v>https://panda-windows-and-doors.monday.com/protected_static/21046287/resources/2910059259/Panda Order - Tampa - Fabletics.pdf</v>
          </cell>
          <cell r="L144" t="str">
            <v>https://panda-windows-and-doors.monday.com/protected_static/21046287/resources/2910059752/BP-70M55_20260417_143748.pdf, https://panda-windows-and-doors.monday.com/protected_static/21046287/resources/2913540670/BP-70M55_20260420_103615.pdf</v>
          </cell>
          <cell r="M144" t="str">
            <v/>
          </cell>
          <cell r="N144" t="str">
            <v>https://panda-windows-and-doors.monday.com/protected_static/21046287/resources/2914009994/90388 Deposit Invoice.pdf</v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>Sent to Engineering</v>
          </cell>
          <cell r="T144" t="str">
            <v/>
          </cell>
          <cell r="U144">
            <v>25275</v>
          </cell>
          <cell r="V144">
            <v>28065.279999999999</v>
          </cell>
          <cell r="W144" t="str">
            <v>Annalene Conde Jun 10, 2026 2:02 PM</v>
          </cell>
          <cell r="X144" t="str">
            <v>2026-04-16 00:00</v>
          </cell>
          <cell r="Y144">
            <v>46129</v>
          </cell>
          <cell r="Z144" t="str">
            <v/>
          </cell>
          <cell r="AA144">
            <v>46129</v>
          </cell>
          <cell r="AB144" t="str">
            <v>Annalene Conde Apr 17, 2026 3:39 PM</v>
          </cell>
          <cell r="AC144">
            <v>46132</v>
          </cell>
          <cell r="AD144">
            <v>46140</v>
          </cell>
          <cell r="AE144" t="str">
            <v/>
          </cell>
          <cell r="AF144" t="str">
            <v/>
          </cell>
          <cell r="AG144" t="str">
            <v/>
          </cell>
          <cell r="AH144" t="str">
            <v>Commercial Contractors, Inc.</v>
          </cell>
          <cell r="AI144" t="str">
            <v/>
          </cell>
        </row>
        <row r="145">
          <cell r="C145">
            <v>89336</v>
          </cell>
          <cell r="D145" t="str">
            <v/>
          </cell>
          <cell r="E145" t="str">
            <v>916</v>
          </cell>
          <cell r="F145" t="str">
            <v>Deposit</v>
          </cell>
          <cell r="G145" t="str">
            <v>Deposit Collected</v>
          </cell>
          <cell r="H145" t="str">
            <v>No</v>
          </cell>
          <cell r="I145" t="str">
            <v>Sean Torre</v>
          </cell>
          <cell r="J145" t="str">
            <v/>
          </cell>
          <cell r="K145" t="str">
            <v>https://panda-windows-and-doors.monday.com/protected_static/21046287/resources/2931176138/Signed Panda Sales Order 916.pdf</v>
          </cell>
          <cell r="L145" t="str">
            <v>https://panda-windows-and-doors.monday.com/protected_static/21046287/resources/2931176861/CamScanner 4-28-26 08.12 (1).pdf</v>
          </cell>
          <cell r="M145" t="str">
            <v/>
          </cell>
          <cell r="N145" t="str">
            <v>https://panda-windows-and-doors.monday.com/protected_static/21046287/resources/2931489650/89336 Deposit Invoice.pdf</v>
          </cell>
          <cell r="O145" t="str">
            <v/>
          </cell>
          <cell r="P145" t="str">
            <v/>
          </cell>
          <cell r="Q145" t="str">
            <v/>
          </cell>
          <cell r="R145" t="str">
            <v>https://panda-windows-and-doors.monday.com/protected_static/21046287/resources/2984781469/Q89336 530 PECAN CREEK DR. - CUTLIST (MANUAL).pdf, https://panda-windows-and-doors.monday.com/protected_static/21046287/resources/2984781466/Q89336 530 PECAN CREEK DR. - B.O.M.pdf</v>
          </cell>
          <cell r="S145" t="str">
            <v>In Production</v>
          </cell>
          <cell r="T145" t="str">
            <v/>
          </cell>
          <cell r="U145">
            <v>11647.83</v>
          </cell>
          <cell r="V145">
            <v>11647.83</v>
          </cell>
          <cell r="W145" t="str">
            <v>Annalene Conde Jun 10, 2026 2:02 PM</v>
          </cell>
          <cell r="X145" t="str">
            <v>2026-04-28 00:00</v>
          </cell>
          <cell r="Y145">
            <v>46140</v>
          </cell>
          <cell r="Z145" t="str">
            <v/>
          </cell>
          <cell r="AA145">
            <v>46140</v>
          </cell>
          <cell r="AB145" t="str">
            <v>Amit Iarochevsky Apr 28, 2026 10:00 AM</v>
          </cell>
          <cell r="AC145">
            <v>46140</v>
          </cell>
          <cell r="AD145">
            <v>46141</v>
          </cell>
          <cell r="AE145" t="str">
            <v/>
          </cell>
          <cell r="AF145" t="str">
            <v/>
          </cell>
          <cell r="AG145" t="str">
            <v/>
          </cell>
          <cell r="AH145" t="str">
            <v>530 Pecan Creek Dr</v>
          </cell>
          <cell r="AI145" t="str">
            <v/>
          </cell>
        </row>
        <row r="146">
          <cell r="C146">
            <v>89485</v>
          </cell>
          <cell r="D146" t="str">
            <v/>
          </cell>
          <cell r="E146" t="str">
            <v>Gineri</v>
          </cell>
          <cell r="F146" t="str">
            <v>Deposit</v>
          </cell>
          <cell r="G146" t="str">
            <v>Deposit Collected</v>
          </cell>
          <cell r="H146" t="str">
            <v>No</v>
          </cell>
          <cell r="I146" t="str">
            <v>Sean Torre</v>
          </cell>
          <cell r="J146" t="str">
            <v/>
          </cell>
          <cell r="K146" t="str">
            <v>https://panda-windows-and-doors.monday.com/protected_static/21046287/resources/2931183992/signed QQ #89485 - Oso Drive - 4-14-2026.pdf</v>
          </cell>
          <cell r="L146" t="str">
            <v>https://panda-windows-and-doors.monday.com/protected_static/21046287/resources/2931184088/CamScanner 4-28-26 08.13 (1).pdf</v>
          </cell>
          <cell r="M146" t="str">
            <v/>
          </cell>
          <cell r="N146" t="str">
            <v>https://panda-windows-and-doors.monday.com/protected_static/21046287/resources/2931587234/89485 Deposit Invoice.pdf</v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>Sent to Engineering</v>
          </cell>
          <cell r="T146" t="str">
            <v/>
          </cell>
          <cell r="U146">
            <v>4915</v>
          </cell>
          <cell r="V146">
            <v>4914</v>
          </cell>
          <cell r="W146" t="str">
            <v>Annalene Conde Jun 10, 2026 2:02 PM</v>
          </cell>
          <cell r="X146" t="str">
            <v>2026-04-28 00:00</v>
          </cell>
          <cell r="Y146">
            <v>46140</v>
          </cell>
          <cell r="Z146" t="str">
            <v/>
          </cell>
          <cell r="AA146">
            <v>46140</v>
          </cell>
          <cell r="AB146" t="str">
            <v>Amit Iarochevsky Apr 28, 2026 10:02 AM</v>
          </cell>
          <cell r="AC146">
            <v>46140</v>
          </cell>
          <cell r="AD146">
            <v>46141</v>
          </cell>
          <cell r="AE146" t="str">
            <v/>
          </cell>
          <cell r="AF146" t="str">
            <v/>
          </cell>
          <cell r="AG146" t="str">
            <v/>
          </cell>
          <cell r="AH146" t="str">
            <v>Oso Drive</v>
          </cell>
          <cell r="AI146" t="str">
            <v/>
          </cell>
        </row>
        <row r="147">
          <cell r="C147">
            <v>89324</v>
          </cell>
          <cell r="D147" t="str">
            <v/>
          </cell>
          <cell r="E147" t="str">
            <v>Gineri</v>
          </cell>
          <cell r="F147" t="str">
            <v>Deposit</v>
          </cell>
          <cell r="G147" t="str">
            <v>Deposit Collected</v>
          </cell>
          <cell r="H147" t="str">
            <v>No</v>
          </cell>
          <cell r="I147" t="str">
            <v>Derrick McCall</v>
          </cell>
          <cell r="J147" t="str">
            <v/>
          </cell>
          <cell r="K147" t="str">
            <v>https://panda-windows-and-doors.monday.com/protected_static/21046287/resources/2914083951/QQ#89324 Residential 04172026.pdf</v>
          </cell>
          <cell r="L147" t="str">
            <v>https://panda-windows-and-doors.monday.com/protected_static/21046287/resources/2913829880/BP-70M55_20260420_114922.pdf</v>
          </cell>
          <cell r="M147" t="str">
            <v/>
          </cell>
          <cell r="N147" t="str">
            <v>https://panda-windows-and-doors.monday.com/protected_static/21046287/resources/2914197823/89324 Deposit Invoice.pdf</v>
          </cell>
          <cell r="O147" t="str">
            <v/>
          </cell>
          <cell r="P147" t="str">
            <v/>
          </cell>
          <cell r="Q147" t="str">
            <v/>
          </cell>
          <cell r="R147" t="str">
            <v>https://panda-windows-and-doors.monday.com/protected_static/21046287/resources/3017679886/5334 Q89324 - RES - Optimization.pdf, https://panda-windows-and-doors.monday.com/protected_static/21046287/resources/3017679890/5334 Q89324 - RES - Cut - List.pdf, https://panda-windows-and-doors.monday.com/protected_static/21046287/resources/3017679894/Q89324_S30_ANODIZE.pdf</v>
          </cell>
          <cell r="S147" t="str">
            <v>Cut Sheets</v>
          </cell>
          <cell r="T147" t="str">
            <v/>
          </cell>
          <cell r="U147">
            <v>15963</v>
          </cell>
          <cell r="V147">
            <v>19210.330000000002</v>
          </cell>
          <cell r="W147" t="str">
            <v>Annalene Conde Jun 10, 2026 2:02 PM</v>
          </cell>
          <cell r="X147" t="str">
            <v>2026-02-10 00:00</v>
          </cell>
          <cell r="Y147">
            <v>46132</v>
          </cell>
          <cell r="Z147" t="str">
            <v/>
          </cell>
          <cell r="AA147">
            <v>46132</v>
          </cell>
          <cell r="AB147" t="str">
            <v>Amit Iarochevsky Apr 20, 2026 2:22 PM</v>
          </cell>
          <cell r="AC147">
            <v>46132</v>
          </cell>
          <cell r="AD147">
            <v>46141</v>
          </cell>
          <cell r="AE147" t="str">
            <v/>
          </cell>
          <cell r="AF147" t="str">
            <v/>
          </cell>
          <cell r="AG147" t="str">
            <v/>
          </cell>
          <cell r="AH147" t="str">
            <v>Echelon Builders LLC</v>
          </cell>
          <cell r="AI147" t="str">
            <v/>
          </cell>
        </row>
        <row r="148">
          <cell r="C148">
            <v>89254</v>
          </cell>
          <cell r="D148" t="str">
            <v/>
          </cell>
          <cell r="E148" t="str">
            <v>Gineri</v>
          </cell>
          <cell r="F148" t="str">
            <v>Deposit</v>
          </cell>
          <cell r="G148" t="str">
            <v>Deposit Collected</v>
          </cell>
          <cell r="H148" t="str">
            <v>No</v>
          </cell>
          <cell r="I148" t="str">
            <v>Stefan Monetta</v>
          </cell>
          <cell r="J148" t="str">
            <v/>
          </cell>
          <cell r="K148" t="str">
            <v>https://panda-windows-and-doors.monday.com/protected_static/21046287/resources/2922690218/Signed Panda Order Dealer.pdf</v>
          </cell>
          <cell r="L148" t="str">
            <v>https://panda-windows-and-doors.monday.com/protected_static/21046287/resources/2922691002/BP-70M55_20260423_131046.pdf</v>
          </cell>
          <cell r="M148" t="str">
            <v/>
          </cell>
          <cell r="N148" t="str">
            <v>https://panda-windows-and-doors.monday.com/protected_static/21046287/resources/2924631898/89254 Deposit Invoice.pdf</v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>Sent to Engineering</v>
          </cell>
          <cell r="T148" t="str">
            <v/>
          </cell>
          <cell r="U148">
            <v>8136</v>
          </cell>
          <cell r="V148">
            <v>8136</v>
          </cell>
          <cell r="W148" t="str">
            <v>Annalene Conde Jun 10, 2026 2:02 PM</v>
          </cell>
          <cell r="X148" t="str">
            <v>2026-04-23 00:00</v>
          </cell>
          <cell r="Y148">
            <v>46135</v>
          </cell>
          <cell r="Z148" t="str">
            <v/>
          </cell>
          <cell r="AA148">
            <v>46136</v>
          </cell>
          <cell r="AB148" t="str">
            <v>Amit Iarochevsky Apr 23, 2026 2:13 PM</v>
          </cell>
          <cell r="AC148">
            <v>46136</v>
          </cell>
          <cell r="AD148">
            <v>46142</v>
          </cell>
          <cell r="AE148" t="str">
            <v/>
          </cell>
          <cell r="AF148" t="str">
            <v/>
          </cell>
          <cell r="AG148" t="str">
            <v/>
          </cell>
          <cell r="AH148" t="str">
            <v>Clerestory LLC</v>
          </cell>
          <cell r="AI148" t="str">
            <v/>
          </cell>
        </row>
        <row r="149">
          <cell r="C149">
            <v>90446</v>
          </cell>
          <cell r="D149" t="str">
            <v/>
          </cell>
          <cell r="E149" t="str">
            <v>1557</v>
          </cell>
          <cell r="F149" t="str">
            <v>Deposit</v>
          </cell>
          <cell r="G149" t="str">
            <v>Deposit Collected</v>
          </cell>
          <cell r="H149" t="str">
            <v>No</v>
          </cell>
          <cell r="I149" t="str">
            <v>Jameson Dahn</v>
          </cell>
          <cell r="J149" t="str">
            <v/>
          </cell>
          <cell r="K149" t="str">
            <v>https://panda-windows-and-doors.monday.com/protected_static/21046287/resources/2935727602/Panda SO 1557 - Julia &amp; Robert - 1019 Lochland 042726.pdf</v>
          </cell>
          <cell r="L149" t="str">
            <v>https://panda-windows-and-doors.monday.com/protected_static/21046287/resources/2935726511/1557 Signed Panda Report.pdf</v>
          </cell>
          <cell r="M149" t="str">
            <v/>
          </cell>
          <cell r="N149" t="str">
            <v>https://panda-windows-and-doors.monday.com/protected_static/21046287/resources/2938059205/90446 Deposit Invoice.pdf</v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>In Production</v>
          </cell>
          <cell r="T149" t="str">
            <v/>
          </cell>
          <cell r="U149">
            <v>24255</v>
          </cell>
          <cell r="V149">
            <v>27518.65</v>
          </cell>
          <cell r="W149" t="str">
            <v>Annalene Conde Jun 10, 2026 2:02 PM</v>
          </cell>
          <cell r="X149" t="str">
            <v>2026-04-08 12:04</v>
          </cell>
          <cell r="Y149">
            <v>46141</v>
          </cell>
          <cell r="Z149" t="str">
            <v/>
          </cell>
          <cell r="AA149">
            <v>46141</v>
          </cell>
          <cell r="AB149" t="str">
            <v>Amit Iarochevsky Apr 29, 2026 2:06 PM</v>
          </cell>
          <cell r="AC149">
            <v>46142</v>
          </cell>
          <cell r="AD149">
            <v>46143</v>
          </cell>
          <cell r="AE149" t="str">
            <v/>
          </cell>
          <cell r="AF149" t="str">
            <v/>
          </cell>
          <cell r="AG149" t="str">
            <v/>
          </cell>
          <cell r="AH149" t="str">
            <v>Robert Barclay</v>
          </cell>
          <cell r="AI149" t="str">
            <v/>
          </cell>
        </row>
        <row r="150">
          <cell r="C150">
            <v>86208</v>
          </cell>
          <cell r="D150" t="str">
            <v/>
          </cell>
          <cell r="E150" t="str">
            <v>Gineri</v>
          </cell>
          <cell r="F150" t="str">
            <v>Deposit</v>
          </cell>
          <cell r="G150" t="str">
            <v>Deposit Collected</v>
          </cell>
          <cell r="H150" t="str">
            <v>No</v>
          </cell>
          <cell r="I150" t="str">
            <v>Efrain Zarate</v>
          </cell>
          <cell r="J150" t="str">
            <v/>
          </cell>
          <cell r="K150" t="str">
            <v>https://panda-windows-and-doors.monday.com/protected_static/21046287/resources/2924851611/BP-70M55_20260424_103156.pdf</v>
          </cell>
          <cell r="L150" t="str">
            <v>https://panda-windows-and-doors.monday.com/protected_static/21046287/resources/2924851921/BP-70M55_20260424_103146.pdf</v>
          </cell>
          <cell r="M150" t="str">
            <v/>
          </cell>
          <cell r="N150" t="str">
            <v>https://panda-windows-and-doors.monday.com/protected_static/21046287/resources/2925087458/86208 Deposit Invoice.pdf</v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>Sent to Engineering</v>
          </cell>
          <cell r="T150" t="str">
            <v/>
          </cell>
          <cell r="U150">
            <v>22287</v>
          </cell>
          <cell r="V150">
            <v>25516.75</v>
          </cell>
          <cell r="W150" t="str">
            <v>Annalene Conde Jun 10, 2026 2:02 PM</v>
          </cell>
          <cell r="X150" t="str">
            <v>2026-04-24 00:00</v>
          </cell>
          <cell r="Y150">
            <v>46136</v>
          </cell>
          <cell r="Z150" t="str">
            <v/>
          </cell>
          <cell r="AA150">
            <v>46136</v>
          </cell>
          <cell r="AB150" t="str">
            <v>Amit Iarochevsky Apr 24, 2026 11:33 AM</v>
          </cell>
          <cell r="AC150">
            <v>46136</v>
          </cell>
          <cell r="AD150">
            <v>46143</v>
          </cell>
          <cell r="AE150" t="str">
            <v/>
          </cell>
          <cell r="AF150" t="str">
            <v/>
          </cell>
          <cell r="AG150" t="str">
            <v/>
          </cell>
          <cell r="AH150" t="str">
            <v>Skyline Glass</v>
          </cell>
          <cell r="AI150" t="str">
            <v/>
          </cell>
        </row>
        <row r="151">
          <cell r="C151">
            <v>90450</v>
          </cell>
          <cell r="D151" t="str">
            <v/>
          </cell>
          <cell r="E151" t="str">
            <v>1556</v>
          </cell>
          <cell r="F151" t="str">
            <v>Deposit</v>
          </cell>
          <cell r="G151" t="str">
            <v>Deposit Collected</v>
          </cell>
          <cell r="H151" t="str">
            <v>No</v>
          </cell>
          <cell r="I151" t="str">
            <v>Derrick McCall</v>
          </cell>
          <cell r="J151" t="str">
            <v/>
          </cell>
          <cell r="K151" t="str">
            <v>https://panda-windows-and-doors.monday.com/protected_static/21046287/resources/2918492464/DOC042126.pdf</v>
          </cell>
          <cell r="L151" t="str">
            <v>https://panda-windows-and-doors.monday.com/protected_static/21046287/resources/2918491153/BP-70M55_20260421_154744.pdf</v>
          </cell>
          <cell r="M151" t="str">
            <v/>
          </cell>
          <cell r="N151" t="str">
            <v>https://panda-windows-and-doors.monday.com/protected_static/21046287/resources/2918803516/90450 Deposit Invoice.pdf</v>
          </cell>
          <cell r="O151" t="str">
            <v/>
          </cell>
          <cell r="P151" t="str">
            <v/>
          </cell>
          <cell r="Q151" t="str">
            <v/>
          </cell>
          <cell r="R151" t="str">
            <v>https://panda-windows-and-doors.monday.com/protected_static/21046287/resources/2995891480/Q90450 RUSSELL TEN - B.O.M.pdf, https://panda-windows-and-doors.monday.com/protected_static/21046287/resources/2995891487/Q90450 RUSSELL TEN - CUTLIST (MANUAL).pdf</v>
          </cell>
          <cell r="S151" t="str">
            <v>In Production</v>
          </cell>
          <cell r="T151" t="str">
            <v/>
          </cell>
          <cell r="U151">
            <v>7699</v>
          </cell>
          <cell r="V151">
            <v>9170.8799999999992</v>
          </cell>
          <cell r="W151" t="str">
            <v>Annalene Conde Jun 10, 2026 2:02 PM</v>
          </cell>
          <cell r="X151" t="str">
            <v>2026-04-22 00:00</v>
          </cell>
          <cell r="Y151">
            <v>46134</v>
          </cell>
          <cell r="Z151" t="str">
            <v/>
          </cell>
          <cell r="AA151">
            <v>46134</v>
          </cell>
          <cell r="AB151" t="str">
            <v>Amit Iarochevsky Apr 22, 2026 7:43 AM</v>
          </cell>
          <cell r="AC151">
            <v>46134</v>
          </cell>
          <cell r="AD151">
            <v>46146</v>
          </cell>
          <cell r="AE151" t="str">
            <v/>
          </cell>
          <cell r="AF151" t="str">
            <v/>
          </cell>
          <cell r="AG151" t="str">
            <v/>
          </cell>
          <cell r="AH151" t="str">
            <v>Boyett Construction Inc</v>
          </cell>
          <cell r="AI151" t="str">
            <v/>
          </cell>
        </row>
        <row r="152">
          <cell r="C152" t="str">
            <v/>
          </cell>
          <cell r="D152" t="str">
            <v/>
          </cell>
          <cell r="E152" t="str">
            <v/>
          </cell>
          <cell r="F152" t="str">
            <v>Deposit</v>
          </cell>
          <cell r="G152" t="str">
            <v>Deposit Collected</v>
          </cell>
          <cell r="H152" t="str">
            <v>No</v>
          </cell>
          <cell r="I152" t="str">
            <v>Spencer Anderson</v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>Annalene Conde Jun 10, 2026 2:02 PM</v>
          </cell>
          <cell r="X152" t="str">
            <v/>
          </cell>
          <cell r="Y152">
            <v>46126</v>
          </cell>
          <cell r="Z152" t="str">
            <v/>
          </cell>
          <cell r="AA152" t="str">
            <v/>
          </cell>
          <cell r="AB152" t="str">
            <v>Annalene Conde Apr 14, 2026 8:05 AM</v>
          </cell>
          <cell r="AC152" t="str">
            <v/>
          </cell>
          <cell r="AD152">
            <v>46147</v>
          </cell>
          <cell r="AE152" t="str">
            <v/>
          </cell>
          <cell r="AF152" t="str">
            <v/>
          </cell>
          <cell r="AG152" t="str">
            <v/>
          </cell>
          <cell r="AH152" t="str">
            <v>Jared Foley</v>
          </cell>
          <cell r="AI152" t="str">
            <v/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F153" t="str">
            <v>Deposit</v>
          </cell>
          <cell r="G153" t="str">
            <v>Deposit Collected</v>
          </cell>
          <cell r="H153" t="str">
            <v>No</v>
          </cell>
          <cell r="I153" t="str">
            <v>Spencer Anderson</v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>Annalene Conde Jun 10, 2026 2:02 PM</v>
          </cell>
          <cell r="X153" t="str">
            <v/>
          </cell>
          <cell r="Y153">
            <v>46135</v>
          </cell>
          <cell r="Z153" t="str">
            <v/>
          </cell>
          <cell r="AA153" t="str">
            <v/>
          </cell>
          <cell r="AB153" t="str">
            <v>Annalene Conde Apr 23, 2026 10:18 AM</v>
          </cell>
          <cell r="AC153" t="str">
            <v/>
          </cell>
          <cell r="AD153">
            <v>46147</v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</row>
        <row r="154">
          <cell r="C154">
            <v>89731</v>
          </cell>
          <cell r="D154" t="str">
            <v/>
          </cell>
          <cell r="E154" t="str">
            <v>Gineri</v>
          </cell>
          <cell r="F154" t="str">
            <v>Deposit</v>
          </cell>
          <cell r="G154" t="str">
            <v>Deposit Collected</v>
          </cell>
          <cell r="H154" t="str">
            <v>No</v>
          </cell>
          <cell r="I154" t="str">
            <v>Tyler Clark</v>
          </cell>
          <cell r="J154" t="str">
            <v/>
          </cell>
          <cell r="K154" t="str">
            <v>https://panda-windows-and-doors.monday.com/protected_static/21046287/resources/2919002062/QQ#89731 129 Tahoe Tavern 1.pdf</v>
          </cell>
          <cell r="L154" t="str">
            <v>https://panda-windows-and-doors.monday.com/protected_static/21046287/resources/2918677474/BP-70M55_20260422_065839.pdf</v>
          </cell>
          <cell r="M154" t="str">
            <v/>
          </cell>
          <cell r="N154" t="str">
            <v>https://panda-windows-and-doors.monday.com/protected_static/21046287/resources/2919943617/8731 Deposit Invoice.pdf</v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>Sent to Engineering</v>
          </cell>
          <cell r="T154" t="str">
            <v/>
          </cell>
          <cell r="U154">
            <v>13338</v>
          </cell>
          <cell r="V154">
            <v>13337</v>
          </cell>
          <cell r="W154" t="str">
            <v>Annalene Conde Jun 10, 2026 2:02 PM</v>
          </cell>
          <cell r="X154" t="str">
            <v>2026-04-15 00:00</v>
          </cell>
          <cell r="Y154">
            <v>46134</v>
          </cell>
          <cell r="Z154" t="str">
            <v/>
          </cell>
          <cell r="AA154">
            <v>46134</v>
          </cell>
          <cell r="AB154" t="str">
            <v>Amit Iarochevsky Apr 22, 2026 8:24 AM</v>
          </cell>
          <cell r="AC154">
            <v>46134</v>
          </cell>
          <cell r="AD154">
            <v>46147</v>
          </cell>
          <cell r="AE154" t="str">
            <v/>
          </cell>
          <cell r="AF154" t="str">
            <v/>
          </cell>
          <cell r="AG154" t="str">
            <v/>
          </cell>
          <cell r="AH154" t="str">
            <v>Boulder Ridge Sash &amp; Door, Inc.</v>
          </cell>
          <cell r="AI154" t="str">
            <v/>
          </cell>
        </row>
        <row r="155">
          <cell r="C155">
            <v>90101</v>
          </cell>
          <cell r="D155" t="str">
            <v/>
          </cell>
          <cell r="E155" t="str">
            <v>1492</v>
          </cell>
          <cell r="F155" t="str">
            <v>Deposit</v>
          </cell>
          <cell r="G155" t="str">
            <v>Deposit Collected</v>
          </cell>
          <cell r="H155" t="str">
            <v>No</v>
          </cell>
          <cell r="I155" t="str">
            <v>Trevor Benthagen</v>
          </cell>
          <cell r="J155" t="str">
            <v/>
          </cell>
          <cell r="K155" t="str">
            <v>https://panda-windows-and-doors.monday.com/protected_static/21046287/resources/2928087833/BP-70M55_20260427_082159.pdf</v>
          </cell>
          <cell r="L155" t="str">
            <v>https://panda-windows-and-doors.monday.com/protected_static/21046287/resources/2928088383/BP-70M55_20260427_082210.pdf</v>
          </cell>
          <cell r="M155" t="str">
            <v/>
          </cell>
          <cell r="N155" t="str">
            <v>https://panda-windows-and-doors.monday.com/protected_static/21046287/resources/2928490611/90101 Deposit Invoice.pdf</v>
          </cell>
          <cell r="O155" t="str">
            <v/>
          </cell>
          <cell r="P155" t="str">
            <v/>
          </cell>
          <cell r="Q155" t="str">
            <v/>
          </cell>
          <cell r="R155" t="str">
            <v>https://panda-windows-and-doors.monday.com/protected_static/21046287/resources/3016075317/Q90101 19240 CHRISTOPHER CT. -  B.O.M.pdf, https://panda-windows-and-doors.monday.com/protected_static/21046287/resources/3016075595/Q90101 19240 CHRISTOPHER CT. - CUTLIST (MANUAL).pdf</v>
          </cell>
          <cell r="S155" t="str">
            <v>In Production</v>
          </cell>
          <cell r="T155" t="str">
            <v/>
          </cell>
          <cell r="U155">
            <v>18412</v>
          </cell>
          <cell r="V155">
            <v>18411</v>
          </cell>
          <cell r="W155" t="str">
            <v>Annalene Conde Jun 10, 2026 2:02 PM</v>
          </cell>
          <cell r="X155" t="str">
            <v>2026-04-17 00:00</v>
          </cell>
          <cell r="Y155">
            <v>46139</v>
          </cell>
          <cell r="Z155" t="str">
            <v/>
          </cell>
          <cell r="AA155">
            <v>46139</v>
          </cell>
          <cell r="AB155" t="str">
            <v>Amit Iarochevsky Apr 27, 2026 9:32 AM</v>
          </cell>
          <cell r="AC155">
            <v>46139</v>
          </cell>
          <cell r="AD155">
            <v>46148</v>
          </cell>
          <cell r="AE155" t="str">
            <v/>
          </cell>
          <cell r="AF155" t="str">
            <v/>
          </cell>
          <cell r="AG155" t="str">
            <v/>
          </cell>
          <cell r="AH155" t="str">
            <v>Peak Glass</v>
          </cell>
          <cell r="AI155" t="str">
            <v/>
          </cell>
        </row>
        <row r="156">
          <cell r="C156">
            <v>88159</v>
          </cell>
          <cell r="D156" t="str">
            <v/>
          </cell>
          <cell r="E156" t="str">
            <v>Gineri</v>
          </cell>
          <cell r="F156" t="str">
            <v>Deposit</v>
          </cell>
          <cell r="G156" t="str">
            <v>Deposit Collected</v>
          </cell>
          <cell r="H156" t="str">
            <v>No</v>
          </cell>
          <cell r="I156" t="str">
            <v>Derrick McCall</v>
          </cell>
          <cell r="J156" t="str">
            <v/>
          </cell>
          <cell r="K156" t="str">
            <v>https://panda-windows-and-doors.monday.com/protected_static/21046287/resources/2622175265/STONECREST PANDA QUOTE.pdf</v>
          </cell>
          <cell r="L156" t="str">
            <v>https://panda-windows-and-doors.monday.com/protected_static/21046287/resources/2622175127/Q88159.pdf</v>
          </cell>
          <cell r="M156" t="str">
            <v/>
          </cell>
          <cell r="N156" t="str">
            <v>https://panda-windows-and-doors.monday.com/protected_static/21046287/resources/2622215244/88159 Deposit Invoice.pdf</v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>Sent to Engineering</v>
          </cell>
          <cell r="T156" t="str">
            <v/>
          </cell>
          <cell r="U156">
            <v>8819</v>
          </cell>
          <cell r="V156">
            <v>10273.75</v>
          </cell>
          <cell r="W156" t="str">
            <v>Annalene Conde Jun 10, 2026 2:02 PM</v>
          </cell>
          <cell r="X156" t="str">
            <v>2025-12-15 00:00</v>
          </cell>
          <cell r="Y156">
            <v>46006</v>
          </cell>
          <cell r="Z156" t="str">
            <v/>
          </cell>
          <cell r="AA156">
            <v>46006</v>
          </cell>
          <cell r="AB156" t="str">
            <v>Annalene Conde Dec 15, 2025 4:33 PM</v>
          </cell>
          <cell r="AC156">
            <v>46006</v>
          </cell>
          <cell r="AD156">
            <v>46148</v>
          </cell>
          <cell r="AE156" t="str">
            <v/>
          </cell>
          <cell r="AF156" t="str">
            <v/>
          </cell>
          <cell r="AG156" t="str">
            <v/>
          </cell>
          <cell r="AH156" t="str">
            <v>Architectural Glass &amp; Design</v>
          </cell>
          <cell r="AI156" t="str">
            <v/>
          </cell>
        </row>
        <row r="157">
          <cell r="C157">
            <v>90566</v>
          </cell>
          <cell r="D157" t="str">
            <v/>
          </cell>
          <cell r="E157" t="str">
            <v>1707</v>
          </cell>
          <cell r="F157" t="str">
            <v>Deposit</v>
          </cell>
          <cell r="G157" t="str">
            <v>Deposit Collected</v>
          </cell>
          <cell r="H157" t="str">
            <v>No</v>
          </cell>
          <cell r="I157" t="str">
            <v>Tyler Clark</v>
          </cell>
          <cell r="J157" t="str">
            <v/>
          </cell>
          <cell r="K157" t="str">
            <v>https://panda-windows-and-doors.monday.com/protected_static/21046287/resources/2932359384/BP-70M55_20260428_144126.pdf</v>
          </cell>
          <cell r="L157" t="str">
            <v>https://panda-windows-and-doors.monday.com/protected_static/21046287/resources/2932359665/BP-70M55_20260428_144140.pdf</v>
          </cell>
          <cell r="M157" t="str">
            <v/>
          </cell>
          <cell r="N157" t="str">
            <v>https://panda-windows-and-doors.monday.com/protected_static/21046287/resources/2932425184/90566 Deposit Invoice.pdf</v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>Avi Approval</v>
          </cell>
          <cell r="T157" t="str">
            <v/>
          </cell>
          <cell r="U157">
            <v>19409.04</v>
          </cell>
          <cell r="V157">
            <v>10920.48</v>
          </cell>
          <cell r="W157" t="str">
            <v>Annalene Conde Jun 10, 2026 2:02 PM</v>
          </cell>
          <cell r="X157" t="str">
            <v>2026-04-27 00:00</v>
          </cell>
          <cell r="Y157">
            <v>46140</v>
          </cell>
          <cell r="Z157" t="str">
            <v/>
          </cell>
          <cell r="AA157">
            <v>46140</v>
          </cell>
          <cell r="AB157" t="str">
            <v>Amit Iarochevsky Apr 28, 2026 3:47 PM</v>
          </cell>
          <cell r="AC157">
            <v>46140</v>
          </cell>
          <cell r="AD157">
            <v>46148</v>
          </cell>
          <cell r="AE157" t="str">
            <v/>
          </cell>
          <cell r="AF157" t="str">
            <v/>
          </cell>
          <cell r="AG157" t="str">
            <v/>
          </cell>
          <cell r="AH157" t="str">
            <v>James Stevens</v>
          </cell>
          <cell r="AI157" t="str">
            <v/>
          </cell>
        </row>
        <row r="158">
          <cell r="C158">
            <v>90237</v>
          </cell>
          <cell r="D158" t="str">
            <v/>
          </cell>
          <cell r="E158" t="str">
            <v>1326</v>
          </cell>
          <cell r="F158" t="str">
            <v>Deposit</v>
          </cell>
          <cell r="G158" t="str">
            <v>Deposit Collected</v>
          </cell>
          <cell r="H158" t="str">
            <v>No</v>
          </cell>
          <cell r="I158" t="str">
            <v>Tyler Clark</v>
          </cell>
          <cell r="J158" t="str">
            <v/>
          </cell>
          <cell r="K158" t="str">
            <v>https://panda-windows-and-doors.monday.com/protected_static/21046287/resources/2951513199/BP-70M55_20260506_092845.pdf, https://panda-windows-and-doors.monday.com/protected_static/21046287/resources/2951819317/BP-70M55_20260506_124709.pdf</v>
          </cell>
          <cell r="L158" t="str">
            <v>https://panda-windows-and-doors.monday.com/protected_static/21046287/resources/2951513474/BP-70M55_20260506_092858.pdf, https://panda-windows-and-doors.monday.com/protected_static/21046287/resources/2956847746/BP-70M55_20260506_092845.pdf</v>
          </cell>
          <cell r="M158" t="str">
            <v/>
          </cell>
          <cell r="N158" t="str">
            <v>https://panda-windows-and-doors.monday.com/protected_static/21046287/resources/2952079722/90237 Deposit Invoice.pdf</v>
          </cell>
          <cell r="O158" t="str">
            <v/>
          </cell>
          <cell r="P158" t="str">
            <v/>
          </cell>
          <cell r="Q158" t="str">
            <v/>
          </cell>
          <cell r="R158" t="str">
            <v>https://panda-windows-and-doors.monday.com/protected_static/21046287/resources/2988158312/Q90237 RICK FADLER - B.O.M.pdf, https://panda-windows-and-doors.monday.com/protected_static/21046287/resources/2988158331/Q90237 RICK FADLER - CUTLIST (MANUAL)pdf.pdf</v>
          </cell>
          <cell r="S158" t="str">
            <v>In Production</v>
          </cell>
          <cell r="T158" t="str">
            <v/>
          </cell>
          <cell r="U158">
            <v>12222.57</v>
          </cell>
          <cell r="V158">
            <v>12222.56</v>
          </cell>
          <cell r="W158" t="str">
            <v>Annalene Conde Jun 10, 2026 2:02 PM</v>
          </cell>
          <cell r="X158" t="str">
            <v>2026-05-06 10:43</v>
          </cell>
          <cell r="Y158">
            <v>46148</v>
          </cell>
          <cell r="Z158" t="str">
            <v/>
          </cell>
          <cell r="AA158">
            <v>46148</v>
          </cell>
          <cell r="AB158" t="str">
            <v>Amit Iarochevsky May 6, 2026 12:08 PM</v>
          </cell>
          <cell r="AC158">
            <v>46148</v>
          </cell>
          <cell r="AD158">
            <v>46149</v>
          </cell>
          <cell r="AE158" t="str">
            <v/>
          </cell>
          <cell r="AF158" t="str">
            <v/>
          </cell>
          <cell r="AG158" t="str">
            <v/>
          </cell>
          <cell r="AH158" t="str">
            <v>Dave Henderson</v>
          </cell>
          <cell r="AI158" t="str">
            <v/>
          </cell>
        </row>
        <row r="159">
          <cell r="C159">
            <v>90032</v>
          </cell>
          <cell r="D159" t="str">
            <v/>
          </cell>
          <cell r="E159" t="str">
            <v>Gineri</v>
          </cell>
          <cell r="F159" t="str">
            <v>Deposit</v>
          </cell>
          <cell r="G159" t="str">
            <v>Deposit Collected</v>
          </cell>
          <cell r="H159" t="str">
            <v>No</v>
          </cell>
          <cell r="I159" t="str">
            <v>Jameson Dahn</v>
          </cell>
          <cell r="J159" t="str">
            <v/>
          </cell>
          <cell r="K159" t="str">
            <v>https://panda-windows-and-doors.monday.com/protected_static/21046287/resources/2936141189/Signed QQ#90032 Large Conference Room 04292026_JK Signed.pdf</v>
          </cell>
          <cell r="L159" t="str">
            <v>https://panda-windows-and-doors.monday.com/protected_static/21046287/resources/2936140998/90032 Signed Backer.pdf</v>
          </cell>
          <cell r="M159" t="str">
            <v/>
          </cell>
          <cell r="N159" t="str">
            <v>https://panda-windows-and-doors.monday.com/protected_static/21046287/resources/2938636989/90032 Deposit Invoice.pdf</v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>Sent to Engineering</v>
          </cell>
          <cell r="T159" t="str">
            <v/>
          </cell>
          <cell r="U159">
            <v>9955</v>
          </cell>
          <cell r="V159">
            <v>11883.73</v>
          </cell>
          <cell r="W159" t="str">
            <v>Annalene Conde Jun 10, 2026 2:02 PM</v>
          </cell>
          <cell r="X159" t="str">
            <v>2026-03-25 00:00</v>
          </cell>
          <cell r="Y159">
            <v>46141</v>
          </cell>
          <cell r="Z159" t="str">
            <v/>
          </cell>
          <cell r="AA159">
            <v>46141</v>
          </cell>
          <cell r="AB159" t="str">
            <v>Amit Iarochevsky Apr 29, 2026 5:11 PM</v>
          </cell>
          <cell r="AC159">
            <v>46142</v>
          </cell>
          <cell r="AD159">
            <v>46150</v>
          </cell>
          <cell r="AE159" t="str">
            <v/>
          </cell>
          <cell r="AF159" t="str">
            <v/>
          </cell>
          <cell r="AG159" t="str">
            <v/>
          </cell>
          <cell r="AH159" t="str">
            <v>Kelly Maiello Architects - KMA - Abby Freed</v>
          </cell>
          <cell r="AI159" t="str">
            <v/>
          </cell>
        </row>
        <row r="160">
          <cell r="C160">
            <v>90365</v>
          </cell>
          <cell r="D160" t="str">
            <v/>
          </cell>
          <cell r="E160" t="str">
            <v>1463</v>
          </cell>
          <cell r="F160" t="str">
            <v>Deposit</v>
          </cell>
          <cell r="G160" t="str">
            <v>Deposit Collected</v>
          </cell>
          <cell r="H160" t="str">
            <v>No</v>
          </cell>
          <cell r="I160" t="str">
            <v>Efrain Zarate</v>
          </cell>
          <cell r="J160" t="str">
            <v/>
          </cell>
          <cell r="K160" t="str">
            <v>https://panda-windows-and-doors.monday.com/protected_static/21046287/resources/2951488041/panda door order.pdf</v>
          </cell>
          <cell r="L160" t="str">
            <v>https://panda-windows-and-doors.monday.com/protected_static/21046287/resources/2951487493/BP-70M55_20260506_105920.pdf</v>
          </cell>
          <cell r="M160" t="str">
            <v/>
          </cell>
          <cell r="N160" t="str">
            <v>https://panda-windows-and-doors.monday.com/protected_static/21046287/resources/2951776913/90365 Deposit Invoice.pdf</v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>Sent to Engineering</v>
          </cell>
          <cell r="T160" t="str">
            <v/>
          </cell>
          <cell r="U160">
            <v>12373</v>
          </cell>
          <cell r="V160">
            <v>14323.38</v>
          </cell>
          <cell r="W160" t="str">
            <v>Annalene Conde Jun 10, 2026 2:02 PM</v>
          </cell>
          <cell r="X160" t="str">
            <v>2026-04-15 00:00</v>
          </cell>
          <cell r="Y160">
            <v>46148</v>
          </cell>
          <cell r="Z160" t="str">
            <v/>
          </cell>
          <cell r="AA160">
            <v>46148</v>
          </cell>
          <cell r="AB160" t="str">
            <v>Amit Iarochevsky May 6, 2026 12:00 PM</v>
          </cell>
          <cell r="AC160">
            <v>46148</v>
          </cell>
          <cell r="AD160">
            <v>46153</v>
          </cell>
          <cell r="AE160" t="str">
            <v/>
          </cell>
          <cell r="AF160" t="str">
            <v/>
          </cell>
          <cell r="AG160" t="str">
            <v/>
          </cell>
          <cell r="AH160" t="str">
            <v>Glass Concepts</v>
          </cell>
          <cell r="AI160" t="str">
            <v/>
          </cell>
        </row>
        <row r="161">
          <cell r="C161">
            <v>87965</v>
          </cell>
          <cell r="D161" t="str">
            <v/>
          </cell>
          <cell r="E161" t="str">
            <v>Gineri</v>
          </cell>
          <cell r="F161" t="str">
            <v>Deposit</v>
          </cell>
          <cell r="G161" t="str">
            <v>Deposit Collected</v>
          </cell>
          <cell r="H161" t="str">
            <v>No</v>
          </cell>
          <cell r="I161" t="str">
            <v>Sean Torre</v>
          </cell>
          <cell r="J161" t="str">
            <v/>
          </cell>
          <cell r="K161" t="str">
            <v>https://panda-windows-and-doors.monday.com/protected_static/21046287/resources/2957396926/QQ #87965 - Marzalek Folding Door - 02242026 (2).pdf</v>
          </cell>
          <cell r="L161" t="str">
            <v>https://panda-windows-and-doors.monday.com/protected_static/21046287/resources/2957396982/CamScanner 5-8-26 09.39.pdf</v>
          </cell>
          <cell r="M161" t="str">
            <v/>
          </cell>
          <cell r="N161" t="str">
            <v>https://panda-windows-and-doors.monday.com/protected_static/21046287/resources/2957516170/87965 Deposit Invoice.pdf</v>
          </cell>
          <cell r="O161" t="str">
            <v/>
          </cell>
          <cell r="P161" t="str">
            <v/>
          </cell>
          <cell r="Q161" t="str">
            <v/>
          </cell>
          <cell r="R161" t="str">
            <v>https://panda-windows-and-doors.monday.com/protected_static/21046287/resources/3028794442/5341 Q87965 - MARZALEK - Cut - List.pdf, https://panda-windows-and-doors.monday.com/protected_static/21046287/resources/3028794437/5341 Q87965 - MARZALEK - Optimization.pdf</v>
          </cell>
          <cell r="S161" t="str">
            <v>In Production</v>
          </cell>
          <cell r="T161" t="str">
            <v/>
          </cell>
          <cell r="U161">
            <v>8755</v>
          </cell>
          <cell r="V161">
            <v>8755</v>
          </cell>
          <cell r="W161" t="str">
            <v>Annalene Conde Jun 10, 2026 2:02 PM</v>
          </cell>
          <cell r="X161" t="str">
            <v>2026-05-08 00:00</v>
          </cell>
          <cell r="Y161">
            <v>46150</v>
          </cell>
          <cell r="Z161" t="str">
            <v/>
          </cell>
          <cell r="AA161">
            <v>46150</v>
          </cell>
          <cell r="AB161" t="str">
            <v>Amit Iarochevsky May 8, 2026 10:50 AM</v>
          </cell>
          <cell r="AC161">
            <v>46150</v>
          </cell>
          <cell r="AD161">
            <v>46155</v>
          </cell>
          <cell r="AE161" t="str">
            <v/>
          </cell>
          <cell r="AF161" t="str">
            <v/>
          </cell>
          <cell r="AG161" t="str">
            <v/>
          </cell>
          <cell r="AH161" t="str">
            <v>Marzalek Folding</v>
          </cell>
          <cell r="AI161" t="str">
            <v/>
          </cell>
        </row>
        <row r="162">
          <cell r="C162">
            <v>88243</v>
          </cell>
          <cell r="D162" t="str">
            <v/>
          </cell>
          <cell r="E162" t="str">
            <v>Gineri</v>
          </cell>
          <cell r="F162" t="str">
            <v>Deposit</v>
          </cell>
          <cell r="G162" t="str">
            <v>Deposit Collected</v>
          </cell>
          <cell r="H162" t="str">
            <v>No</v>
          </cell>
          <cell r="I162" t="str">
            <v>Derrick McCall</v>
          </cell>
          <cell r="J162" t="str">
            <v/>
          </cell>
          <cell r="K162" t="str">
            <v>https://panda-windows-and-doors.monday.com/protected_static/21046287/resources/2913688954/Signed Sales Order 88243.pdf</v>
          </cell>
          <cell r="L162" t="str">
            <v>https://panda-windows-and-doors.monday.com/protected_static/21046287/resources/2913104018/BP-70M55_20260420_073352.pdf</v>
          </cell>
          <cell r="M162" t="str">
            <v/>
          </cell>
          <cell r="N162" t="str">
            <v>https://panda-windows-and-doors.monday.com/protected_static/21046287/resources/2913743793/88243 Deposit Invoice.pdf</v>
          </cell>
          <cell r="O162" t="str">
            <v/>
          </cell>
          <cell r="P162" t="str">
            <v/>
          </cell>
          <cell r="Q162" t="str">
            <v/>
          </cell>
          <cell r="R162" t="str">
            <v>https://panda-windows-and-doors.monday.com/protected_static/21046287/resources/3023987937/MF 5337 Q88243 BELLY HI 2 - B.O.M.pdf, https://panda-windows-and-doors.monday.com/protected_static/21046287/resources/3023987970/MF 5337 Q88243 BELLY HI 2 - OPT.pdf, https://panda-windows-and-doors.monday.com/protected_static/21046287/resources/3023987942/MF 5337 Q88243 BELLY HI 2 -CUTLIST (GINERI).pdf</v>
          </cell>
          <cell r="S162" t="str">
            <v>In Production</v>
          </cell>
          <cell r="T162" t="str">
            <v/>
          </cell>
          <cell r="U162">
            <v>11197</v>
          </cell>
          <cell r="V162">
            <v>13071.41</v>
          </cell>
          <cell r="W162" t="str">
            <v>Annalene Conde Jun 10, 2026 2:02 PM</v>
          </cell>
          <cell r="X162" t="str">
            <v>2026-03-26 00:00</v>
          </cell>
          <cell r="Y162">
            <v>46132</v>
          </cell>
          <cell r="Z162" t="str">
            <v/>
          </cell>
          <cell r="AA162">
            <v>46132</v>
          </cell>
          <cell r="AB162" t="str">
            <v>Amit Iarochevsky Apr 20, 2026 9:25 AM</v>
          </cell>
          <cell r="AC162">
            <v>46132</v>
          </cell>
          <cell r="AD162">
            <v>46155</v>
          </cell>
          <cell r="AE162" t="str">
            <v/>
          </cell>
          <cell r="AF162" t="str">
            <v/>
          </cell>
          <cell r="AG162" t="str">
            <v/>
          </cell>
          <cell r="AH162" t="str">
            <v>Skylia Group</v>
          </cell>
          <cell r="AI162" t="str">
            <v/>
          </cell>
        </row>
        <row r="163">
          <cell r="C163">
            <v>90329</v>
          </cell>
          <cell r="D163" t="str">
            <v/>
          </cell>
          <cell r="E163" t="str">
            <v>1428</v>
          </cell>
          <cell r="F163" t="str">
            <v>Deposit</v>
          </cell>
          <cell r="G163" t="str">
            <v>Deposit Collected</v>
          </cell>
          <cell r="H163" t="str">
            <v>No</v>
          </cell>
          <cell r="I163" t="str">
            <v>Sean Torre</v>
          </cell>
          <cell r="J163" t="str">
            <v/>
          </cell>
          <cell r="K163" t="str">
            <v>https://panda-windows-and-doors.monday.com/protected_static/21046287/resources/2951385971/Panda Sales Order 1428 (6).pdf</v>
          </cell>
          <cell r="L163" t="str">
            <v>https://panda-windows-and-doors.monday.com/protected_static/21046287/resources/2951385841/CamScanner 5-6-26 10.19 (1).pdf</v>
          </cell>
          <cell r="M163" t="str">
            <v/>
          </cell>
          <cell r="N163" t="str">
            <v>https://panda-windows-and-doors.monday.com/protected_static/21046287/resources/2951505783/90329 Deposit Invoice.pdf</v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>Avi Approval</v>
          </cell>
          <cell r="T163" t="str">
            <v/>
          </cell>
          <cell r="U163">
            <v>8966.25</v>
          </cell>
          <cell r="V163">
            <v>8966.2999999999993</v>
          </cell>
          <cell r="W163" t="str">
            <v>Annalene Conde Jun 10, 2026 2:02 PM</v>
          </cell>
          <cell r="X163" t="str">
            <v>2026-05-06 00:00</v>
          </cell>
          <cell r="Y163">
            <v>46148</v>
          </cell>
          <cell r="Z163" t="str">
            <v/>
          </cell>
          <cell r="AA163">
            <v>46148</v>
          </cell>
          <cell r="AB163" t="str">
            <v>Amit Iarochevsky May 6, 2026 11:27 AM</v>
          </cell>
          <cell r="AC163">
            <v>46148</v>
          </cell>
          <cell r="AD163">
            <v>46156</v>
          </cell>
          <cell r="AE163" t="str">
            <v/>
          </cell>
          <cell r="AF163" t="str">
            <v/>
          </cell>
          <cell r="AG163" t="str">
            <v/>
          </cell>
          <cell r="AH163" t="str">
            <v>Keel Entry Door</v>
          </cell>
          <cell r="AI163" t="str">
            <v/>
          </cell>
        </row>
        <row r="164">
          <cell r="C164">
            <v>90183</v>
          </cell>
          <cell r="D164" t="str">
            <v/>
          </cell>
          <cell r="E164" t="str">
            <v>Gineri</v>
          </cell>
          <cell r="F164" t="str">
            <v>Deposit</v>
          </cell>
          <cell r="G164" t="str">
            <v>Deposit Collected</v>
          </cell>
          <cell r="H164" t="str">
            <v>No</v>
          </cell>
          <cell r="I164" t="str">
            <v>Trevor Benthagen</v>
          </cell>
          <cell r="J164" t="str">
            <v/>
          </cell>
          <cell r="K164" t="str">
            <v>https://panda-windows-and-doors.monday.com/protected_static/21046287/resources/2939866598/BP-70M55_20260430_152631.pdf</v>
          </cell>
          <cell r="L164" t="str">
            <v>https://panda-windows-and-doors.monday.com/protected_static/21046287/resources/2939866469/BP-70M55_20260430_152637.pdf</v>
          </cell>
          <cell r="M164" t="str">
            <v/>
          </cell>
          <cell r="N164" t="str">
            <v>https://panda-windows-and-doors.monday.com/protected_static/21046287/resources/2945126056/90183 Deposit Invoice.pdf</v>
          </cell>
          <cell r="O164" t="str">
            <v/>
          </cell>
          <cell r="P164" t="str">
            <v/>
          </cell>
          <cell r="Q164" t="str">
            <v/>
          </cell>
          <cell r="R164" t="str">
            <v>https://panda-windows-and-doors.monday.com/protected_static/21046287/resources/3034877652/Q90183 KANE COUNTY OFFICE OF TOURISM- B.O.M.pdf, https://panda-windows-and-doors.monday.com/protected_static/21046287/resources/3034877730/Q90183 KANE COUNTY OFFICE OF TOURISM - CUTLIST (MANUAL).pdf</v>
          </cell>
          <cell r="S164" t="str">
            <v>In Production</v>
          </cell>
          <cell r="T164" t="str">
            <v/>
          </cell>
          <cell r="U164">
            <v>18889</v>
          </cell>
          <cell r="V164">
            <v>18889</v>
          </cell>
          <cell r="W164" t="str">
            <v>Annalene Conde Jun 10, 2026 2:02 PM</v>
          </cell>
          <cell r="X164" t="str">
            <v>2026-04-03 00:00</v>
          </cell>
          <cell r="Y164">
            <v>46142</v>
          </cell>
          <cell r="Z164" t="str">
            <v/>
          </cell>
          <cell r="AA164">
            <v>46142</v>
          </cell>
          <cell r="AB164" t="str">
            <v>Amit Iarochevsky Apr 30, 2026 4:31 PM</v>
          </cell>
          <cell r="AC164">
            <v>46143</v>
          </cell>
          <cell r="AD164">
            <v>46157</v>
          </cell>
          <cell r="AE164" t="str">
            <v/>
          </cell>
          <cell r="AF164" t="str">
            <v/>
          </cell>
          <cell r="AG164" t="str">
            <v/>
          </cell>
          <cell r="AH164" t="str">
            <v>Mike Maxwell, Maxwell Construction</v>
          </cell>
          <cell r="AI164" t="str">
            <v/>
          </cell>
        </row>
        <row r="165">
          <cell r="C165">
            <v>90359</v>
          </cell>
          <cell r="D165" t="str">
            <v/>
          </cell>
          <cell r="E165" t="str">
            <v>1457</v>
          </cell>
          <cell r="F165" t="str">
            <v>Deposit</v>
          </cell>
          <cell r="G165" t="str">
            <v>Deposit Collected</v>
          </cell>
          <cell r="H165" t="str">
            <v>No</v>
          </cell>
          <cell r="I165" t="str">
            <v>Efrain Zarate, Trevor Benthagen</v>
          </cell>
          <cell r="J165" t="str">
            <v/>
          </cell>
          <cell r="K165" t="str">
            <v>https://panda-windows-and-doors.monday.com/protected_static/21046287/resources/2934238181/QQ#90359 2769 Marnay Lane (1457) 04152026.pdf</v>
          </cell>
          <cell r="L165" t="str">
            <v>https://panda-windows-and-doors.monday.com/protected_static/21046287/resources/2934238914/BP-70M55_20260429_073343.pdf</v>
          </cell>
          <cell r="M165" t="str">
            <v/>
          </cell>
          <cell r="N165" t="str">
            <v>https://panda-windows-and-doors.monday.com/protected_static/21046287/resources/2935298101/90359 Deposit Invoice.pdf</v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>PM Review</v>
          </cell>
          <cell r="T165" t="str">
            <v/>
          </cell>
          <cell r="U165">
            <v>6614</v>
          </cell>
          <cell r="V165">
            <v>7721.57</v>
          </cell>
          <cell r="W165" t="str">
            <v>Annalene Conde Jun 10, 2026 2:02 PM</v>
          </cell>
          <cell r="X165" t="str">
            <v>2026-04-15 00:00</v>
          </cell>
          <cell r="Y165">
            <v>46141</v>
          </cell>
          <cell r="Z165" t="str">
            <v/>
          </cell>
          <cell r="AA165">
            <v>46141</v>
          </cell>
          <cell r="AB165" t="str">
            <v>Amit Iarochevsky Apr 29, 2026 8:35 AM</v>
          </cell>
          <cell r="AC165">
            <v>46141</v>
          </cell>
          <cell r="AD165">
            <v>46157</v>
          </cell>
          <cell r="AE165" t="str">
            <v/>
          </cell>
          <cell r="AF165" t="str">
            <v/>
          </cell>
          <cell r="AG165" t="str">
            <v/>
          </cell>
          <cell r="AH165" t="str">
            <v>Tridel Constuction</v>
          </cell>
          <cell r="AI165" t="str">
            <v/>
          </cell>
        </row>
        <row r="166">
          <cell r="C166">
            <v>90600</v>
          </cell>
          <cell r="D166" t="str">
            <v/>
          </cell>
          <cell r="E166" t="str">
            <v>Gineri</v>
          </cell>
          <cell r="F166" t="str">
            <v>Deposit</v>
          </cell>
          <cell r="G166" t="str">
            <v>Paid in Full</v>
          </cell>
          <cell r="H166" t="str">
            <v>No</v>
          </cell>
          <cell r="I166" t="str">
            <v>Efrain Zarate</v>
          </cell>
          <cell r="J166" t="str">
            <v/>
          </cell>
          <cell r="K166" t="str">
            <v>https://panda-windows-and-doors.monday.com/protected_static/21046287/resources/2954575992/QQ#90600 Lennar Phase 2 05012026.SIGNED.pdf</v>
          </cell>
          <cell r="L166" t="str">
            <v>https://panda-windows-and-doors.monday.com/protected_static/21046287/resources/2954576194/BP-70M55_20260507_111010.pdf</v>
          </cell>
          <cell r="M166" t="str">
            <v/>
          </cell>
          <cell r="N166" t="str">
            <v>https://panda-windows-and-doors.monday.com/protected_static/21046287/resources/2954992466/90600 Deposit Invoice.pdf</v>
          </cell>
          <cell r="O166" t="str">
            <v/>
          </cell>
          <cell r="P166" t="str">
            <v/>
          </cell>
          <cell r="Q166" t="str">
            <v/>
          </cell>
          <cell r="R166" t="str">
            <v>https://panda-windows-and-doors.monday.com/protected_static/21046287/resources/3046595615/Q90600 LENNAR PHASE 2 - B.O.M.pdf, https://panda-windows-and-doors.monday.com/protected_static/21046287/resources/3046595622/Q90600 LENNAR PHASE 2 - CUTLIST (MANUAL).pdf</v>
          </cell>
          <cell r="S166" t="str">
            <v>In Production</v>
          </cell>
          <cell r="T166" t="str">
            <v/>
          </cell>
          <cell r="U166">
            <v>38957</v>
          </cell>
          <cell r="V166">
            <v>45482.3</v>
          </cell>
          <cell r="W166" t="str">
            <v>Annalene Conde Jun 10, 2026 2:02 PM</v>
          </cell>
          <cell r="X166" t="str">
            <v>2026-05-01 00:00</v>
          </cell>
          <cell r="Y166">
            <v>46149</v>
          </cell>
          <cell r="Z166" t="str">
            <v/>
          </cell>
          <cell r="AA166">
            <v>46149</v>
          </cell>
          <cell r="AB166" t="str">
            <v>Amit Iarochevsky May 7, 2026 12:16 PM</v>
          </cell>
          <cell r="AC166">
            <v>46149</v>
          </cell>
          <cell r="AD166">
            <v>46157</v>
          </cell>
          <cell r="AE166" t="str">
            <v/>
          </cell>
          <cell r="AF166" t="str">
            <v/>
          </cell>
          <cell r="AG166" t="str">
            <v/>
          </cell>
          <cell r="AH166" t="str">
            <v>Desert Window Systems</v>
          </cell>
          <cell r="AI166" t="str">
            <v/>
          </cell>
        </row>
        <row r="167">
          <cell r="C167">
            <v>90372</v>
          </cell>
          <cell r="D167" t="str">
            <v/>
          </cell>
          <cell r="E167" t="str">
            <v>1456</v>
          </cell>
          <cell r="F167" t="str">
            <v>Deposit</v>
          </cell>
          <cell r="G167" t="str">
            <v>Deposit Collected</v>
          </cell>
          <cell r="H167" t="str">
            <v>No</v>
          </cell>
          <cell r="I167" t="str">
            <v>Tyler Clark</v>
          </cell>
          <cell r="J167" t="str">
            <v/>
          </cell>
          <cell r="K167" t="str">
            <v>https://panda-windows-and-doors.monday.com/protected_static/21046287/resources/2965136623/BP-70M55_20260512_100810.pdf</v>
          </cell>
          <cell r="L167" t="str">
            <v>https://panda-windows-and-doors.monday.com/protected_static/21046287/resources/2965136788/BP-70M55_20260512_100826.pdf</v>
          </cell>
          <cell r="M167" t="str">
            <v/>
          </cell>
          <cell r="N167" t="str">
            <v>https://panda-windows-and-doors.monday.com/protected_static/21046287/resources/2966142050/90372 Deposit Invoice.pdf</v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>Sent to Engineering</v>
          </cell>
          <cell r="T167" t="str">
            <v/>
          </cell>
          <cell r="U167">
            <v>24466.02</v>
          </cell>
          <cell r="V167" t="str">
            <v/>
          </cell>
          <cell r="W167" t="str">
            <v>Annalene Conde Jun 10, 2026 2:02 PM</v>
          </cell>
          <cell r="X167" t="str">
            <v>2026-02-09 16:27</v>
          </cell>
          <cell r="Y167">
            <v>46154</v>
          </cell>
          <cell r="Z167" t="str">
            <v/>
          </cell>
          <cell r="AA167">
            <v>46154</v>
          </cell>
          <cell r="AB167" t="str">
            <v>Amit Iarochevsky May 12, 2026 11:14 AM</v>
          </cell>
          <cell r="AC167">
            <v>46154</v>
          </cell>
          <cell r="AD167">
            <v>46157</v>
          </cell>
          <cell r="AE167" t="str">
            <v/>
          </cell>
          <cell r="AF167" t="str">
            <v/>
          </cell>
          <cell r="AG167" t="str">
            <v/>
          </cell>
          <cell r="AH167" t="str">
            <v>Sunstride Construction Jerry Loces</v>
          </cell>
          <cell r="AI167" t="str">
            <v/>
          </cell>
        </row>
        <row r="168">
          <cell r="C168">
            <v>90134</v>
          </cell>
          <cell r="D168" t="str">
            <v/>
          </cell>
          <cell r="E168" t="str">
            <v/>
          </cell>
          <cell r="F168" t="str">
            <v>Deposit</v>
          </cell>
          <cell r="G168" t="str">
            <v>Deposit Collected</v>
          </cell>
          <cell r="H168" t="str">
            <v>No</v>
          </cell>
          <cell r="I168" t="str">
            <v>Stefan Monetta</v>
          </cell>
          <cell r="J168" t="str">
            <v/>
          </cell>
          <cell r="K168" t="str">
            <v>https://panda-windows-and-doors.monday.com/protected_static/21046287/resources/2941162937/Signed Proposal.pdf</v>
          </cell>
          <cell r="L168" t="str">
            <v>https://panda-windows-and-doors.monday.com/protected_static/21046287/resources/2941163125/Signed Backer.pdf</v>
          </cell>
          <cell r="M168" t="str">
            <v/>
          </cell>
          <cell r="N168" t="str">
            <v>https://panda-windows-and-doors.monday.com/protected_static/21046287/resources/2941297284/90134 Deposit Invoice.pdf</v>
          </cell>
          <cell r="O168" t="str">
            <v/>
          </cell>
          <cell r="P168" t="str">
            <v/>
          </cell>
          <cell r="Q168" t="str">
            <v/>
          </cell>
          <cell r="R168" t="str">
            <v>https://panda-windows-and-doors.monday.com/protected_static/21046287/resources/3001746873/MF 5332 Q90134 HOLLOWAY - OPT.pdf, https://panda-windows-and-doors.monday.com/protected_static/21046287/resources/3001746895/MF 5332 Q90134 HOLLOWAY - CUTLIST (GINERI).pdf, https://panda-windows-and-doors.monday.com/protected_static/21046287/resources/3001746866/MF 5332 Q90134 HOLLOWAY - B.O.M.pdf, https://panda-windows-and-doors.monday.com/protected_static/21046287/resources/3001746882/MF 5332 Q90134 HOLLOWAY - CUTLIST (MANUAL).pdf</v>
          </cell>
          <cell r="S168" t="str">
            <v>In Production</v>
          </cell>
          <cell r="T168" t="str">
            <v/>
          </cell>
          <cell r="U168">
            <v>19000</v>
          </cell>
          <cell r="V168">
            <v>478.85</v>
          </cell>
          <cell r="W168" t="str">
            <v>Annalene Conde Jun 10, 2026 2:02 PM</v>
          </cell>
          <cell r="X168" t="str">
            <v>2026-05-01 00:00</v>
          </cell>
          <cell r="Y168">
            <v>46143</v>
          </cell>
          <cell r="Z168" t="str">
            <v/>
          </cell>
          <cell r="AA168">
            <v>46143</v>
          </cell>
          <cell r="AB168" t="str">
            <v>Amit Iarochevsky May 1, 2026 10:13 AM</v>
          </cell>
          <cell r="AC168">
            <v>46143</v>
          </cell>
          <cell r="AD168">
            <v>46157</v>
          </cell>
          <cell r="AE168" t="str">
            <v/>
          </cell>
          <cell r="AF168" t="str">
            <v/>
          </cell>
          <cell r="AG168" t="str">
            <v/>
          </cell>
          <cell r="AH168" t="str">
            <v>HBS Inc.</v>
          </cell>
          <cell r="AI168" t="str">
            <v/>
          </cell>
        </row>
        <row r="169">
          <cell r="C169">
            <v>90536</v>
          </cell>
          <cell r="D169" t="str">
            <v/>
          </cell>
          <cell r="E169" t="str">
            <v>1662</v>
          </cell>
          <cell r="F169" t="str">
            <v>Deposit</v>
          </cell>
          <cell r="G169" t="str">
            <v>Deposit Collected</v>
          </cell>
          <cell r="H169" t="str">
            <v>No</v>
          </cell>
          <cell r="I169" t="str">
            <v>Sean Torre</v>
          </cell>
          <cell r="J169" t="str">
            <v/>
          </cell>
          <cell r="K169" t="str">
            <v>https://panda-windows-and-doors.monday.com/protected_static/21046287/resources/2968563848/Panda Sales Order 1662 (3) (2).pdf</v>
          </cell>
          <cell r="L169" t="str">
            <v>https://panda-windows-and-doors.monday.com/protected_static/21046287/resources/2968563898/CamScanner 5-13-26 12.03.pdf</v>
          </cell>
          <cell r="M169" t="str">
            <v/>
          </cell>
          <cell r="N169" t="str">
            <v>https://panda-windows-and-doors.monday.com/protected_static/21046287/resources/2969077107/90536 Deposit Invoice.pdf</v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>Sent to Engineering</v>
          </cell>
          <cell r="T169" t="str">
            <v/>
          </cell>
          <cell r="U169">
            <v>9055.57</v>
          </cell>
          <cell r="V169">
            <v>9055.57</v>
          </cell>
          <cell r="W169" t="str">
            <v>Annalene Conde Jun 10, 2026 2:02 PM</v>
          </cell>
          <cell r="X169" t="str">
            <v>2026-05-13 00:00</v>
          </cell>
          <cell r="Y169">
            <v>46155</v>
          </cell>
          <cell r="Z169" t="str">
            <v/>
          </cell>
          <cell r="AA169">
            <v>46155</v>
          </cell>
          <cell r="AB169" t="str">
            <v>Amit Iarochevsky May 13, 2026 1:11 PM</v>
          </cell>
          <cell r="AC169">
            <v>46155</v>
          </cell>
          <cell r="AD169">
            <v>46160</v>
          </cell>
          <cell r="AE169" t="str">
            <v/>
          </cell>
          <cell r="AF169" t="str">
            <v/>
          </cell>
          <cell r="AG169" t="str">
            <v/>
          </cell>
          <cell r="AH169" t="str">
            <v>Arnaud Slider</v>
          </cell>
          <cell r="AI169" t="str">
            <v/>
          </cell>
        </row>
        <row r="170">
          <cell r="C170">
            <v>90923</v>
          </cell>
          <cell r="D170" t="str">
            <v/>
          </cell>
          <cell r="E170" t="str">
            <v>2124</v>
          </cell>
          <cell r="F170" t="str">
            <v>Deposit</v>
          </cell>
          <cell r="G170" t="str">
            <v>Deposit Collected</v>
          </cell>
          <cell r="H170" t="str">
            <v>No</v>
          </cell>
          <cell r="I170" t="str">
            <v>Trevor Benthagen, Efrain Zarate</v>
          </cell>
          <cell r="J170" t="str">
            <v/>
          </cell>
          <cell r="K170" t="str">
            <v>https://panda-windows-and-doors.monday.com/protected_static/21046287/resources/2978213508/BP-70M55_20260518_115318.pdf</v>
          </cell>
          <cell r="L170" t="str">
            <v>https://panda-windows-and-doors.monday.com/protected_static/21046287/resources/2978214336/BP-70M55_20260518_115326.pdf</v>
          </cell>
          <cell r="M170" t="str">
            <v/>
          </cell>
          <cell r="N170" t="str">
            <v>https://panda-windows-and-doors.monday.com/protected_static/21046287/resources/2978686499/90923 Deposit Invoice.pdf</v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>Sent to Engineering</v>
          </cell>
          <cell r="T170" t="str">
            <v/>
          </cell>
          <cell r="U170">
            <v>7275.85</v>
          </cell>
          <cell r="V170">
            <v>8494.5300000000007</v>
          </cell>
          <cell r="W170" t="str">
            <v>Annalene Conde Jun 10, 2026 2:02 PM</v>
          </cell>
          <cell r="X170" t="str">
            <v>2026-05-18 00:00</v>
          </cell>
          <cell r="Y170">
            <v>46160</v>
          </cell>
          <cell r="Z170" t="str">
            <v/>
          </cell>
          <cell r="AA170">
            <v>46160</v>
          </cell>
          <cell r="AB170" t="str">
            <v>Amit Iarochevsky May 18, 2026 12:53 PM</v>
          </cell>
          <cell r="AC170">
            <v>46160</v>
          </cell>
          <cell r="AD170">
            <v>46160</v>
          </cell>
          <cell r="AE170" t="str">
            <v/>
          </cell>
          <cell r="AF170" t="str">
            <v/>
          </cell>
          <cell r="AG170" t="str">
            <v/>
          </cell>
          <cell r="AH170" t="str">
            <v>Charlotte Rosiak</v>
          </cell>
          <cell r="AI170" t="str">
            <v/>
          </cell>
        </row>
        <row r="171">
          <cell r="C171">
            <v>88674</v>
          </cell>
          <cell r="D171" t="str">
            <v/>
          </cell>
          <cell r="E171" t="str">
            <v/>
          </cell>
          <cell r="F171" t="str">
            <v>Deposit</v>
          </cell>
          <cell r="G171" t="str">
            <v>Deposit Collected</v>
          </cell>
          <cell r="H171" t="str">
            <v>No</v>
          </cell>
          <cell r="I171" t="str">
            <v>Derrick McCall</v>
          </cell>
          <cell r="J171" t="str">
            <v/>
          </cell>
          <cell r="K171" t="str">
            <v>https://panda-windows-and-doors.monday.com/protected_static/21046287/resources/2700026660/Panda Windows - Riggs.pdf, https://panda-windows-and-doors.monday.com/protected_static/21046287/resources/2728371847/NSO 222026.pdf</v>
          </cell>
          <cell r="L171" t="str">
            <v>https://panda-windows-and-doors.monday.com/protected_static/21046287/resources/2699908999/BP-70M55_20260121_093507.pdf, https://panda-windows-and-doors.monday.com/protected_static/21046287/resources/2728369113/NB 222026.pdf, https://panda-windows-and-doors.monday.com/protected_static/21046287/resources/2857883383/Accounting Copier_20260326_111600.pdf</v>
          </cell>
          <cell r="M171" t="str">
            <v/>
          </cell>
          <cell r="N171" t="str">
            <v>https://panda-windows-and-doors.monday.com/protected_static/21046287/resources/2732896622/88674 Deposit Invoice.pdf</v>
          </cell>
          <cell r="O171" t="str">
            <v/>
          </cell>
          <cell r="P171" t="str">
            <v/>
          </cell>
          <cell r="Q171" t="str">
            <v/>
          </cell>
          <cell r="R171" t="str">
            <v>https://panda-windows-and-doors.monday.com/protected_static/21046287/resources/2932128929/Q88687 4895 KALANIANAOLE - B.O.M.pdf, https://panda-windows-and-doors.monday.com/protected_static/21046287/resources/2932128931/MF 5264 Q88674 4895 KALANIANAOLE _R5-CUTLIST (GINERI).pdf, https://panda-windows-and-doors.monday.com/protected_static/21046287/resources/2932128935/Q88687 4895 KALANIANAOLE_R5- CUTLIST (MANUAL).pdf, https://panda-windows-and-doors.monday.com/protected_static/21046287/resources/2932128938/Q88687 4895 KALANIANAOLE_R5-OPT.pdf</v>
          </cell>
          <cell r="S171" t="str">
            <v>In Production</v>
          </cell>
          <cell r="T171" t="str">
            <v/>
          </cell>
          <cell r="U171">
            <v>238760</v>
          </cell>
          <cell r="V171">
            <v>238759</v>
          </cell>
          <cell r="W171" t="str">
            <v>Annalene Conde Jun 10, 2026 2:02 PM</v>
          </cell>
          <cell r="X171" t="str">
            <v>2025-12-23 00:00</v>
          </cell>
          <cell r="Y171">
            <v>46043</v>
          </cell>
          <cell r="Z171" t="str">
            <v/>
          </cell>
          <cell r="AA171">
            <v>46043</v>
          </cell>
          <cell r="AB171" t="str">
            <v>Annalene Conde Jan 21, 2026 12:42 PM</v>
          </cell>
          <cell r="AC171">
            <v>46056</v>
          </cell>
          <cell r="AD171">
            <v>46161</v>
          </cell>
          <cell r="AE171" t="str">
            <v/>
          </cell>
          <cell r="AF171" t="str">
            <v/>
          </cell>
          <cell r="AG171">
            <v>46161</v>
          </cell>
          <cell r="AH171" t="str">
            <v>Brett Hill Construction, Inc</v>
          </cell>
          <cell r="AI171" t="str">
            <v/>
          </cell>
        </row>
        <row r="172">
          <cell r="C172">
            <v>90809</v>
          </cell>
          <cell r="D172" t="str">
            <v/>
          </cell>
          <cell r="E172" t="str">
            <v>2002</v>
          </cell>
          <cell r="F172" t="str">
            <v>Deposit</v>
          </cell>
          <cell r="G172" t="str">
            <v>Deposit Collected</v>
          </cell>
          <cell r="H172" t="str">
            <v>No</v>
          </cell>
          <cell r="I172" t="str">
            <v>Trevor Benthagen, Efrain Zarate</v>
          </cell>
          <cell r="J172" t="str">
            <v/>
          </cell>
          <cell r="K172" t="str">
            <v>https://panda-windows-and-doors.monday.com/protected_static/21046287/resources/2982033624/BP-70M55_20260519_135534.pdf</v>
          </cell>
          <cell r="L172" t="str">
            <v>https://panda-windows-and-doors.monday.com/protected_static/21046287/resources/2982037486/BP-70M55_20260519_140544.pdf</v>
          </cell>
          <cell r="M172" t="str">
            <v/>
          </cell>
          <cell r="N172" t="str">
            <v>https://panda-windows-and-doors.monday.com/protected_static/21046287/resources/2984117289/90809 Deposit Invoice.pdf</v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>Sent to Engineering</v>
          </cell>
          <cell r="T172" t="str">
            <v/>
          </cell>
          <cell r="U172">
            <v>44295.08</v>
          </cell>
          <cell r="V172">
            <v>44296.09</v>
          </cell>
          <cell r="W172" t="str">
            <v>Annalene Conde Jun 10, 2026 2:02 PM</v>
          </cell>
          <cell r="X172" t="str">
            <v>2026-05-08 09:00</v>
          </cell>
          <cell r="Y172">
            <v>46161</v>
          </cell>
          <cell r="Z172" t="str">
            <v/>
          </cell>
          <cell r="AA172">
            <v>46161</v>
          </cell>
          <cell r="AB172" t="str">
            <v>Amit Iarochevsky May 19, 2026 3:03 PM</v>
          </cell>
          <cell r="AC172">
            <v>46162</v>
          </cell>
          <cell r="AD172">
            <v>46162</v>
          </cell>
          <cell r="AE172" t="str">
            <v/>
          </cell>
          <cell r="AF172" t="str">
            <v/>
          </cell>
          <cell r="AG172" t="str">
            <v/>
          </cell>
          <cell r="AH172" t="str">
            <v>Joey Pecaro</v>
          </cell>
          <cell r="AI172" t="str">
            <v/>
          </cell>
        </row>
        <row r="173">
          <cell r="C173">
            <v>90686</v>
          </cell>
          <cell r="D173" t="str">
            <v/>
          </cell>
          <cell r="E173" t="str">
            <v>1874</v>
          </cell>
          <cell r="F173" t="str">
            <v>Deposit</v>
          </cell>
          <cell r="G173" t="str">
            <v>Deposit Collected</v>
          </cell>
          <cell r="H173" t="str">
            <v>No</v>
          </cell>
          <cell r="I173" t="str">
            <v>Efrain Zarate, Trevor Benthagen</v>
          </cell>
          <cell r="J173" t="str">
            <v/>
          </cell>
          <cell r="K173" t="str">
            <v>https://panda-windows-and-doors.monday.com/protected_static/21046287/resources/2965052070/Q#90686 - Saenz (1874).pdf</v>
          </cell>
          <cell r="L173" t="str">
            <v>https://panda-windows-and-doors.monday.com/protected_static/21046287/resources/2965052189/BP-70M55_20260512_094727.pdf</v>
          </cell>
          <cell r="M173" t="str">
            <v/>
          </cell>
          <cell r="N173" t="str">
            <v>https://panda-windows-and-doors.monday.com/protected_static/21046287/resources/2966083154/90686 Deposit Invoice.pdf</v>
          </cell>
          <cell r="O173" t="str">
            <v/>
          </cell>
          <cell r="P173" t="str">
            <v/>
          </cell>
          <cell r="Q173" t="str">
            <v/>
          </cell>
          <cell r="R173" t="str">
            <v>https://panda-windows-and-doors.monday.com/protected_static/21046287/resources/3050000889/MF 5350 Q90686 SAENZ  - B.O.M.pdf, https://panda-windows-and-doors.monday.com/protected_static/21046287/resources/3050000883/MF 5350 Q90686 SAENZ  - CUTLIST (GINERI).pdf, https://panda-windows-and-doors.monday.com/protected_static/21046287/resources/3050000883/MF 5350 Q90686 SAENZ  - CUTLIST (GINERI).pdf, https://panda-windows-and-doors.monday.com/protected_static/21046287/resources/3050000929/MF 5350 Q90686 SAENZ  - OPT.pdf, https://panda-windows-and-doors.monday.com/protected_static/21046287/resources/3050000907/Q90686 SAENZ - CUTLIST (MANUAL).pdf</v>
          </cell>
          <cell r="S173" t="str">
            <v>Cut Sheets Received + Approved</v>
          </cell>
          <cell r="T173" t="str">
            <v/>
          </cell>
          <cell r="U173">
            <v>10685.52</v>
          </cell>
          <cell r="V173">
            <v>12545.93</v>
          </cell>
          <cell r="W173" t="str">
            <v>Annalene Conde Jun 10, 2026 2:02 PM</v>
          </cell>
          <cell r="X173" t="str">
            <v>2026-05-04 00:00</v>
          </cell>
          <cell r="Y173">
            <v>46154</v>
          </cell>
          <cell r="Z173" t="str">
            <v/>
          </cell>
          <cell r="AA173">
            <v>46154</v>
          </cell>
          <cell r="AB173" t="str">
            <v>Amit Iarochevsky May 12, 2026 10:46 AM</v>
          </cell>
          <cell r="AC173">
            <v>46154</v>
          </cell>
          <cell r="AD173">
            <v>46162</v>
          </cell>
          <cell r="AE173" t="str">
            <v/>
          </cell>
          <cell r="AF173" t="str">
            <v/>
          </cell>
          <cell r="AG173" t="str">
            <v/>
          </cell>
          <cell r="AH173" t="str">
            <v>Triple R Construction, Inc.</v>
          </cell>
          <cell r="AI173" t="str">
            <v/>
          </cell>
        </row>
        <row r="174">
          <cell r="C174">
            <v>90930</v>
          </cell>
          <cell r="D174" t="str">
            <v/>
          </cell>
          <cell r="E174" t="str">
            <v>2148</v>
          </cell>
          <cell r="F174" t="str">
            <v>Deposit</v>
          </cell>
          <cell r="G174" t="str">
            <v>Deposit Collected</v>
          </cell>
          <cell r="H174" t="str">
            <v>No</v>
          </cell>
          <cell r="I174" t="str">
            <v>Sean Torre</v>
          </cell>
          <cell r="J174" t="str">
            <v/>
          </cell>
          <cell r="K174" t="str">
            <v>https://panda-windows-and-doors.monday.com/protected_static/21046287/resources/2982142763/Panda Sales Order 2148 -RK.pdf</v>
          </cell>
          <cell r="L174" t="str">
            <v>https://panda-windows-and-doors.monday.com/protected_static/21046287/resources/2982142809/CamScanner 5-19-26 14.31.pdf</v>
          </cell>
          <cell r="M174" t="str">
            <v/>
          </cell>
          <cell r="N174" t="str">
            <v>https://panda-windows-and-doors.monday.com/protected_static/21046287/resources/2987824255/90930 Deposit Invoice.pdf</v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>Sent to Engineering</v>
          </cell>
          <cell r="T174" t="str">
            <v/>
          </cell>
          <cell r="U174">
            <v>28888.91</v>
          </cell>
          <cell r="V174">
            <v>33361.629999999997</v>
          </cell>
          <cell r="W174" t="str">
            <v>Annalene Conde Jun 10, 2026 2:02 PM</v>
          </cell>
          <cell r="X174" t="str">
            <v>2026-05-19 00:00</v>
          </cell>
          <cell r="Y174">
            <v>46161</v>
          </cell>
          <cell r="Z174" t="str">
            <v/>
          </cell>
          <cell r="AA174">
            <v>46161</v>
          </cell>
          <cell r="AB174" t="str">
            <v>Amit Iarochevsky May 19, 2026 3:54 PM</v>
          </cell>
          <cell r="AC174">
            <v>46162</v>
          </cell>
          <cell r="AD174">
            <v>46163</v>
          </cell>
          <cell r="AE174" t="str">
            <v/>
          </cell>
          <cell r="AF174" t="str">
            <v/>
          </cell>
          <cell r="AG174" t="str">
            <v/>
          </cell>
          <cell r="AH174" t="str">
            <v>Lawther Remodel</v>
          </cell>
          <cell r="AI174" t="str">
            <v/>
          </cell>
        </row>
        <row r="175">
          <cell r="C175">
            <v>90716</v>
          </cell>
          <cell r="D175" t="str">
            <v/>
          </cell>
          <cell r="E175" t="str">
            <v/>
          </cell>
          <cell r="F175" t="str">
            <v>Deposit</v>
          </cell>
          <cell r="G175" t="str">
            <v>Deposit Collected</v>
          </cell>
          <cell r="H175" t="str">
            <v>No</v>
          </cell>
          <cell r="I175" t="str">
            <v>Avi Shoshan</v>
          </cell>
          <cell r="J175" t="str">
            <v/>
          </cell>
          <cell r="K175" t="str">
            <v>https://panda-windows-and-doors.monday.com/protected_static/21046287/resources/2971402660/Signed Proposal.pdf</v>
          </cell>
          <cell r="L175" t="str">
            <v>https://panda-windows-and-doors.monday.com/protected_static/21046287/resources/2971404656/BP-70M55_20260514_101504.pdf</v>
          </cell>
          <cell r="M175" t="str">
            <v/>
          </cell>
          <cell r="N175" t="str">
            <v>https://panda-windows-and-doors.monday.com/protected_static/21046287/resources/2973294126/90716 Deposit Invoice.pdf</v>
          </cell>
          <cell r="O175" t="str">
            <v/>
          </cell>
          <cell r="P175" t="str">
            <v/>
          </cell>
          <cell r="Q175" t="str">
            <v/>
          </cell>
          <cell r="R175" t="str">
            <v>https://panda-windows-and-doors.monday.com/protected_static/21046287/resources/3043309727/Q90716 GEORGE PIVOT DOOR &amp; TRAPEZOID - B.O.M.pdf, https://panda-windows-and-doors.monday.com/protected_static/21046287/resources/3043309874/Q90716 GEORGE PIVOT DOOR &amp; TRAPEZOID - CUTLIST (MANUAL).pdf</v>
          </cell>
          <cell r="S175" t="str">
            <v>In Production</v>
          </cell>
          <cell r="T175" t="str">
            <v/>
          </cell>
          <cell r="U175">
            <v>11932</v>
          </cell>
          <cell r="V175">
            <v>13929.53</v>
          </cell>
          <cell r="W175" t="str">
            <v>Annalene Conde Jun 10, 2026 2:02 PM</v>
          </cell>
          <cell r="X175" t="str">
            <v>2026-05-14 00:00</v>
          </cell>
          <cell r="Y175">
            <v>46156</v>
          </cell>
          <cell r="Z175" t="str">
            <v/>
          </cell>
          <cell r="AA175">
            <v>46156</v>
          </cell>
          <cell r="AB175" t="str">
            <v>Amit Iarochevsky May 14, 2026 1:08 PM</v>
          </cell>
          <cell r="AC175">
            <v>46157</v>
          </cell>
          <cell r="AD175">
            <v>46163</v>
          </cell>
          <cell r="AE175" t="str">
            <v/>
          </cell>
          <cell r="AF175" t="str">
            <v/>
          </cell>
          <cell r="AG175" t="str">
            <v/>
          </cell>
          <cell r="AH175" t="str">
            <v>George Yousefi</v>
          </cell>
          <cell r="AI175" t="str">
            <v/>
          </cell>
        </row>
        <row r="176">
          <cell r="C176">
            <v>90688</v>
          </cell>
          <cell r="D176" t="str">
            <v/>
          </cell>
          <cell r="E176" t="str">
            <v>Gineri</v>
          </cell>
          <cell r="F176" t="str">
            <v>Deposit</v>
          </cell>
          <cell r="G176" t="str">
            <v>Deposit Collected</v>
          </cell>
          <cell r="H176" t="str">
            <v>No</v>
          </cell>
          <cell r="I176" t="str">
            <v>Trevor Benthagen, Efrain Zarate</v>
          </cell>
          <cell r="J176" t="str">
            <v/>
          </cell>
          <cell r="K176" t="str">
            <v>https://panda-windows-and-doors.monday.com/protected_static/21046287/resources/2985771409/BP-70M55_20260520_165846.pdf</v>
          </cell>
          <cell r="L176" t="str">
            <v>https://panda-windows-and-doors.monday.com/protected_static/21046287/resources/2987637154/BP-70M55_20260521_085253.pdf</v>
          </cell>
          <cell r="M176" t="str">
            <v/>
          </cell>
          <cell r="N176" t="str">
            <v>https://panda-windows-and-doors.monday.com/protected_static/21046287/resources/2988104346/90688 Deposit Invoice.pdf</v>
          </cell>
          <cell r="O176" t="str">
            <v/>
          </cell>
          <cell r="P176" t="str">
            <v/>
          </cell>
          <cell r="Q176" t="str">
            <v/>
          </cell>
          <cell r="R176" t="str">
            <v>https://panda-windows-and-doors.monday.com/protected_static/21046287/resources/3034898306/Q90688 1821 PINON TREE DR. - B.O.M.pdf, https://panda-windows-and-doors.monday.com/protected_static/21046287/resources/3034898392/Q90688 1821 PINON TREE DR. - CUTLIST (MANUAL).pdf</v>
          </cell>
          <cell r="S176" t="str">
            <v>In Production</v>
          </cell>
          <cell r="T176" t="str">
            <v/>
          </cell>
          <cell r="U176">
            <v>11699</v>
          </cell>
          <cell r="V176">
            <v>13478.09</v>
          </cell>
          <cell r="W176" t="str">
            <v>Annalene Conde Jun 10, 2026 2:02 PM</v>
          </cell>
          <cell r="X176" t="str">
            <v>2026-05-05 00:00</v>
          </cell>
          <cell r="Y176">
            <v>46162</v>
          </cell>
          <cell r="Z176" t="str">
            <v/>
          </cell>
          <cell r="AA176">
            <v>46163</v>
          </cell>
          <cell r="AB176" t="str">
            <v>Amit Iarochevsky May 20, 2026 5:57 PM</v>
          </cell>
          <cell r="AC176">
            <v>46163</v>
          </cell>
          <cell r="AD176">
            <v>46163</v>
          </cell>
          <cell r="AE176" t="str">
            <v/>
          </cell>
          <cell r="AF176" t="str">
            <v/>
          </cell>
          <cell r="AG176" t="str">
            <v/>
          </cell>
          <cell r="AH176" t="str">
            <v>Dynamic Builders LHC / David Apostolovski</v>
          </cell>
          <cell r="AI176" t="str">
            <v/>
          </cell>
        </row>
        <row r="177">
          <cell r="C177">
            <v>90293</v>
          </cell>
          <cell r="D177" t="str">
            <v/>
          </cell>
          <cell r="E177" t="str">
            <v>1381</v>
          </cell>
          <cell r="F177" t="str">
            <v>Deposit</v>
          </cell>
          <cell r="G177" t="str">
            <v>Deposit Collected</v>
          </cell>
          <cell r="H177" t="str">
            <v>No</v>
          </cell>
          <cell r="I177" t="str">
            <v>Stefan Monetta</v>
          </cell>
          <cell r="J177" t="str">
            <v/>
          </cell>
          <cell r="K177" t="str">
            <v>https://panda-windows-and-doors.monday.com/protected_static/21046287/resources/2965601910/Q90293 - BCC (Signed).pdf</v>
          </cell>
          <cell r="L177" t="str">
            <v>https://panda-windows-and-doors.monday.com/protected_static/21046287/resources/2965603297/BP-70M55_20260512_111234.pdf</v>
          </cell>
          <cell r="M177" t="str">
            <v/>
          </cell>
          <cell r="N177" t="str">
            <v>https://panda-windows-and-doors.monday.com/protected_static/21046287/resources/2973473157/90293 Deposit Invoice.pdf</v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>Sent to Engineering</v>
          </cell>
          <cell r="T177" t="str">
            <v/>
          </cell>
          <cell r="U177">
            <v>17650.97</v>
          </cell>
          <cell r="V177" t="str">
            <v/>
          </cell>
          <cell r="W177" t="str">
            <v>Annalene Conde Jun 10, 2026 2:02 PM</v>
          </cell>
          <cell r="X177" t="str">
            <v>2026-05-12 00:00</v>
          </cell>
          <cell r="Y177">
            <v>46154</v>
          </cell>
          <cell r="Z177" t="str">
            <v/>
          </cell>
          <cell r="AA177">
            <v>46154</v>
          </cell>
          <cell r="AB177" t="str">
            <v>Amit Iarochevsky May 12, 2026 1:14 PM</v>
          </cell>
          <cell r="AC177">
            <v>46157</v>
          </cell>
          <cell r="AD177">
            <v>46163</v>
          </cell>
          <cell r="AE177" t="str">
            <v/>
          </cell>
          <cell r="AF177" t="str">
            <v/>
          </cell>
          <cell r="AG177" t="str">
            <v/>
          </cell>
          <cell r="AH177" t="str">
            <v>Reflection Window + Wall</v>
          </cell>
          <cell r="AI177" t="str">
            <v/>
          </cell>
        </row>
        <row r="178">
          <cell r="C178">
            <v>90873</v>
          </cell>
          <cell r="D178" t="str">
            <v/>
          </cell>
          <cell r="E178">
            <v>2064</v>
          </cell>
          <cell r="F178" t="str">
            <v>Deposit</v>
          </cell>
          <cell r="G178" t="str">
            <v>Deposit Collected</v>
          </cell>
          <cell r="H178" t="str">
            <v>No</v>
          </cell>
          <cell r="I178" t="str">
            <v>Trevor Benthagen, Efrain Zarate</v>
          </cell>
          <cell r="J178" t="str">
            <v/>
          </cell>
          <cell r="K178" t="str">
            <v>https://panda-windows-and-doors.monday.com/protected_static/21046287/resources/2985412378/Q#90873 2064  Ashler Hills Project.pdf</v>
          </cell>
          <cell r="L178" t="str">
            <v>https://panda-windows-and-doors.monday.com/protected_static/21046287/resources/2985415203/BP-70M55_20260520_134113.pdf</v>
          </cell>
          <cell r="M178" t="str">
            <v/>
          </cell>
          <cell r="N178" t="str">
            <v>https://panda-windows-and-doors.monday.com/protected_static/21046287/resources/2987402561/90873-Deposit Invoice.pdf</v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>ON HOLD</v>
          </cell>
          <cell r="T178" t="str">
            <v/>
          </cell>
          <cell r="U178">
            <v>49937.82</v>
          </cell>
          <cell r="V178">
            <v>55848.12</v>
          </cell>
          <cell r="W178" t="str">
            <v>Annalene Conde Jun 10, 2026 2:02 PM</v>
          </cell>
          <cell r="X178" t="str">
            <v/>
          </cell>
          <cell r="Y178">
            <v>46162</v>
          </cell>
          <cell r="Z178" t="str">
            <v/>
          </cell>
          <cell r="AA178">
            <v>46162</v>
          </cell>
          <cell r="AB178" t="str">
            <v>Amit Iarochevsky May 20, 2026 2:49 PM</v>
          </cell>
          <cell r="AC178">
            <v>46163</v>
          </cell>
          <cell r="AD178">
            <v>46164</v>
          </cell>
          <cell r="AE178" t="str">
            <v/>
          </cell>
          <cell r="AF178" t="str">
            <v/>
          </cell>
          <cell r="AG178" t="str">
            <v/>
          </cell>
          <cell r="AH178" t="str">
            <v>Norden Construction</v>
          </cell>
          <cell r="AI178" t="str">
            <v/>
          </cell>
        </row>
        <row r="179">
          <cell r="C179">
            <v>90840</v>
          </cell>
          <cell r="D179" t="str">
            <v/>
          </cell>
          <cell r="E179" t="str">
            <v/>
          </cell>
          <cell r="F179" t="str">
            <v>Deposit</v>
          </cell>
          <cell r="G179" t="str">
            <v>Deposit Collected</v>
          </cell>
          <cell r="H179" t="str">
            <v>No</v>
          </cell>
          <cell r="I179" t="str">
            <v>Sean Torre</v>
          </cell>
          <cell r="J179" t="str">
            <v/>
          </cell>
          <cell r="K179" t="str">
            <v>https://panda-windows-and-doors.monday.com/protected_static/21046287/resources/2977863234/Panda Sales Order 2036 (1) (2).pdf</v>
          </cell>
          <cell r="L179" t="str">
            <v>https://panda-windows-and-doors.monday.com/protected_static/21046287/resources/2977863283/CamScanner 5-18-26 09.50.pdf</v>
          </cell>
          <cell r="M179" t="str">
            <v/>
          </cell>
          <cell r="N179" t="str">
            <v>https://panda-windows-and-doors.monday.com/protected_static/21046287/resources/2978193643/90840 Deposit Invoice.pdf</v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>PM Review</v>
          </cell>
          <cell r="T179" t="str">
            <v/>
          </cell>
          <cell r="U179">
            <v>728.02</v>
          </cell>
          <cell r="V179">
            <v>728.01</v>
          </cell>
          <cell r="W179" t="str">
            <v>Annalene Conde Jun 10, 2026 2:02 PM</v>
          </cell>
          <cell r="X179" t="str">
            <v>2026-05-18 00:00</v>
          </cell>
          <cell r="Y179">
            <v>46160</v>
          </cell>
          <cell r="Z179" t="str">
            <v/>
          </cell>
          <cell r="AA179">
            <v>46160</v>
          </cell>
          <cell r="AB179" t="str">
            <v>Amit Iarochevsky May 18, 2026 11:02 AM</v>
          </cell>
          <cell r="AC179">
            <v>46160</v>
          </cell>
          <cell r="AD179">
            <v>46164</v>
          </cell>
          <cell r="AE179" t="str">
            <v/>
          </cell>
          <cell r="AF179" t="str">
            <v/>
          </cell>
          <cell r="AG179" t="str">
            <v/>
          </cell>
          <cell r="AH179" t="str">
            <v>5431 Tortuga trail - add on</v>
          </cell>
          <cell r="AI179" t="str">
            <v/>
          </cell>
        </row>
        <row r="180">
          <cell r="C180">
            <v>90271</v>
          </cell>
          <cell r="D180" t="str">
            <v/>
          </cell>
          <cell r="E180">
            <v>1359</v>
          </cell>
          <cell r="F180" t="str">
            <v>Deposit</v>
          </cell>
          <cell r="G180" t="str">
            <v>Deposit Collected</v>
          </cell>
          <cell r="H180" t="str">
            <v>No</v>
          </cell>
          <cell r="I180" t="str">
            <v>Trevor Benthagen</v>
          </cell>
          <cell r="J180" t="str">
            <v/>
          </cell>
          <cell r="K180" t="str">
            <v>https://panda-windows-and-doors.monday.com/protected_static/21046287/resources/2981793253/user@jonespg.com_20260519_110405.pdf</v>
          </cell>
          <cell r="L180" t="str">
            <v>https://panda-windows-and-doors.monday.com/protected_static/21046287/resources/2981794305/BP-70M55_20260519_124826.pdf</v>
          </cell>
          <cell r="M180" t="str">
            <v/>
          </cell>
          <cell r="N180" t="str">
            <v>https://panda-windows-and-doors.monday.com/protected_static/21046287/resources/2982126425/90271 DEPOSIT INVOICE.pdf</v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>Sent to Engineering</v>
          </cell>
          <cell r="T180" t="str">
            <v/>
          </cell>
          <cell r="U180">
            <v>7216.29</v>
          </cell>
          <cell r="V180">
            <v>465.45</v>
          </cell>
          <cell r="W180" t="str">
            <v>Annalene Conde Jun 10, 2026 2:02 PM</v>
          </cell>
          <cell r="X180" t="str">
            <v>2026-04-09 07:09</v>
          </cell>
          <cell r="Y180">
            <v>46161</v>
          </cell>
          <cell r="Z180" t="str">
            <v/>
          </cell>
          <cell r="AA180">
            <v>46161</v>
          </cell>
          <cell r="AB180" t="str">
            <v>Amit Iarochevsky May 19, 2026 1:51 PM</v>
          </cell>
          <cell r="AC180">
            <v>46161</v>
          </cell>
          <cell r="AD180">
            <v>46164</v>
          </cell>
          <cell r="AE180" t="str">
            <v/>
          </cell>
          <cell r="AF180" t="str">
            <v/>
          </cell>
          <cell r="AG180" t="str">
            <v/>
          </cell>
          <cell r="AH180" t="str">
            <v>Doug Moore</v>
          </cell>
          <cell r="AI180" t="str">
            <v/>
          </cell>
        </row>
        <row r="181">
          <cell r="C181">
            <v>89873</v>
          </cell>
          <cell r="D181" t="str">
            <v/>
          </cell>
          <cell r="E181" t="str">
            <v/>
          </cell>
          <cell r="F181" t="str">
            <v>Deposit</v>
          </cell>
          <cell r="G181" t="str">
            <v>Deposit Collected</v>
          </cell>
          <cell r="H181" t="str">
            <v>No</v>
          </cell>
          <cell r="I181" t="str">
            <v>Tyler Clark</v>
          </cell>
          <cell r="J181" t="str">
            <v/>
          </cell>
          <cell r="K181" t="str">
            <v>https://panda-windows-and-doors.monday.com/protected_static/21046287/resources/2961640836/BP-70M55_20260511_103636.pdf</v>
          </cell>
          <cell r="L181" t="str">
            <v>https://panda-windows-and-doors.monday.com/protected_static/21046287/resources/2961641623/BP-70M55_20260511_103616.pdf</v>
          </cell>
          <cell r="M181" t="str">
            <v/>
          </cell>
          <cell r="N181" t="str">
            <v>https://panda-windows-and-doors.monday.com/protected_static/21046287/resources/2965848175/89873 Deposit Invoice.pdf</v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>Sent to Engineering</v>
          </cell>
          <cell r="T181" t="str">
            <v/>
          </cell>
          <cell r="U181" t="str">
            <v/>
          </cell>
          <cell r="V181" t="str">
            <v/>
          </cell>
          <cell r="W181" t="str">
            <v>Annalene Conde Jun 10, 2026 2:02 PM</v>
          </cell>
          <cell r="X181" t="str">
            <v>2026-05-11 08:52</v>
          </cell>
          <cell r="Y181">
            <v>46153</v>
          </cell>
          <cell r="Z181" t="str">
            <v/>
          </cell>
          <cell r="AA181">
            <v>46153</v>
          </cell>
          <cell r="AB181" t="str">
            <v>Amit Iarochevsky May 11, 2026 11:40 AM</v>
          </cell>
          <cell r="AC181">
            <v>46154</v>
          </cell>
          <cell r="AD181">
            <v>46168</v>
          </cell>
          <cell r="AE181" t="str">
            <v/>
          </cell>
          <cell r="AF181" t="str">
            <v/>
          </cell>
          <cell r="AG181" t="str">
            <v/>
          </cell>
          <cell r="AH181" t="str">
            <v>Dewey Hayes</v>
          </cell>
          <cell r="AI181" t="str">
            <v/>
          </cell>
        </row>
        <row r="182">
          <cell r="C182">
            <v>90207</v>
          </cell>
          <cell r="D182" t="str">
            <v/>
          </cell>
          <cell r="E182" t="str">
            <v/>
          </cell>
          <cell r="F182" t="str">
            <v>Deposit</v>
          </cell>
          <cell r="G182" t="str">
            <v>Deposit Collected</v>
          </cell>
          <cell r="H182" t="str">
            <v>No</v>
          </cell>
          <cell r="I182" t="str">
            <v>Tyler Clark</v>
          </cell>
          <cell r="J182" t="str">
            <v/>
          </cell>
          <cell r="K182" t="str">
            <v>https://panda-windows-and-doors.monday.com/protected_static/21046287/resources/2962549929/BP-70M55_20260511_141802.pdf</v>
          </cell>
          <cell r="L182" t="str">
            <v>https://panda-windows-and-doors.monday.com/protected_static/21046287/resources/2962550386/BP-70M55_20260511_141814.pdf</v>
          </cell>
          <cell r="M182" t="str">
            <v/>
          </cell>
          <cell r="N182" t="str">
            <v>https://panda-windows-and-doors.monday.com/protected_static/21046287/resources/2977681509/90207 Deposit Invoice.pdf</v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>Sent to Engineering</v>
          </cell>
          <cell r="T182" t="str">
            <v/>
          </cell>
          <cell r="U182">
            <v>4969</v>
          </cell>
          <cell r="V182">
            <v>4970</v>
          </cell>
          <cell r="W182" t="str">
            <v>Annalene Conde Jun 10, 2026 2:02 PM</v>
          </cell>
          <cell r="X182" t="str">
            <v>2026-05-11 11:38</v>
          </cell>
          <cell r="Y182">
            <v>46153</v>
          </cell>
          <cell r="Z182" t="str">
            <v/>
          </cell>
          <cell r="AA182">
            <v>46160</v>
          </cell>
          <cell r="AB182" t="str">
            <v>Amit Iarochevsky May 11, 2026 3:18 PM</v>
          </cell>
          <cell r="AC182">
            <v>46160</v>
          </cell>
          <cell r="AD182">
            <v>46168</v>
          </cell>
          <cell r="AE182" t="str">
            <v/>
          </cell>
          <cell r="AF182" t="str">
            <v/>
          </cell>
          <cell r="AG182" t="str">
            <v/>
          </cell>
          <cell r="AH182" t="str">
            <v>Dewey Hayes</v>
          </cell>
          <cell r="AI182" t="str">
            <v/>
          </cell>
        </row>
        <row r="183">
          <cell r="C183">
            <v>87391</v>
          </cell>
          <cell r="D183" t="str">
            <v/>
          </cell>
          <cell r="E183" t="str">
            <v/>
          </cell>
          <cell r="F183" t="str">
            <v>Deposit</v>
          </cell>
          <cell r="G183" t="str">
            <v>Deposit Collected</v>
          </cell>
          <cell r="H183" t="str">
            <v>No</v>
          </cell>
          <cell r="I183" t="str">
            <v>Stefan Monetta</v>
          </cell>
          <cell r="J183" t="str">
            <v/>
          </cell>
          <cell r="K183" t="str">
            <v>https://panda-windows-and-doors.monday.com/protected_static/21046287/resources/2974061508/20260515155411723.pdf</v>
          </cell>
          <cell r="L183" t="str">
            <v>https://panda-windows-and-doors.monday.com/protected_static/21046287/resources/2974061678/BP-70M55_20260515_124426.pdf</v>
          </cell>
          <cell r="M183" t="str">
            <v/>
          </cell>
          <cell r="N183" t="str">
            <v>https://panda-windows-and-doors.monday.com/protected_static/21046287/resources/2974327774/87391 deposit invoice.pdf</v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>Sent to Engineering</v>
          </cell>
          <cell r="T183" t="str">
            <v/>
          </cell>
          <cell r="U183">
            <v>60000</v>
          </cell>
          <cell r="V183">
            <v>48590.63</v>
          </cell>
          <cell r="W183" t="str">
            <v>Annalene Conde Jun 10, 2026 2:02 PM</v>
          </cell>
          <cell r="X183" t="str">
            <v>2025-09-18 00:00</v>
          </cell>
          <cell r="Y183">
            <v>46157</v>
          </cell>
          <cell r="Z183" t="str">
            <v/>
          </cell>
          <cell r="AA183">
            <v>46157</v>
          </cell>
          <cell r="AB183" t="str">
            <v>Amit Iarochevsky May 15, 2026 1:44 PM</v>
          </cell>
          <cell r="AC183">
            <v>46157</v>
          </cell>
          <cell r="AD183">
            <v>46168</v>
          </cell>
          <cell r="AE183" t="str">
            <v/>
          </cell>
          <cell r="AF183" t="str">
            <v/>
          </cell>
          <cell r="AG183" t="str">
            <v/>
          </cell>
          <cell r="AH183" t="str">
            <v>HBS, Inc.</v>
          </cell>
          <cell r="AI183" t="str">
            <v/>
          </cell>
        </row>
        <row r="184">
          <cell r="C184">
            <v>91035</v>
          </cell>
          <cell r="D184" t="str">
            <v/>
          </cell>
          <cell r="E184">
            <v>2245</v>
          </cell>
          <cell r="F184" t="str">
            <v>Deposit</v>
          </cell>
          <cell r="G184" t="str">
            <v>Deposit Collected</v>
          </cell>
          <cell r="H184" t="str">
            <v>No</v>
          </cell>
          <cell r="I184" t="str">
            <v>Trevor Benthagen</v>
          </cell>
          <cell r="J184" t="str">
            <v/>
          </cell>
          <cell r="K184" t="str">
            <v>https://panda-windows-and-doors.monday.com/protected_static/21046287/resources/2996204436/BP-70M55_20260526_085248.pdf</v>
          </cell>
          <cell r="L184" t="str">
            <v>https://panda-windows-and-doors.monday.com/protected_static/21046287/resources/2996204775/BP-70M55_20260526_085300.pdf</v>
          </cell>
          <cell r="M184" t="str">
            <v/>
          </cell>
          <cell r="N184" t="str">
            <v>https://panda-windows-and-doors.monday.com/protected_static/21046287/resources/2996416371/91035 Deposit Invoice.pdf</v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>Sent to Engineering</v>
          </cell>
          <cell r="T184" t="str">
            <v/>
          </cell>
          <cell r="U184">
            <v>19766.41</v>
          </cell>
          <cell r="V184">
            <v>22826.9</v>
          </cell>
          <cell r="W184" t="str">
            <v>Annalene Conde Jun 10, 2026 2:02 PM</v>
          </cell>
          <cell r="X184" t="str">
            <v>2026-05-24 00:00</v>
          </cell>
          <cell r="Y184">
            <v>46168</v>
          </cell>
          <cell r="Z184" t="str">
            <v/>
          </cell>
          <cell r="AA184">
            <v>46168</v>
          </cell>
          <cell r="AB184" t="str">
            <v>Amit Iarochevsky May 26, 2026 10:04 AM</v>
          </cell>
          <cell r="AC184">
            <v>46168</v>
          </cell>
          <cell r="AD184">
            <v>46169</v>
          </cell>
          <cell r="AE184" t="str">
            <v/>
          </cell>
          <cell r="AF184" t="str">
            <v/>
          </cell>
          <cell r="AG184" t="str">
            <v/>
          </cell>
          <cell r="AH184" t="str">
            <v>Andrew Mabrouk</v>
          </cell>
          <cell r="AI184" t="str">
            <v/>
          </cell>
        </row>
        <row r="185">
          <cell r="C185">
            <v>90882</v>
          </cell>
          <cell r="D185" t="str">
            <v/>
          </cell>
          <cell r="E185" t="str">
            <v/>
          </cell>
          <cell r="F185" t="str">
            <v>Deposit</v>
          </cell>
          <cell r="G185" t="str">
            <v>Deposit Collected</v>
          </cell>
          <cell r="H185" t="str">
            <v>No</v>
          </cell>
          <cell r="I185" t="str">
            <v>Sean Torre</v>
          </cell>
          <cell r="J185" t="str">
            <v/>
          </cell>
          <cell r="K185" t="str">
            <v>https://panda-windows-and-doors.monday.com/protected_static/21046287/resources/2984248610/BP-70M55_20260520_083326.pdf</v>
          </cell>
          <cell r="L185" t="str">
            <v>https://panda-windows-and-doors.monday.com/protected_static/21046287/resources/2982150691/CamScanner 5-19-26 14.37.pdf</v>
          </cell>
          <cell r="M185" t="str">
            <v/>
          </cell>
          <cell r="N185" t="str">
            <v>https://panda-windows-and-doors.monday.com/protected_static/21046287/resources/2984381079/90882 Deposit Invoice.pdf</v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>Receive Signed  Drawings</v>
          </cell>
          <cell r="T185" t="str">
            <v/>
          </cell>
          <cell r="U185">
            <v>6981.39</v>
          </cell>
          <cell r="V185">
            <v>6981.38</v>
          </cell>
          <cell r="W185" t="str">
            <v>Annalene Conde Jun 10, 2026 2:02 PM</v>
          </cell>
          <cell r="X185" t="str">
            <v>2026-05-19 00:00</v>
          </cell>
          <cell r="Y185">
            <v>46161</v>
          </cell>
          <cell r="Z185" t="str">
            <v/>
          </cell>
          <cell r="AA185">
            <v>46161</v>
          </cell>
          <cell r="AB185" t="str">
            <v>Amit Iarochevsky May 19, 2026 3:58 PM</v>
          </cell>
          <cell r="AC185">
            <v>46162</v>
          </cell>
          <cell r="AD185">
            <v>46169</v>
          </cell>
          <cell r="AE185" t="str">
            <v/>
          </cell>
          <cell r="AF185" t="str">
            <v/>
          </cell>
          <cell r="AG185" t="str">
            <v/>
          </cell>
          <cell r="AH185" t="str">
            <v>4574 Country</v>
          </cell>
          <cell r="AI185" t="str">
            <v/>
          </cell>
        </row>
        <row r="186">
          <cell r="C186">
            <v>90987</v>
          </cell>
          <cell r="D186" t="str">
            <v/>
          </cell>
          <cell r="E186">
            <v>2189</v>
          </cell>
          <cell r="F186" t="str">
            <v>Deposit</v>
          </cell>
          <cell r="G186" t="str">
            <v>Deposit Collected</v>
          </cell>
          <cell r="H186" t="str">
            <v>No</v>
          </cell>
          <cell r="I186" t="str">
            <v>Trevor Benthagen, Efrain Zarate</v>
          </cell>
          <cell r="J186" t="str">
            <v/>
          </cell>
          <cell r="K186" t="str">
            <v>https://panda-windows-and-doors.monday.com/protected_static/21046287/resources/3001917026/Q#90987 Bono LTS.30_signed (1).pdf</v>
          </cell>
          <cell r="L186" t="str">
            <v>https://panda-windows-and-doors.monday.com/protected_static/21046287/resources/3001927558/BP-70M55_20260527_152354.pdf</v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>Sent to Engineering</v>
          </cell>
          <cell r="T186" t="str">
            <v/>
          </cell>
          <cell r="U186">
            <v>28000</v>
          </cell>
          <cell r="V186" t="str">
            <v/>
          </cell>
          <cell r="W186" t="str">
            <v>Annalene Conde Jun 10, 2026 2:02 PM</v>
          </cell>
          <cell r="X186" t="str">
            <v>2026-05-20 09:00</v>
          </cell>
          <cell r="Y186">
            <v>46169</v>
          </cell>
          <cell r="Z186" t="str">
            <v/>
          </cell>
          <cell r="AA186">
            <v>46169</v>
          </cell>
          <cell r="AB186" t="str">
            <v>Amit Iarochevsky May 27, 2026 4:24 PM</v>
          </cell>
          <cell r="AC186" t="str">
            <v/>
          </cell>
          <cell r="AD186">
            <v>46170</v>
          </cell>
          <cell r="AE186" t="str">
            <v/>
          </cell>
          <cell r="AF186" t="str">
            <v/>
          </cell>
          <cell r="AG186" t="str">
            <v/>
          </cell>
          <cell r="AH186" t="str">
            <v>JDP Associates</v>
          </cell>
          <cell r="AI186" t="str">
            <v/>
          </cell>
        </row>
        <row r="187">
          <cell r="C187">
            <v>90031</v>
          </cell>
          <cell r="D187" t="str">
            <v/>
          </cell>
          <cell r="E187" t="str">
            <v/>
          </cell>
          <cell r="F187" t="str">
            <v>Deposit</v>
          </cell>
          <cell r="G187" t="str">
            <v>Deposit Collected</v>
          </cell>
          <cell r="H187" t="str">
            <v>No</v>
          </cell>
          <cell r="I187" t="str">
            <v>Derrick McCall</v>
          </cell>
          <cell r="J187" t="str">
            <v/>
          </cell>
          <cell r="K187" t="str">
            <v>https://panda-windows-and-doors.monday.com/protected_static/21046287/resources/2967899543/Scan2026-05-12_123428.pdf</v>
          </cell>
          <cell r="L187" t="str">
            <v>https://panda-windows-and-doors.monday.com/protected_static/21046287/resources/2967896680/BP-70M55_20260513_082649.pdf</v>
          </cell>
          <cell r="M187" t="str">
            <v/>
          </cell>
          <cell r="N187" t="str">
            <v>https://panda-windows-and-doors.monday.com/protected_static/21046287/resources/2968259208/90031 DEPOSIT INVOICE.pdf</v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>Sent to Engineering</v>
          </cell>
          <cell r="T187" t="str">
            <v/>
          </cell>
          <cell r="U187">
            <v>80668</v>
          </cell>
          <cell r="V187">
            <v>94398.12</v>
          </cell>
          <cell r="W187" t="str">
            <v>Annalene Conde Jun 10, 2026 2:02 PM</v>
          </cell>
          <cell r="X187" t="str">
            <v>2026-03-25 00:00</v>
          </cell>
          <cell r="Y187">
            <v>46155</v>
          </cell>
          <cell r="Z187" t="str">
            <v/>
          </cell>
          <cell r="AA187">
            <v>46155</v>
          </cell>
          <cell r="AB187" t="str">
            <v>Amit Iarochevsky May 13, 2026 9:44 AM</v>
          </cell>
          <cell r="AC187">
            <v>46155</v>
          </cell>
          <cell r="AD187">
            <v>46170</v>
          </cell>
          <cell r="AE187" t="str">
            <v/>
          </cell>
          <cell r="AF187" t="str">
            <v/>
          </cell>
          <cell r="AG187" t="str">
            <v/>
          </cell>
          <cell r="AH187" t="str">
            <v>Velocity Glazing</v>
          </cell>
          <cell r="AI187" t="str">
            <v/>
          </cell>
        </row>
        <row r="188">
          <cell r="C188">
            <v>90429</v>
          </cell>
          <cell r="D188" t="str">
            <v/>
          </cell>
          <cell r="E188" t="str">
            <v/>
          </cell>
          <cell r="F188" t="str">
            <v>Deposit</v>
          </cell>
          <cell r="G188" t="str">
            <v>Deposit Collected</v>
          </cell>
          <cell r="H188" t="str">
            <v>No</v>
          </cell>
          <cell r="I188" t="str">
            <v>Sean Torre</v>
          </cell>
          <cell r="J188" t="str">
            <v/>
          </cell>
          <cell r="K188" t="str">
            <v>https://panda-windows-and-doors.monday.com/protected_static/21046287/resources/2999980748/Panda Sales Order 2113 (2) (1).pdf</v>
          </cell>
          <cell r="L188" t="str">
            <v>https://panda-windows-and-doors.monday.com/protected_static/21046287/resources/2999981625/CamScanner 5-27-26 08.56.pdf</v>
          </cell>
          <cell r="M188" t="str">
            <v/>
          </cell>
          <cell r="N188" t="str">
            <v>https://panda-windows-and-doors.monday.com/protected_static/21046287/resources/3000027198/90429 Deposit Invoice Revised 001.pdf</v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>Sent to Engineering</v>
          </cell>
          <cell r="T188" t="str">
            <v/>
          </cell>
          <cell r="U188">
            <v>17956.509999999998</v>
          </cell>
          <cell r="V188">
            <v>17956.5</v>
          </cell>
          <cell r="W188" t="str">
            <v>Annalene Conde Jun 10, 2026 2:02 PM</v>
          </cell>
          <cell r="X188" t="str">
            <v>2026-05-19 00:00</v>
          </cell>
          <cell r="Y188">
            <v>46161</v>
          </cell>
          <cell r="Z188" t="str">
            <v/>
          </cell>
          <cell r="AA188">
            <v>46161</v>
          </cell>
          <cell r="AB188" t="str">
            <v>Amit Iarochevsky May 19, 2026 3:57 PM</v>
          </cell>
          <cell r="AC188">
            <v>46168</v>
          </cell>
          <cell r="AD188">
            <v>46170</v>
          </cell>
          <cell r="AE188" t="str">
            <v/>
          </cell>
          <cell r="AF188" t="str">
            <v/>
          </cell>
          <cell r="AG188" t="str">
            <v/>
          </cell>
          <cell r="AH188" t="str">
            <v>235 Oak</v>
          </cell>
          <cell r="AI188" t="str">
            <v/>
          </cell>
        </row>
        <row r="189">
          <cell r="C189">
            <v>89539</v>
          </cell>
          <cell r="D189" t="str">
            <v/>
          </cell>
          <cell r="E189" t="str">
            <v/>
          </cell>
          <cell r="F189" t="str">
            <v>Deposit</v>
          </cell>
          <cell r="G189" t="str">
            <v>Deposit Collected</v>
          </cell>
          <cell r="H189" t="str">
            <v>No</v>
          </cell>
          <cell r="I189" t="str">
            <v>Derrick McCall</v>
          </cell>
          <cell r="J189" t="str">
            <v/>
          </cell>
          <cell r="K189" t="str">
            <v>https://panda-windows-and-doors.monday.com/protected_static/21046287/resources/2983777733/125758VT_ PANDA Sliding Door.pdf</v>
          </cell>
          <cell r="L189" t="str">
            <v>https://panda-windows-and-doors.monday.com/protected_static/21046287/resources/2983750223/BP-70M55_20260519_151806.pdf</v>
          </cell>
          <cell r="M189" t="str">
            <v/>
          </cell>
          <cell r="N189" t="str">
            <v>https://panda-windows-and-doors.monday.com/protected_static/21046287/resources/2984349803/89539 Deposit Invoice.pdf</v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>Pending Deposit</v>
          </cell>
          <cell r="T189" t="str">
            <v/>
          </cell>
          <cell r="U189">
            <v>32606</v>
          </cell>
          <cell r="V189">
            <v>38666.6</v>
          </cell>
          <cell r="W189" t="str">
            <v>Annalene Conde Jun 10, 2026 2:02 PM</v>
          </cell>
          <cell r="X189" t="str">
            <v>2026-02-24 00:00</v>
          </cell>
          <cell r="Y189">
            <v>46162</v>
          </cell>
          <cell r="Z189" t="str">
            <v/>
          </cell>
          <cell r="AA189">
            <v>46162</v>
          </cell>
          <cell r="AB189" t="str">
            <v>Amit Iarochevsky May 20, 2026 7:53 AM</v>
          </cell>
          <cell r="AC189">
            <v>46162</v>
          </cell>
          <cell r="AD189">
            <v>46170</v>
          </cell>
          <cell r="AE189" t="str">
            <v/>
          </cell>
          <cell r="AF189" t="str">
            <v/>
          </cell>
          <cell r="AG189" t="str">
            <v/>
          </cell>
          <cell r="AH189" t="str">
            <v>Giroux Glass</v>
          </cell>
          <cell r="AI189" t="str">
            <v/>
          </cell>
        </row>
        <row r="190">
          <cell r="C190">
            <v>90742</v>
          </cell>
          <cell r="D190" t="str">
            <v/>
          </cell>
          <cell r="E190" t="str">
            <v/>
          </cell>
          <cell r="F190" t="str">
            <v>Deposit</v>
          </cell>
          <cell r="G190" t="str">
            <v>Deposit Collected</v>
          </cell>
          <cell r="H190" t="str">
            <v>No</v>
          </cell>
          <cell r="I190" t="str">
            <v>Spencer Anderson</v>
          </cell>
          <cell r="J190" t="str">
            <v/>
          </cell>
          <cell r="K190" t="str">
            <v>https://panda-windows-and-doors.monday.com/protected_static/21046287/resources/2987652594/SLIDER V02 PANDA 1930.pdf</v>
          </cell>
          <cell r="L190" t="str">
            <v>https://panda-windows-and-doors.monday.com/protected_static/21046287/resources/2987657432/BP-70M55_20260520_101140.pdf</v>
          </cell>
          <cell r="M190" t="str">
            <v/>
          </cell>
          <cell r="N190" t="str">
            <v>https://panda-windows-and-doors.monday.com/protected_static/21046287/resources/2987695688/90742 Deposit Invoice.pdf</v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>In Production</v>
          </cell>
          <cell r="T190" t="str">
            <v/>
          </cell>
          <cell r="U190">
            <v>4275.6099999999997</v>
          </cell>
          <cell r="V190">
            <v>4275.6099999999997</v>
          </cell>
          <cell r="W190" t="str">
            <v>Annalene Conde Jun 10, 2026 2:02 PM</v>
          </cell>
          <cell r="X190" t="str">
            <v/>
          </cell>
          <cell r="Y190">
            <v>46162</v>
          </cell>
          <cell r="Z190" t="str">
            <v/>
          </cell>
          <cell r="AA190">
            <v>46163</v>
          </cell>
          <cell r="AB190" t="str">
            <v>Annalene Conde May 20, 2026 10:46 AM</v>
          </cell>
          <cell r="AC190">
            <v>46163</v>
          </cell>
          <cell r="AD190">
            <v>46170</v>
          </cell>
          <cell r="AE190" t="str">
            <v/>
          </cell>
          <cell r="AF190" t="str">
            <v/>
          </cell>
          <cell r="AG190" t="str">
            <v/>
          </cell>
          <cell r="AH190" t="str">
            <v>Vivien Withington</v>
          </cell>
          <cell r="AI190" t="str">
            <v/>
          </cell>
        </row>
        <row r="191">
          <cell r="C191">
            <v>88512</v>
          </cell>
          <cell r="D191" t="str">
            <v/>
          </cell>
          <cell r="E191" t="str">
            <v/>
          </cell>
          <cell r="F191" t="str">
            <v>Deposit</v>
          </cell>
          <cell r="G191" t="str">
            <v>Deposit Collected</v>
          </cell>
          <cell r="H191" t="str">
            <v>No</v>
          </cell>
          <cell r="I191" t="str">
            <v>Derrick McCall</v>
          </cell>
          <cell r="J191" t="str">
            <v/>
          </cell>
          <cell r="K191" t="str">
            <v>https://panda-windows-and-doors.monday.com/protected_static/21046287/resources/2884328839/20260407165037464.pdf, https://panda-windows-and-doors.monday.com/protected_static/21046287/resources/2886823477/4.8.2026 Panda_QQ#88512-R01_2026.04.08_Signed.pdf</v>
          </cell>
          <cell r="L191" t="str">
            <v>https://panda-windows-and-doors.monday.com/protected_static/21046287/resources/2884328554/BP-70M55_20260407_135939.pdf, https://panda-windows-and-doors.monday.com/protected_static/21046287/resources/2886824398/4.8.2026 Revised Backer.pdf</v>
          </cell>
          <cell r="M191" t="str">
            <v/>
          </cell>
          <cell r="N191" t="str">
            <v>https://panda-windows-and-doors.monday.com/protected_static/21046287/resources/2885917040/88512 Deposit Invoice.pdf, https://panda-windows-and-doors.monday.com/protected_static/21046287/resources/2886938111/88512 Deposit Invoice - REVISED.pdf</v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>Sent to Engineering</v>
          </cell>
          <cell r="T191" t="str">
            <v/>
          </cell>
          <cell r="U191">
            <v>33240</v>
          </cell>
          <cell r="V191">
            <v>38875.17</v>
          </cell>
          <cell r="W191" t="str">
            <v>Annalene Conde Jun 10, 2026 2:02 PM</v>
          </cell>
          <cell r="X191" t="str">
            <v>2026-04-07 00:00</v>
          </cell>
          <cell r="Y191">
            <v>46119</v>
          </cell>
          <cell r="Z191" t="str">
            <v/>
          </cell>
          <cell r="AA191">
            <v>46119</v>
          </cell>
          <cell r="AB191" t="str">
            <v>Annalene Conde Apr 7, 2026 4:06 PM</v>
          </cell>
          <cell r="AC191">
            <v>46120</v>
          </cell>
          <cell r="AD191">
            <v>46171</v>
          </cell>
          <cell r="AE191" t="str">
            <v/>
          </cell>
          <cell r="AF191" t="str">
            <v/>
          </cell>
          <cell r="AG191" t="str">
            <v/>
          </cell>
          <cell r="AH191" t="str">
            <v>So Cal Glass</v>
          </cell>
          <cell r="AI191" t="str">
            <v/>
          </cell>
        </row>
        <row r="192">
          <cell r="C192">
            <v>89137</v>
          </cell>
          <cell r="D192" t="str">
            <v/>
          </cell>
          <cell r="E192" t="str">
            <v/>
          </cell>
          <cell r="F192" t="str">
            <v>Deposit</v>
          </cell>
          <cell r="G192" t="str">
            <v>Deposit Collected</v>
          </cell>
          <cell r="H192" t="str">
            <v>No</v>
          </cell>
          <cell r="I192" t="str">
            <v>Stefan Monetta</v>
          </cell>
          <cell r="J192" t="str">
            <v/>
          </cell>
          <cell r="K192" t="str">
            <v>https://panda-windows-and-doors.monday.com/protected_static/21046287/resources/2977573805/(PANDA.pdf</v>
          </cell>
          <cell r="L192" t="str">
            <v>https://panda-windows-and-doors.monday.com/protected_static/21046287/resources/2977574117/BP-70M55_20260518_082905.pdf</v>
          </cell>
          <cell r="M192" t="str">
            <v/>
          </cell>
          <cell r="N192" t="str">
            <v>https://panda-windows-and-doors.monday.com/protected_static/21046287/resources/2977710626/89137 Deposit Invoice.pdf</v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>Receive Signed  Drawings</v>
          </cell>
          <cell r="T192" t="str">
            <v/>
          </cell>
          <cell r="U192">
            <v>17698</v>
          </cell>
          <cell r="V192">
            <v>17698</v>
          </cell>
          <cell r="W192" t="str">
            <v>Annalene Conde Jun 10, 2026 2:02 PM</v>
          </cell>
          <cell r="X192" t="str">
            <v>2026-05-14 00:00</v>
          </cell>
          <cell r="Y192">
            <v>46160</v>
          </cell>
          <cell r="Z192" t="str">
            <v/>
          </cell>
          <cell r="AA192">
            <v>46160</v>
          </cell>
          <cell r="AB192" t="str">
            <v>Amit Iarochevsky May 18, 2026 9:29 AM</v>
          </cell>
          <cell r="AC192">
            <v>46160</v>
          </cell>
          <cell r="AD192">
            <v>46171</v>
          </cell>
          <cell r="AE192" t="str">
            <v/>
          </cell>
          <cell r="AF192" t="str">
            <v/>
          </cell>
          <cell r="AG192" t="str">
            <v/>
          </cell>
          <cell r="AH192" t="str">
            <v>Tuscan Iron Entries</v>
          </cell>
          <cell r="AI192" t="str">
            <v/>
          </cell>
        </row>
        <row r="193">
          <cell r="C193">
            <v>91001</v>
          </cell>
          <cell r="D193" t="str">
            <v/>
          </cell>
          <cell r="E193">
            <v>2279</v>
          </cell>
          <cell r="F193" t="str">
            <v>Deposit</v>
          </cell>
          <cell r="G193" t="str">
            <v>Deposit Collected</v>
          </cell>
          <cell r="H193" t="str">
            <v>No</v>
          </cell>
          <cell r="I193" t="str">
            <v>Trevor Benthagen, Efrain Zarate</v>
          </cell>
          <cell r="J193" t="str">
            <v/>
          </cell>
          <cell r="K193" t="str">
            <v>https://panda-windows-and-doors.monday.com/protected_static/21046287/resources/3010562625/BP-70M55_20260601_072140.pdf</v>
          </cell>
          <cell r="L193" t="str">
            <v>https://panda-windows-and-doors.monday.com/protected_static/21046287/resources/3010561678/BP-70M55_20260601_072150.pdf</v>
          </cell>
          <cell r="M193" t="str">
            <v/>
          </cell>
          <cell r="N193" t="str">
            <v>https://panda-windows-and-doors.monday.com/protected_static/21046287/resources/3010955451/91001 Deposit Invoice.pdf</v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>Sent to Engineering</v>
          </cell>
          <cell r="T193" t="str">
            <v/>
          </cell>
          <cell r="U193">
            <v>14017.3</v>
          </cell>
          <cell r="V193">
            <v>15780.98</v>
          </cell>
          <cell r="W193" t="str">
            <v>Amit Iarochevsky Jun 12, 2026 9:47 AM</v>
          </cell>
          <cell r="X193" t="str">
            <v>2026-04-21 15:25</v>
          </cell>
          <cell r="Y193">
            <v>46174</v>
          </cell>
          <cell r="Z193" t="str">
            <v/>
          </cell>
          <cell r="AA193">
            <v>46174</v>
          </cell>
          <cell r="AB193" t="str">
            <v>Amit Iarochevsky Jun 1, 2026 8:25 AM</v>
          </cell>
          <cell r="AC193">
            <v>46174</v>
          </cell>
          <cell r="AD193">
            <v>46175</v>
          </cell>
          <cell r="AE193" t="str">
            <v/>
          </cell>
          <cell r="AF193" t="str">
            <v/>
          </cell>
          <cell r="AG193" t="str">
            <v/>
          </cell>
          <cell r="AH193" t="str">
            <v>Brad Hoskins</v>
          </cell>
          <cell r="AI193" t="str">
            <v/>
          </cell>
        </row>
        <row r="194">
          <cell r="C194">
            <v>90741</v>
          </cell>
          <cell r="D194" t="str">
            <v/>
          </cell>
          <cell r="E194" t="str">
            <v/>
          </cell>
          <cell r="F194" t="str">
            <v>Deposit</v>
          </cell>
          <cell r="G194" t="str">
            <v>Deposit Collected</v>
          </cell>
          <cell r="H194" t="str">
            <v>No</v>
          </cell>
          <cell r="I194" t="str">
            <v>Spencer Anderson</v>
          </cell>
          <cell r="J194" t="str">
            <v/>
          </cell>
          <cell r="K194" t="str">
            <v>https://panda-windows-and-doors.monday.com/protected_static/21046287/resources/2990150483/Panda Sales Order 1921 (14).pdf</v>
          </cell>
          <cell r="L194" t="str">
            <v>https://panda-windows-and-doors.monday.com/protected_static/21046287/resources/2990150498/BP-70M55_20260522_071225.pdf</v>
          </cell>
          <cell r="M194" t="str">
            <v/>
          </cell>
          <cell r="N194" t="str">
            <v>https://panda-windows-and-doors.monday.com/protected_static/21046287/resources/2995978089/90741 Deposit Invoice.pdf</v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>Sent to Engineering</v>
          </cell>
          <cell r="T194" t="str">
            <v/>
          </cell>
          <cell r="U194">
            <v>15593.08</v>
          </cell>
          <cell r="V194">
            <v>15593.07</v>
          </cell>
          <cell r="W194" t="str">
            <v>Amit Iarochevsky Jun 12, 2026 9:47 AM</v>
          </cell>
          <cell r="X194" t="str">
            <v/>
          </cell>
          <cell r="Y194">
            <v>46164</v>
          </cell>
          <cell r="Z194" t="str">
            <v/>
          </cell>
          <cell r="AA194">
            <v>46168</v>
          </cell>
          <cell r="AB194" t="str">
            <v>Annalene Conde May 22, 2026 8:14 AM</v>
          </cell>
          <cell r="AC194">
            <v>46168</v>
          </cell>
          <cell r="AD194">
            <v>46175</v>
          </cell>
          <cell r="AE194" t="str">
            <v/>
          </cell>
          <cell r="AF194" t="str">
            <v/>
          </cell>
          <cell r="AG194" t="str">
            <v/>
          </cell>
          <cell r="AH194" t="str">
            <v>Steve Hernandez</v>
          </cell>
          <cell r="AI194" t="str">
            <v/>
          </cell>
        </row>
        <row r="195">
          <cell r="C195">
            <v>89458</v>
          </cell>
          <cell r="D195" t="str">
            <v/>
          </cell>
          <cell r="E195" t="str">
            <v/>
          </cell>
          <cell r="F195" t="str">
            <v>Deposit</v>
          </cell>
          <cell r="G195" t="str">
            <v>Deposit Collected</v>
          </cell>
          <cell r="H195" t="str">
            <v>No</v>
          </cell>
          <cell r="I195" t="str">
            <v>Efrain Zarate</v>
          </cell>
          <cell r="J195" t="str">
            <v/>
          </cell>
          <cell r="K195" t="str">
            <v>https://panda-windows-and-doors.monday.com/protected_static/21046287/resources/2984973741/BP-70M55_20260519_142145.pdf</v>
          </cell>
          <cell r="L195" t="str">
            <v>https://panda-windows-and-doors.monday.com/protected_static/21046287/resources/2984973403/BP-70M55_20260519_135550.pdf</v>
          </cell>
          <cell r="M195" t="str">
            <v/>
          </cell>
          <cell r="N195" t="str">
            <v>https://panda-windows-and-doors.monday.com/protected_static/21046287/resources/2984989582/89458 Deposit Invoice.pdf</v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>Sent to Engineering</v>
          </cell>
          <cell r="T195" t="str">
            <v/>
          </cell>
          <cell r="U195">
            <v>1655</v>
          </cell>
          <cell r="V195">
            <v>1812.23</v>
          </cell>
          <cell r="W195" t="str">
            <v>Amit Iarochevsky Jun 12, 2026 9:47 AM</v>
          </cell>
          <cell r="X195" t="str">
            <v>2026-02-09 08:31</v>
          </cell>
          <cell r="Y195">
            <v>46161</v>
          </cell>
          <cell r="Z195" t="str">
            <v/>
          </cell>
          <cell r="AA195">
            <v>46162</v>
          </cell>
          <cell r="AB195" t="str">
            <v>Amit Iarochevsky May 19, 2026 3:22 PM</v>
          </cell>
          <cell r="AC195">
            <v>46162</v>
          </cell>
          <cell r="AD195">
            <v>46175</v>
          </cell>
          <cell r="AE195" t="str">
            <v/>
          </cell>
          <cell r="AF195" t="str">
            <v/>
          </cell>
          <cell r="AG195" t="str">
            <v/>
          </cell>
          <cell r="AH195" t="str">
            <v>ROBERT COLAIANO</v>
          </cell>
          <cell r="AI195" t="str">
            <v/>
          </cell>
        </row>
        <row r="196">
          <cell r="C196">
            <v>83690</v>
          </cell>
          <cell r="D196">
            <v>46133</v>
          </cell>
          <cell r="E196" t="str">
            <v/>
          </cell>
          <cell r="F196" t="str">
            <v>Change Order</v>
          </cell>
          <cell r="G196" t="str">
            <v>Deposit Collected</v>
          </cell>
          <cell r="H196" t="str">
            <v>No</v>
          </cell>
          <cell r="I196" t="str">
            <v>Sean Torre</v>
          </cell>
          <cell r="J196" t="str">
            <v/>
          </cell>
          <cell r="K196" t="str">
            <v>https://panda-windows-and-doors.monday.com/protected_static/21046287/resources/2496749333/FINAL SIGNED PANDA MAIN HOUSE 10.16.2025.pdf</v>
          </cell>
          <cell r="L196" t="str">
            <v>https://panda-windows-and-doors.monday.com/protected_static/21046287/resources/2496748994/Signed Backer_Main House_83690.pdf</v>
          </cell>
          <cell r="M196" t="str">
            <v/>
          </cell>
          <cell r="N196" t="str">
            <v>https://panda-windows-and-doors.monday.com/protected_static/21046287/resources/2499695817/83690 Deposit Invoice.pdf, https://panda-windows-and-doors.monday.com/protected_static/21046287/resources/3015201326/83690 Deposit Invoice CO1.pdf</v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>Sent to Engineering</v>
          </cell>
          <cell r="T196" t="str">
            <v/>
          </cell>
          <cell r="U196">
            <v>200341.5</v>
          </cell>
          <cell r="V196">
            <v>200341.5</v>
          </cell>
          <cell r="W196" t="str">
            <v>George Bails Jun 15, 2026 10:06 AM</v>
          </cell>
          <cell r="X196" t="str">
            <v>2025-01-22 00:00</v>
          </cell>
          <cell r="Y196">
            <v>46161</v>
          </cell>
          <cell r="Z196" t="str">
            <v/>
          </cell>
          <cell r="AA196">
            <v>45950</v>
          </cell>
          <cell r="AB196" t="str">
            <v>Annalene Conde Oct 20, 2025 7:16 AM</v>
          </cell>
          <cell r="AC196">
            <v>45951</v>
          </cell>
          <cell r="AD196">
            <v>46176</v>
          </cell>
          <cell r="AE196" t="str">
            <v/>
          </cell>
          <cell r="AF196" t="str">
            <v/>
          </cell>
          <cell r="AG196" t="str">
            <v/>
          </cell>
          <cell r="AH196" t="str">
            <v>Builder's Direct Supply</v>
          </cell>
          <cell r="AI196">
            <v>46133</v>
          </cell>
        </row>
        <row r="197">
          <cell r="C197">
            <v>85791</v>
          </cell>
          <cell r="D197">
            <v>46174</v>
          </cell>
          <cell r="E197" t="str">
            <v/>
          </cell>
          <cell r="F197" t="str">
            <v>Change Order</v>
          </cell>
          <cell r="G197" t="str">
            <v>Deposit Collected</v>
          </cell>
          <cell r="H197" t="str">
            <v>No</v>
          </cell>
          <cell r="I197" t="str">
            <v>Sean Torre</v>
          </cell>
          <cell r="J197" t="str">
            <v/>
          </cell>
          <cell r="K197" t="str">
            <v>https://panda-windows-and-doors.monday.com/protected_static/21046287/resources/2496734331/FINAL SIGNED PANDA STUDIO 10.16.2025.pdf</v>
          </cell>
          <cell r="L197" t="str">
            <v>https://panda-windows-and-doors.monday.com/protected_static/21046287/resources/2496733912/Signed Backer_Studio_85791.pdf</v>
          </cell>
          <cell r="M197" t="str">
            <v/>
          </cell>
          <cell r="N197" t="str">
            <v>https://panda-windows-and-doors.monday.com/protected_static/21046287/resources/2499759860/85791 Deposit Invoice.pdf, https://panda-windows-and-doors.monday.com/protected_static/21046287/resources/3015572235/85791 deposit invoice CO1.pdf</v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>Sent to Engineering</v>
          </cell>
          <cell r="T197" t="str">
            <v/>
          </cell>
          <cell r="U197">
            <v>50992</v>
          </cell>
          <cell r="V197">
            <v>50992</v>
          </cell>
          <cell r="W197" t="str">
            <v>George Bails Jun 15, 2026 10:06 AM</v>
          </cell>
          <cell r="X197" t="str">
            <v>2025-05-28 00:00</v>
          </cell>
          <cell r="Y197">
            <v>45950</v>
          </cell>
          <cell r="Z197" t="str">
            <v/>
          </cell>
          <cell r="AA197">
            <v>45950</v>
          </cell>
          <cell r="AB197" t="str">
            <v>Annalene Conde Oct 20, 2025 7:16 AM</v>
          </cell>
          <cell r="AC197">
            <v>45951</v>
          </cell>
          <cell r="AD197">
            <v>46176</v>
          </cell>
          <cell r="AE197" t="str">
            <v/>
          </cell>
          <cell r="AF197" t="str">
            <v/>
          </cell>
          <cell r="AG197" t="str">
            <v/>
          </cell>
          <cell r="AH197" t="str">
            <v>Builder's Direct Supply</v>
          </cell>
          <cell r="AI197">
            <v>46174</v>
          </cell>
        </row>
        <row r="198">
          <cell r="C198">
            <v>88063</v>
          </cell>
          <cell r="D198" t="str">
            <v/>
          </cell>
          <cell r="E198" t="str">
            <v/>
          </cell>
          <cell r="F198" t="str">
            <v>Deposit</v>
          </cell>
          <cell r="G198" t="str">
            <v>Deposit Collected</v>
          </cell>
          <cell r="H198" t="str">
            <v>No</v>
          </cell>
          <cell r="I198" t="str">
            <v>Spencer Anderson</v>
          </cell>
          <cell r="J198" t="str">
            <v/>
          </cell>
          <cell r="K198" t="str">
            <v>https://panda-windows-and-doors.monday.com/protected_static/21046287/resources/3000446818/QQ #88063 - SPW_2115 Oaks Steel Door - 05222026 revised signed.pdf</v>
          </cell>
          <cell r="L198" t="str">
            <v>https://panda-windows-and-doors.monday.com/protected_static/21046287/resources/3000446585/BP-70M55_20260527_111312.pdf</v>
          </cell>
          <cell r="M198" t="str">
            <v/>
          </cell>
          <cell r="N198" t="str">
            <v>https://panda-windows-and-doors.monday.com/protected_static/21046287/resources/3003761614/88063 Deposit Invoice.pdf</v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>Sent to Engineering</v>
          </cell>
          <cell r="T198" t="str">
            <v/>
          </cell>
          <cell r="U198">
            <v>11453</v>
          </cell>
          <cell r="V198">
            <v>11453</v>
          </cell>
          <cell r="W198" t="str">
            <v>Amit Iarochevsky Jun 12, 2026 9:49 AM</v>
          </cell>
          <cell r="X198" t="str">
            <v/>
          </cell>
          <cell r="Y198">
            <v>46169</v>
          </cell>
          <cell r="Z198" t="str">
            <v/>
          </cell>
          <cell r="AA198">
            <v>46169</v>
          </cell>
          <cell r="AB198" t="str">
            <v>Annalene Conde May 27, 2026 12:18 PM</v>
          </cell>
          <cell r="AC198">
            <v>46169</v>
          </cell>
          <cell r="AD198">
            <v>46176</v>
          </cell>
          <cell r="AE198" t="str">
            <v/>
          </cell>
          <cell r="AF198" t="str">
            <v/>
          </cell>
          <cell r="AG198" t="str">
            <v/>
          </cell>
          <cell r="AH198" t="str">
            <v>Mike Haskell</v>
          </cell>
          <cell r="AI198" t="str">
            <v/>
          </cell>
        </row>
        <row r="199">
          <cell r="C199">
            <v>90853</v>
          </cell>
          <cell r="D199" t="str">
            <v/>
          </cell>
          <cell r="E199" t="str">
            <v/>
          </cell>
          <cell r="F199" t="str">
            <v>Deposit</v>
          </cell>
          <cell r="G199" t="str">
            <v>Deposit Collected</v>
          </cell>
          <cell r="H199" t="str">
            <v>No</v>
          </cell>
          <cell r="I199" t="str">
            <v>Sean Torre</v>
          </cell>
          <cell r="J199" t="str">
            <v/>
          </cell>
          <cell r="K199" t="str">
            <v>https://panda-windows-and-doors.monday.com/protected_static/21046287/resources/2974423033/QQ#90853 Tollway Office Building (4) 05122026 (2).pdf</v>
          </cell>
          <cell r="L199" t="str">
            <v>https://panda-windows-and-doors.monday.com/protected_static/21046287/resources/2974423066/CamScanner 5-15-26 14.57.pdf</v>
          </cell>
          <cell r="M199" t="str">
            <v/>
          </cell>
          <cell r="N199" t="str">
            <v>https://panda-windows-and-doors.monday.com/protected_static/21046287/resources/2977470923/90853 Deposit Invoice.pdf</v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>Sent to Engineering</v>
          </cell>
          <cell r="T199" t="str">
            <v/>
          </cell>
          <cell r="U199">
            <v>48347</v>
          </cell>
          <cell r="V199">
            <v>48346</v>
          </cell>
          <cell r="W199" t="str">
            <v>Amit Iarochevsky Jun 12, 2026 9:50 AM</v>
          </cell>
          <cell r="X199" t="str">
            <v>2026-05-15 00:00</v>
          </cell>
          <cell r="Y199">
            <v>46157</v>
          </cell>
          <cell r="Z199" t="str">
            <v/>
          </cell>
          <cell r="AA199">
            <v>46160</v>
          </cell>
          <cell r="AB199" t="str">
            <v>Amit Iarochevsky May 15, 2026 4:34 PM</v>
          </cell>
          <cell r="AC199">
            <v>46160</v>
          </cell>
          <cell r="AD199">
            <v>46177</v>
          </cell>
          <cell r="AE199" t="str">
            <v/>
          </cell>
          <cell r="AF199" t="str">
            <v/>
          </cell>
          <cell r="AG199" t="str">
            <v/>
          </cell>
          <cell r="AH199" t="str">
            <v>Tollway Office Building</v>
          </cell>
          <cell r="AI199" t="str">
            <v/>
          </cell>
        </row>
        <row r="200">
          <cell r="C200">
            <v>90985</v>
          </cell>
          <cell r="D200" t="str">
            <v/>
          </cell>
          <cell r="E200" t="str">
            <v/>
          </cell>
          <cell r="F200" t="str">
            <v>Deposit</v>
          </cell>
          <cell r="G200" t="str">
            <v>Deposit Collected</v>
          </cell>
          <cell r="H200" t="str">
            <v>No</v>
          </cell>
          <cell r="I200" t="str">
            <v>Derrick McCall</v>
          </cell>
          <cell r="J200" t="str">
            <v/>
          </cell>
          <cell r="K200" t="str">
            <v>https://panda-windows-and-doors.monday.com/protected_static/21046287/resources/3015555433/QQ#90985 Phase 3 Library Door 05222026.pdf</v>
          </cell>
          <cell r="L200" t="str">
            <v>https://panda-windows-and-doors.monday.com/protected_static/21046287/resources/3015554937/BP-70M55_20260602_105851.pdf</v>
          </cell>
          <cell r="M200" t="str">
            <v/>
          </cell>
          <cell r="N200" t="str">
            <v>https://panda-windows-and-doors.monday.com/protected_static/21046287/resources/3015670797/90985 Deposit Invoice.pdf</v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>Sent to Engineering</v>
          </cell>
          <cell r="T200" t="str">
            <v/>
          </cell>
          <cell r="U200">
            <v>26358</v>
          </cell>
          <cell r="V200">
            <v>30319.34</v>
          </cell>
          <cell r="W200" t="str">
            <v>Amit Iarochevsky Jun 12, 2026 9:50 AM</v>
          </cell>
          <cell r="X200" t="str">
            <v>2026-06-02 00:00</v>
          </cell>
          <cell r="Y200">
            <v>46175</v>
          </cell>
          <cell r="Z200" t="str">
            <v/>
          </cell>
          <cell r="AA200">
            <v>46175</v>
          </cell>
          <cell r="AB200" t="str">
            <v>Amit Iarochevsky Jun 2, 2026 1:05 PM</v>
          </cell>
          <cell r="AC200">
            <v>46175</v>
          </cell>
          <cell r="AD200">
            <v>46177</v>
          </cell>
          <cell r="AE200" t="str">
            <v/>
          </cell>
          <cell r="AF200" t="str">
            <v/>
          </cell>
          <cell r="AG200" t="str">
            <v/>
          </cell>
          <cell r="AH200" t="str">
            <v>Platinum Glass</v>
          </cell>
          <cell r="AI200" t="str">
            <v/>
          </cell>
        </row>
        <row r="201">
          <cell r="C201">
            <v>91143</v>
          </cell>
          <cell r="D201" t="str">
            <v/>
          </cell>
          <cell r="E201">
            <v>2396</v>
          </cell>
          <cell r="F201" t="str">
            <v>Deposit</v>
          </cell>
          <cell r="G201" t="str">
            <v>Deposit Collected</v>
          </cell>
          <cell r="H201" t="str">
            <v>No</v>
          </cell>
          <cell r="I201" t="str">
            <v>Trevor Benthagen, Efrain Zarate</v>
          </cell>
          <cell r="J201" t="str">
            <v/>
          </cell>
          <cell r="K201" t="str">
            <v>https://panda-windows-and-doors.monday.com/protected_static/21046287/resources/3016033311/BP-70M55_20260602_140450.pdf</v>
          </cell>
          <cell r="L201" t="str">
            <v>https://panda-windows-and-doors.monday.com/protected_static/21046287/resources/3016033669/BP-70M55_20260602_140504.pdf</v>
          </cell>
          <cell r="M201" t="str">
            <v/>
          </cell>
          <cell r="N201" t="str">
            <v>https://panda-windows-and-doors.monday.com/protected_static/21046287/resources/3016118510/91143 Deposit Invoice.pdf</v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>Sent to Engineering</v>
          </cell>
          <cell r="T201" t="str">
            <v/>
          </cell>
          <cell r="U201">
            <v>4894.76</v>
          </cell>
          <cell r="V201">
            <v>5714.62</v>
          </cell>
          <cell r="W201" t="str">
            <v>Amit Iarochevsky Jun 12, 2026 9:51 AM</v>
          </cell>
          <cell r="X201" t="str">
            <v>2026-06-02 00:00</v>
          </cell>
          <cell r="Y201">
            <v>46175</v>
          </cell>
          <cell r="Z201" t="str">
            <v/>
          </cell>
          <cell r="AA201">
            <v>46175</v>
          </cell>
          <cell r="AB201" t="str">
            <v>Amit Iarochevsky Jun 2, 2026 3:07 PM</v>
          </cell>
          <cell r="AC201">
            <v>46175</v>
          </cell>
          <cell r="AD201">
            <v>46177</v>
          </cell>
          <cell r="AE201" t="str">
            <v/>
          </cell>
          <cell r="AF201" t="str">
            <v/>
          </cell>
          <cell r="AG201" t="str">
            <v/>
          </cell>
          <cell r="AH201" t="str">
            <v>Ronny Jiji</v>
          </cell>
          <cell r="AI201" t="str">
            <v/>
          </cell>
        </row>
        <row r="202">
          <cell r="C202">
            <v>89161</v>
          </cell>
          <cell r="D202" t="str">
            <v/>
          </cell>
          <cell r="E202" t="str">
            <v/>
          </cell>
          <cell r="F202" t="str">
            <v>Deposit</v>
          </cell>
          <cell r="G202" t="str">
            <v>Deposit Collected</v>
          </cell>
          <cell r="H202" t="str">
            <v>No</v>
          </cell>
          <cell r="I202" t="str">
            <v>Efrain Zarate</v>
          </cell>
          <cell r="J202" t="str">
            <v/>
          </cell>
          <cell r="K202" t="str">
            <v>https://panda-windows-and-doors.monday.com/protected_static/21046287/resources/3015456572/BP-70M55_20260602_111326.pdf</v>
          </cell>
          <cell r="L202" t="str">
            <v>https://panda-windows-and-doors.monday.com/protected_static/21046287/resources/3015457189/BP-70M55_20260602_111301.pdf</v>
          </cell>
          <cell r="M202" t="str">
            <v/>
          </cell>
          <cell r="N202" t="str">
            <v>https://panda-windows-and-doors.monday.com/protected_static/21046287/resources/3015515088/89161 Deposit Invoice.pdf</v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>Pending Deposit</v>
          </cell>
          <cell r="T202" t="str">
            <v/>
          </cell>
          <cell r="U202">
            <v>30982</v>
          </cell>
          <cell r="V202">
            <v>36170.400000000001</v>
          </cell>
          <cell r="W202" t="str">
            <v>Amit Iarochevsky Jun 12, 2026 9:55 AM</v>
          </cell>
          <cell r="X202" t="str">
            <v>2026-02-02 00:00</v>
          </cell>
          <cell r="Y202">
            <v>46175</v>
          </cell>
          <cell r="Z202" t="str">
            <v/>
          </cell>
          <cell r="AA202">
            <v>46175</v>
          </cell>
          <cell r="AB202" t="str">
            <v>Amit Iarochevsky Jun 2, 2026 12:35 PM</v>
          </cell>
          <cell r="AC202">
            <v>46175</v>
          </cell>
          <cell r="AD202">
            <v>46177</v>
          </cell>
          <cell r="AE202" t="str">
            <v/>
          </cell>
          <cell r="AF202" t="str">
            <v/>
          </cell>
          <cell r="AG202" t="str">
            <v/>
          </cell>
          <cell r="AH202" t="str">
            <v>New Freedom Properties</v>
          </cell>
          <cell r="AI202" t="str">
            <v/>
          </cell>
        </row>
        <row r="203">
          <cell r="C203">
            <v>90085</v>
          </cell>
          <cell r="D203" t="str">
            <v/>
          </cell>
          <cell r="E203" t="str">
            <v/>
          </cell>
          <cell r="F203" t="str">
            <v>Deposit</v>
          </cell>
          <cell r="G203" t="str">
            <v>Deposit Collected</v>
          </cell>
          <cell r="H203" t="str">
            <v>No</v>
          </cell>
          <cell r="I203" t="str">
            <v>Trevor Benthagen</v>
          </cell>
          <cell r="J203" t="str">
            <v/>
          </cell>
          <cell r="K203" t="str">
            <v>https://panda-windows-and-doors.monday.com/protected_static/21046287/resources/3020601299/QQ#90085 Slade 04202026.pdf</v>
          </cell>
          <cell r="L203" t="str">
            <v>https://panda-windows-and-doors.monday.com/protected_static/21046287/resources/3020619950/BP-70M55_20260604_062055.pdf</v>
          </cell>
          <cell r="M203" t="str">
            <v/>
          </cell>
          <cell r="N203" t="str">
            <v>https://panda-windows-and-doors.monday.com/protected_static/21046287/resources/3020944639/90085 Deposit Invoice.pdf</v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>Receive Signed  Drawings</v>
          </cell>
          <cell r="T203" t="str">
            <v/>
          </cell>
          <cell r="U203">
            <v>29088.5</v>
          </cell>
          <cell r="V203" t="str">
            <v/>
          </cell>
          <cell r="W203" t="str">
            <v>Amit Iarochevsky Jun 12, 2026 9:55 AM</v>
          </cell>
          <cell r="X203" t="str">
            <v>2026-03-30 00:00</v>
          </cell>
          <cell r="Y203">
            <v>46177</v>
          </cell>
          <cell r="Z203" t="str">
            <v/>
          </cell>
          <cell r="AA203">
            <v>46177</v>
          </cell>
          <cell r="AB203" t="str">
            <v>Amit Iarochevsky Jun 4, 2026 7:26 AM</v>
          </cell>
          <cell r="AC203">
            <v>46177</v>
          </cell>
          <cell r="AD203">
            <v>46178</v>
          </cell>
          <cell r="AE203" t="str">
            <v/>
          </cell>
          <cell r="AF203" t="str">
            <v/>
          </cell>
          <cell r="AG203" t="str">
            <v/>
          </cell>
          <cell r="AH203" t="str">
            <v>Riverwoods Mill</v>
          </cell>
          <cell r="AI203" t="str">
            <v/>
          </cell>
        </row>
        <row r="204">
          <cell r="C204">
            <v>90614</v>
          </cell>
          <cell r="D204" t="str">
            <v/>
          </cell>
          <cell r="E204">
            <v>1771</v>
          </cell>
          <cell r="F204" t="str">
            <v>Deposit</v>
          </cell>
          <cell r="G204" t="str">
            <v>Deposit Collected</v>
          </cell>
          <cell r="H204" t="str">
            <v>No</v>
          </cell>
          <cell r="I204" t="str">
            <v>Trevor Benthagen, Efrain Zarate</v>
          </cell>
          <cell r="J204" t="str">
            <v/>
          </cell>
          <cell r="K204" t="str">
            <v>https://panda-windows-and-doors.monday.com/protected_static/21046287/resources/3022032667/BP-70M55_20260604_132448.pdf</v>
          </cell>
          <cell r="L204" t="str">
            <v>https://panda-windows-and-doors.monday.com/protected_static/21046287/resources/3022033205/BP-70M55_20260604_132500.pdf</v>
          </cell>
          <cell r="M204" t="str">
            <v/>
          </cell>
          <cell r="N204" t="str">
            <v>https://panda-windows-and-doors.monday.com/protected_static/21046287/resources/3024405723/90614 Deposit Invoice.pdf</v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>Sent to Engineering</v>
          </cell>
          <cell r="T204" t="str">
            <v/>
          </cell>
          <cell r="U204">
            <v>25740.36</v>
          </cell>
          <cell r="V204">
            <v>30051.88</v>
          </cell>
          <cell r="W204" t="str">
            <v>Amit Iarochevsky Jun 12, 2026 10:04 AM</v>
          </cell>
          <cell r="X204" t="str">
            <v>2026-04-29 00:00</v>
          </cell>
          <cell r="Y204">
            <v>46177</v>
          </cell>
          <cell r="Z204" t="str">
            <v/>
          </cell>
          <cell r="AA204">
            <v>46177</v>
          </cell>
          <cell r="AB204" t="str">
            <v>Amit Iarochevsky Jun 4, 2026 3:09 PM</v>
          </cell>
          <cell r="AC204">
            <v>46178</v>
          </cell>
          <cell r="AD204">
            <v>46181</v>
          </cell>
          <cell r="AE204" t="str">
            <v/>
          </cell>
          <cell r="AF204" t="str">
            <v/>
          </cell>
          <cell r="AG204" t="str">
            <v/>
          </cell>
          <cell r="AH204" t="str">
            <v>John Stafford</v>
          </cell>
          <cell r="AI204" t="str">
            <v/>
          </cell>
        </row>
        <row r="205">
          <cell r="C205">
            <v>88510</v>
          </cell>
          <cell r="D205" t="str">
            <v/>
          </cell>
          <cell r="E205" t="str">
            <v/>
          </cell>
          <cell r="F205" t="str">
            <v>Deposit</v>
          </cell>
          <cell r="G205" t="str">
            <v>Deposit Collected</v>
          </cell>
          <cell r="H205" t="str">
            <v>No</v>
          </cell>
          <cell r="I205" t="str">
            <v>Sean Torre</v>
          </cell>
          <cell r="J205" t="str">
            <v/>
          </cell>
          <cell r="K205" t="str">
            <v>https://panda-windows-and-doors.monday.com/protected_static/21046287/resources/3006749450/QQ # 88510 107 Via Toluca 5-26-2026 (2) (1).pdf</v>
          </cell>
          <cell r="L205" t="str">
            <v>https://panda-windows-and-doors.monday.com/protected_static/21046287/resources/3006749517/CamScanner 5-29-26 08.27.pdf</v>
          </cell>
          <cell r="M205" t="str">
            <v/>
          </cell>
          <cell r="N205" t="str">
            <v>https://panda-windows-and-doors.monday.com/protected_static/21046287/resources/3006970161/88510 Deposit Invoice.pdf</v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>Sent to Engineering</v>
          </cell>
          <cell r="T205" t="str">
            <v/>
          </cell>
          <cell r="U205">
            <v>15005</v>
          </cell>
          <cell r="V205">
            <v>15004</v>
          </cell>
          <cell r="W205" t="str">
            <v>Amit Iarochevsky Jun 12, 2026 9:57 AM</v>
          </cell>
          <cell r="X205" t="str">
            <v>2026-05-29 00:00</v>
          </cell>
          <cell r="Y205">
            <v>46171</v>
          </cell>
          <cell r="Z205" t="str">
            <v/>
          </cell>
          <cell r="AA205">
            <v>46171</v>
          </cell>
          <cell r="AB205" t="str">
            <v>Amit Iarochevsky May 29, 2026 9:37 AM</v>
          </cell>
          <cell r="AC205">
            <v>46171</v>
          </cell>
          <cell r="AD205">
            <v>46181</v>
          </cell>
          <cell r="AE205" t="str">
            <v/>
          </cell>
          <cell r="AF205" t="str">
            <v/>
          </cell>
          <cell r="AG205" t="str">
            <v/>
          </cell>
          <cell r="AH205" t="str">
            <v>107 Via Toluca</v>
          </cell>
          <cell r="AI205" t="str">
            <v/>
          </cell>
        </row>
        <row r="206">
          <cell r="C206">
            <v>89869</v>
          </cell>
          <cell r="D206" t="str">
            <v/>
          </cell>
          <cell r="E206" t="str">
            <v/>
          </cell>
          <cell r="F206" t="str">
            <v>Deposit</v>
          </cell>
          <cell r="G206" t="str">
            <v>Deposit Collected</v>
          </cell>
          <cell r="H206" t="str">
            <v>No</v>
          </cell>
          <cell r="I206" t="str">
            <v>Efrain Zarate</v>
          </cell>
          <cell r="J206" t="str">
            <v/>
          </cell>
          <cell r="K206" t="str">
            <v>https://panda-windows-and-doors.monday.com/protected_static/21046287/resources/3015945997/BP-70M55_20260602_133929.pdf</v>
          </cell>
          <cell r="L206" t="str">
            <v>https://panda-windows-and-doors.monday.com/protected_static/21046287/resources/3015946242/BP-70M55_20260602_133940.pdf</v>
          </cell>
          <cell r="M206" t="str">
            <v/>
          </cell>
          <cell r="N206" t="str">
            <v>https://panda-windows-and-doors.monday.com/protected_static/21046287/resources/3016130428/89869 Deposit Invoice.pdf</v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>Sent to Engineering</v>
          </cell>
          <cell r="T206" t="str">
            <v/>
          </cell>
          <cell r="U206">
            <v>6204</v>
          </cell>
          <cell r="V206">
            <v>6204.62</v>
          </cell>
          <cell r="W206" t="str">
            <v>Amit Iarochevsky Jun 12, 2026 10:05 AM</v>
          </cell>
          <cell r="X206" t="str">
            <v>2026-03-16 00:00</v>
          </cell>
          <cell r="Y206">
            <v>46175</v>
          </cell>
          <cell r="Z206" t="str">
            <v/>
          </cell>
          <cell r="AA206">
            <v>46175</v>
          </cell>
          <cell r="AB206" t="str">
            <v>Amit Iarochevsky Jun 2, 2026 2:49 PM</v>
          </cell>
          <cell r="AC206">
            <v>46175</v>
          </cell>
          <cell r="AD206">
            <v>46181</v>
          </cell>
          <cell r="AE206" t="str">
            <v/>
          </cell>
          <cell r="AF206" t="str">
            <v/>
          </cell>
          <cell r="AG206" t="str">
            <v/>
          </cell>
          <cell r="AH206" t="str">
            <v>Automatic Door &amp; Glass LLC</v>
          </cell>
          <cell r="AI206" t="str">
            <v/>
          </cell>
        </row>
        <row r="207">
          <cell r="C207">
            <v>90706</v>
          </cell>
          <cell r="D207" t="str">
            <v/>
          </cell>
          <cell r="E207" t="str">
            <v/>
          </cell>
          <cell r="F207" t="str">
            <v>Deposit</v>
          </cell>
          <cell r="G207" t="str">
            <v>Deposit Collected</v>
          </cell>
          <cell r="H207" t="str">
            <v>No</v>
          </cell>
          <cell r="I207" t="str">
            <v>Derrick McCall</v>
          </cell>
          <cell r="J207" t="str">
            <v/>
          </cell>
          <cell r="K207" t="str">
            <v>https://panda-windows-and-doors.monday.com/protected_static/21046287/resources/2950760147/Signed Sales Order.pdf, https://panda-windows-and-doors.monday.com/protected_static/21046287/resources/3000066642/QQ#90706 LA Basketball 05262026 Signed.pdf</v>
          </cell>
          <cell r="L207" t="str">
            <v>https://panda-windows-and-doors.monday.com/protected_static/21046287/resources/2950724714/BP-70M55_20260506_072745.pdf, https://panda-windows-and-doors.monday.com/protected_static/21046287/resources/3000066173/BP-70M55_20260527_092319.pdf</v>
          </cell>
          <cell r="M207" t="str">
            <v/>
          </cell>
          <cell r="N207" t="str">
            <v>https://panda-windows-and-doors.monday.com/protected_static/21046287/resources/2951044096/90706 Deposit Invoice.pdf, https://panda-windows-and-doors.monday.com/protected_static/21046287/resources/3000408908/90706 Revised Deposit Invoice.pdf</v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>Sent to Engineering</v>
          </cell>
          <cell r="T207" t="str">
            <v/>
          </cell>
          <cell r="U207">
            <v>30536</v>
          </cell>
          <cell r="V207">
            <v>30536</v>
          </cell>
          <cell r="W207" t="str">
            <v>Amit Iarochevsky Jun 12, 2026 10:05 AM</v>
          </cell>
          <cell r="X207" t="str">
            <v/>
          </cell>
          <cell r="Y207">
            <v>46148</v>
          </cell>
          <cell r="Z207" t="str">
            <v/>
          </cell>
          <cell r="AA207">
            <v>46148</v>
          </cell>
          <cell r="AB207" t="str">
            <v>Amit Iarochevsky May 6, 2026 8:35 AM</v>
          </cell>
          <cell r="AC207">
            <v>46148</v>
          </cell>
          <cell r="AD207">
            <v>46181</v>
          </cell>
          <cell r="AE207" t="str">
            <v/>
          </cell>
          <cell r="AF207" t="str">
            <v/>
          </cell>
          <cell r="AG207" t="str">
            <v/>
          </cell>
          <cell r="AH207" t="str">
            <v>Elite Glaziers</v>
          </cell>
          <cell r="AI207" t="str">
            <v/>
          </cell>
        </row>
        <row r="208">
          <cell r="C208">
            <v>90442</v>
          </cell>
          <cell r="D208" t="str">
            <v/>
          </cell>
          <cell r="E208" t="str">
            <v/>
          </cell>
          <cell r="F208" t="str">
            <v>Deposit</v>
          </cell>
          <cell r="G208" t="str">
            <v>Deposit Collected</v>
          </cell>
          <cell r="H208" t="str">
            <v>No</v>
          </cell>
          <cell r="I208" t="str">
            <v>Trevor Benthagen, Efrain Zarate</v>
          </cell>
          <cell r="J208" t="str">
            <v/>
          </cell>
          <cell r="K208" t="str">
            <v>https://panda-windows-and-doors.monday.com/protected_static/21046287/resources/3025633799/QQ#90442 Michael Raimondo 06052026pdf.pdf</v>
          </cell>
          <cell r="L208" t="str">
            <v/>
          </cell>
          <cell r="M208" t="str">
            <v/>
          </cell>
          <cell r="N208" t="str">
            <v>https://panda-windows-and-doors.monday.com/protected_static/21046287/resources/3028131542/90442 Deposit Invoice.pdf</v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>Sent to Engineering</v>
          </cell>
          <cell r="T208" t="str">
            <v/>
          </cell>
          <cell r="U208">
            <v>40000</v>
          </cell>
          <cell r="V208">
            <v>32316</v>
          </cell>
          <cell r="W208" t="str">
            <v>Amit Iarochevsky Jun 12, 2026 10:05 AM</v>
          </cell>
          <cell r="X208" t="str">
            <v>2026-04-22 00:00</v>
          </cell>
          <cell r="Y208">
            <v>46178</v>
          </cell>
          <cell r="Z208" t="str">
            <v/>
          </cell>
          <cell r="AA208">
            <v>46178</v>
          </cell>
          <cell r="AB208" t="str">
            <v>Amit Iarochevsky Jun 5, 2026 9:19 PM</v>
          </cell>
          <cell r="AC208">
            <v>46181</v>
          </cell>
          <cell r="AD208">
            <v>46181</v>
          </cell>
          <cell r="AE208" t="str">
            <v/>
          </cell>
          <cell r="AF208" t="str">
            <v/>
          </cell>
          <cell r="AG208" t="str">
            <v/>
          </cell>
          <cell r="AH208" t="str">
            <v>Don's Mobile Glass</v>
          </cell>
          <cell r="AI208" t="str">
            <v/>
          </cell>
        </row>
        <row r="209">
          <cell r="C209">
            <v>90364</v>
          </cell>
          <cell r="D209" t="str">
            <v/>
          </cell>
          <cell r="E209">
            <v>1462</v>
          </cell>
          <cell r="F209" t="str">
            <v>Deposit</v>
          </cell>
          <cell r="G209" t="str">
            <v>Deposit Collected</v>
          </cell>
          <cell r="H209" t="str">
            <v>No</v>
          </cell>
          <cell r="I209" t="str">
            <v>Efrain Zarate</v>
          </cell>
          <cell r="J209" t="str">
            <v/>
          </cell>
          <cell r="K209" t="str">
            <v>https://panda-windows-and-doors.monday.com/protected_static/21046287/resources/3018673092/BP-70M55_20260603_101756.pdf</v>
          </cell>
          <cell r="L209" t="str">
            <v>https://panda-windows-and-doors.monday.com/protected_static/21046287/resources/3018673320/BP-70M55_20260603_101746.pdf</v>
          </cell>
          <cell r="M209" t="str">
            <v/>
          </cell>
          <cell r="N209" t="str">
            <v>https://panda-windows-and-doors.monday.com/protected_static/21046287/resources/3020704403/90364 Deposit Invoice.pdf</v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>Pending Deposit</v>
          </cell>
          <cell r="T209" t="str">
            <v/>
          </cell>
          <cell r="U209">
            <v>11314.88</v>
          </cell>
          <cell r="V209">
            <v>11314.87</v>
          </cell>
          <cell r="W209" t="str">
            <v>Amit Iarochevsky Jun 12, 2026 10:06 AM</v>
          </cell>
          <cell r="X209" t="str">
            <v>2026-05-13 00:00</v>
          </cell>
          <cell r="Y209">
            <v>46176</v>
          </cell>
          <cell r="Z209" t="str">
            <v/>
          </cell>
          <cell r="AA209">
            <v>46176</v>
          </cell>
          <cell r="AB209" t="str">
            <v>Amit Iarochevsky Jun 3, 2026 11:22 AM</v>
          </cell>
          <cell r="AC209">
            <v>46176</v>
          </cell>
          <cell r="AD209">
            <v>46181</v>
          </cell>
          <cell r="AE209" t="str">
            <v/>
          </cell>
          <cell r="AF209" t="str">
            <v/>
          </cell>
          <cell r="AG209" t="str">
            <v/>
          </cell>
          <cell r="AH209" t="str">
            <v>Ken Caryl Glass, Inc.</v>
          </cell>
          <cell r="AI209" t="str">
            <v/>
          </cell>
        </row>
        <row r="210">
          <cell r="C210">
            <v>91226</v>
          </cell>
          <cell r="D210" t="str">
            <v/>
          </cell>
          <cell r="E210" t="str">
            <v/>
          </cell>
          <cell r="F210" t="str">
            <v>Deposit</v>
          </cell>
          <cell r="G210" t="str">
            <v>Deposit Collected</v>
          </cell>
          <cell r="H210" t="str">
            <v>No</v>
          </cell>
          <cell r="I210" t="str">
            <v>Derrick McCall</v>
          </cell>
          <cell r="J210" t="str">
            <v/>
          </cell>
          <cell r="K210" t="str">
            <v>https://panda-windows-and-doors.monday.com/protected_static/21046287/resources/3024175809/QQ#91226 JP Morgan Chase 9th - 2nd 06042026.pdf</v>
          </cell>
          <cell r="L210" t="str">
            <v>https://panda-windows-and-doors.monday.com/protected_static/21046287/resources/3024175579/BP-70M55_20260605_075237.pdf</v>
          </cell>
          <cell r="M210" t="str">
            <v/>
          </cell>
          <cell r="N210" t="str">
            <v>https://panda-windows-and-doors.monday.com/protected_static/21046287/resources/3024492423/91226 Deposit Invoice.pdf</v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>Receive Signed  Drawings</v>
          </cell>
          <cell r="T210" t="str">
            <v/>
          </cell>
          <cell r="U210">
            <v>24032</v>
          </cell>
          <cell r="V210" t="str">
            <v/>
          </cell>
          <cell r="W210" t="str">
            <v>Amit Iarochevsky Jun 12, 2026 10:08 AM</v>
          </cell>
          <cell r="X210" t="str">
            <v>2026-06-05 00:00</v>
          </cell>
          <cell r="Y210">
            <v>46178</v>
          </cell>
          <cell r="Z210" t="str">
            <v/>
          </cell>
          <cell r="AA210">
            <v>46178</v>
          </cell>
          <cell r="AB210" t="str">
            <v>Amit Iarochevsky Jun 5, 2026 9:30 AM</v>
          </cell>
          <cell r="AC210">
            <v>46178</v>
          </cell>
          <cell r="AD210">
            <v>46181</v>
          </cell>
          <cell r="AE210" t="str">
            <v/>
          </cell>
          <cell r="AF210" t="str">
            <v/>
          </cell>
          <cell r="AG210" t="str">
            <v/>
          </cell>
          <cell r="AH210" t="str">
            <v>Platinum Glass</v>
          </cell>
          <cell r="AI210" t="str">
            <v/>
          </cell>
        </row>
        <row r="211">
          <cell r="C211">
            <v>87035</v>
          </cell>
          <cell r="D211" t="str">
            <v/>
          </cell>
          <cell r="E211" t="str">
            <v/>
          </cell>
          <cell r="F211" t="str">
            <v>Deposit</v>
          </cell>
          <cell r="G211" t="str">
            <v>Deposit Collected</v>
          </cell>
          <cell r="H211" t="str">
            <v>No</v>
          </cell>
          <cell r="I211" t="str">
            <v>Derrick McCall</v>
          </cell>
          <cell r="J211" t="str">
            <v/>
          </cell>
          <cell r="K211" t="str">
            <v>https://panda-windows-and-doors.monday.com/protected_static/21046287/resources/3015210155/QQ#87035 UCB Bancroft  05282026 - signed.pdf</v>
          </cell>
          <cell r="L211" t="str">
            <v>https://panda-windows-and-doors.monday.com/protected_static/21046287/resources/3015225033/BP-70M55_20260602_105825.pdf</v>
          </cell>
          <cell r="M211" t="str">
            <v/>
          </cell>
          <cell r="N211" t="str">
            <v>https://panda-windows-and-doors.monday.com/protected_static/21046287/resources/3015610116/87035 Deposit Invoice.pdf</v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>Sent to Engineering</v>
          </cell>
          <cell r="T211" t="str">
            <v/>
          </cell>
          <cell r="U211">
            <v>48949</v>
          </cell>
          <cell r="V211">
            <v>58741.77</v>
          </cell>
          <cell r="W211" t="str">
            <v>Amit Iarochevsky Jun 12, 2026 10:08 AM</v>
          </cell>
          <cell r="X211" t="str">
            <v>2025-08-22 00:00</v>
          </cell>
          <cell r="Y211">
            <v>46175</v>
          </cell>
          <cell r="Z211" t="str">
            <v/>
          </cell>
          <cell r="AA211">
            <v>46175</v>
          </cell>
          <cell r="AB211" t="str">
            <v>Amit Iarochevsky Jun 2, 2026 12:00 PM</v>
          </cell>
          <cell r="AC211">
            <v>46175</v>
          </cell>
          <cell r="AD211">
            <v>46182</v>
          </cell>
          <cell r="AE211" t="str">
            <v/>
          </cell>
          <cell r="AF211" t="str">
            <v/>
          </cell>
          <cell r="AG211" t="str">
            <v/>
          </cell>
          <cell r="AH211" t="str">
            <v>Walters &amp; Wolf</v>
          </cell>
          <cell r="AI211" t="str">
            <v/>
          </cell>
        </row>
        <row r="212">
          <cell r="C212">
            <v>91004</v>
          </cell>
          <cell r="D212" t="str">
            <v/>
          </cell>
          <cell r="E212">
            <v>2209</v>
          </cell>
          <cell r="F212" t="str">
            <v>Deposit</v>
          </cell>
          <cell r="G212" t="str">
            <v>Deposit Collected</v>
          </cell>
          <cell r="H212" t="str">
            <v>No</v>
          </cell>
          <cell r="I212" t="str">
            <v>Derrick McCall</v>
          </cell>
          <cell r="J212" t="str">
            <v/>
          </cell>
          <cell r="K212" t="str">
            <v>https://panda-windows-and-doors.monday.com/protected_static/21046287/resources/2996325081/QQ#91004 (2209) Warm Springs III - Lot 10 05212026-SIGNED.pdf</v>
          </cell>
          <cell r="L212" t="str">
            <v>https://panda-windows-and-doors.monday.com/protected_static/21046287/resources/2996323751/BP-70M55_20260526_092707.pdf</v>
          </cell>
          <cell r="M212" t="str">
            <v/>
          </cell>
          <cell r="N212" t="str">
            <v>https://panda-windows-and-doors.monday.com/protected_static/21046287/resources/2996459409/91004 Deposit Invoice.pdf</v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>Pending Deposit</v>
          </cell>
          <cell r="T212" t="str">
            <v/>
          </cell>
          <cell r="U212">
            <v>13225.66</v>
          </cell>
          <cell r="V212">
            <v>15691.82</v>
          </cell>
          <cell r="W212" t="str">
            <v>Amit Iarochevsky Jun 12, 2026 10:07 AM</v>
          </cell>
          <cell r="X212" t="str">
            <v>2026-05-26 00:00</v>
          </cell>
          <cell r="Y212">
            <v>46168</v>
          </cell>
          <cell r="Z212" t="str">
            <v/>
          </cell>
          <cell r="AA212">
            <v>46168</v>
          </cell>
          <cell r="AB212" t="str">
            <v>Amit Iarochevsky May 26, 2026 10:39 AM</v>
          </cell>
          <cell r="AC212">
            <v>46168</v>
          </cell>
          <cell r="AD212">
            <v>46182</v>
          </cell>
          <cell r="AE212" t="str">
            <v/>
          </cell>
          <cell r="AF212" t="str">
            <v/>
          </cell>
          <cell r="AG212" t="str">
            <v/>
          </cell>
          <cell r="AH212" t="str">
            <v>Lighthouse Windows, Inc</v>
          </cell>
          <cell r="AI212" t="str">
            <v/>
          </cell>
        </row>
        <row r="213">
          <cell r="C213">
            <v>90956</v>
          </cell>
          <cell r="D213" t="str">
            <v/>
          </cell>
          <cell r="E213">
            <v>2156</v>
          </cell>
          <cell r="F213" t="str">
            <v>Deposit</v>
          </cell>
          <cell r="G213" t="str">
            <v>Deposit Collected</v>
          </cell>
          <cell r="H213" t="str">
            <v>No</v>
          </cell>
          <cell r="I213" t="str">
            <v>Trevor Benthagen, Efrain Zarate</v>
          </cell>
          <cell r="J213" t="str">
            <v/>
          </cell>
          <cell r="K213" t="str">
            <v>https://panda-windows-and-doors.monday.com/protected_static/21046287/resources/3015962773/BP-70M55_20260602_134447.pdf</v>
          </cell>
          <cell r="L213" t="str">
            <v>https://panda-windows-and-doors.monday.com/protected_static/21046287/resources/3015963304/BP-70M55_20260602_134457.pdf</v>
          </cell>
          <cell r="M213" t="str">
            <v/>
          </cell>
          <cell r="N213" t="str">
            <v>https://panda-windows-and-doors.monday.com/protected_static/21046287/resources/3016069647/90956 Deposit Invoice.pdf</v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>Pending Deposit</v>
          </cell>
          <cell r="T213" t="str">
            <v/>
          </cell>
          <cell r="U213">
            <v>5694.98</v>
          </cell>
          <cell r="V213">
            <v>6648.88</v>
          </cell>
          <cell r="W213" t="str">
            <v>Amit Iarochevsky Jun 12, 2026 10:07 AM</v>
          </cell>
          <cell r="X213" t="str">
            <v>2026-05-10 18:14</v>
          </cell>
          <cell r="Y213">
            <v>46175</v>
          </cell>
          <cell r="Z213" t="str">
            <v/>
          </cell>
          <cell r="AA213">
            <v>46175</v>
          </cell>
          <cell r="AB213" t="str">
            <v>Amit Iarochevsky Jun 2, 2026 2:53 PM</v>
          </cell>
          <cell r="AC213">
            <v>46175</v>
          </cell>
          <cell r="AD213">
            <v>46182</v>
          </cell>
          <cell r="AE213" t="str">
            <v/>
          </cell>
          <cell r="AF213" t="str">
            <v/>
          </cell>
          <cell r="AG213" t="str">
            <v/>
          </cell>
          <cell r="AH213" t="str">
            <v>James  Bridgeford</v>
          </cell>
          <cell r="AI213" t="str">
            <v/>
          </cell>
        </row>
        <row r="214">
          <cell r="C214">
            <v>89319</v>
          </cell>
          <cell r="D214" t="str">
            <v/>
          </cell>
          <cell r="E214" t="str">
            <v/>
          </cell>
          <cell r="F214" t="str">
            <v>Deposit</v>
          </cell>
          <cell r="G214" t="str">
            <v>Deposit Collected</v>
          </cell>
          <cell r="H214" t="str">
            <v>No</v>
          </cell>
          <cell r="I214" t="str">
            <v>Sean Torre</v>
          </cell>
          <cell r="J214" t="str">
            <v/>
          </cell>
          <cell r="K214" t="str">
            <v>https://panda-windows-and-doors.monday.com/protected_static/21046287/resources/3024173183/QQ # 89319 Simms Residence 6-4-2026 (1).pdf</v>
          </cell>
          <cell r="L214" t="str">
            <v>https://panda-windows-and-doors.monday.com/protected_static/21046287/resources/3024173276/CamScanner 6-5-26 08.16.pdf</v>
          </cell>
          <cell r="M214" t="str">
            <v/>
          </cell>
          <cell r="N214" t="str">
            <v>https://panda-windows-and-doors.monday.com/protected_static/21046287/resources/3024568267/89319 Deposit Invoice.pdf</v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>Sent to Engineering</v>
          </cell>
          <cell r="T214" t="str">
            <v/>
          </cell>
          <cell r="U214">
            <v>35841</v>
          </cell>
          <cell r="V214">
            <v>31347.03</v>
          </cell>
          <cell r="W214" t="str">
            <v>Amit Iarochevsky Jun 12, 2026 10:08 AM</v>
          </cell>
          <cell r="X214" t="str">
            <v>2026-06-05 00:00</v>
          </cell>
          <cell r="Y214">
            <v>46178</v>
          </cell>
          <cell r="Z214" t="str">
            <v/>
          </cell>
          <cell r="AA214">
            <v>46178</v>
          </cell>
          <cell r="AB214" t="str">
            <v>Amit Iarochevsky Jun 5, 2026 9:29 AM</v>
          </cell>
          <cell r="AC214">
            <v>46182</v>
          </cell>
          <cell r="AD214">
            <v>46182</v>
          </cell>
          <cell r="AE214" t="str">
            <v/>
          </cell>
          <cell r="AF214" t="str">
            <v/>
          </cell>
          <cell r="AG214" t="str">
            <v/>
          </cell>
          <cell r="AH214" t="str">
            <v>Simms Residence</v>
          </cell>
          <cell r="AI214" t="str">
            <v/>
          </cell>
        </row>
        <row r="215">
          <cell r="C215">
            <v>89594</v>
          </cell>
          <cell r="D215" t="str">
            <v/>
          </cell>
          <cell r="E215" t="str">
            <v/>
          </cell>
          <cell r="F215" t="str">
            <v>Deposit</v>
          </cell>
          <cell r="G215" t="str">
            <v>Deposit Collected</v>
          </cell>
          <cell r="H215" t="str">
            <v>No</v>
          </cell>
          <cell r="I215" t="str">
            <v>Spencer Anderson</v>
          </cell>
          <cell r="J215" t="str">
            <v/>
          </cell>
          <cell r="K215" t="str">
            <v>https://panda-windows-and-doors.monday.com/protected_static/21046287/resources/3021988502/Specs Panda v04 06.04.2026 FINAL signed by vivien.pdf</v>
          </cell>
          <cell r="L215" t="str">
            <v>https://panda-windows-and-doors.monday.com/protected_static/21046287/resources/3021987873/BP-70M55_20260604_134933.pdf</v>
          </cell>
          <cell r="M215" t="str">
            <v/>
          </cell>
          <cell r="N215" t="str">
            <v>https://panda-windows-and-doors.monday.com/protected_static/21046287/resources/3022184170/89594 Deposit Invoice.pdf</v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>
            <v>9460</v>
          </cell>
          <cell r="V215">
            <v>10831.71</v>
          </cell>
          <cell r="W215" t="str">
            <v>Amit Iarochevsky Jun 12, 2026 10:08 AM</v>
          </cell>
          <cell r="X215" t="str">
            <v/>
          </cell>
          <cell r="Y215">
            <v>46177</v>
          </cell>
          <cell r="Z215" t="str">
            <v/>
          </cell>
          <cell r="AA215">
            <v>46177</v>
          </cell>
          <cell r="AB215" t="str">
            <v>Annalene Conde Jun 4, 2026 2:53 PM</v>
          </cell>
          <cell r="AC215">
            <v>46177</v>
          </cell>
          <cell r="AD215">
            <v>46184</v>
          </cell>
          <cell r="AE215" t="str">
            <v/>
          </cell>
          <cell r="AF215" t="str">
            <v/>
          </cell>
          <cell r="AG215" t="str">
            <v/>
          </cell>
          <cell r="AH215" t="str">
            <v>Vivien Withington</v>
          </cell>
          <cell r="AI215" t="str">
            <v/>
          </cell>
        </row>
        <row r="216">
          <cell r="C216">
            <v>90057</v>
          </cell>
          <cell r="D216" t="str">
            <v/>
          </cell>
          <cell r="E216" t="str">
            <v/>
          </cell>
          <cell r="F216" t="str">
            <v>Deposit</v>
          </cell>
          <cell r="G216" t="str">
            <v>Deposit Collected</v>
          </cell>
          <cell r="H216" t="str">
            <v>No</v>
          </cell>
          <cell r="I216" t="str">
            <v>Trevor Benthagen</v>
          </cell>
          <cell r="J216" t="str">
            <v/>
          </cell>
          <cell r="K216" t="str">
            <v>https://panda-windows-and-doors.monday.com/protected_static/21046287/resources/2907162006/BP-70M55_20260416_135932.pdf</v>
          </cell>
          <cell r="L216" t="str">
            <v>https://panda-windows-and-doors.monday.com/protected_static/21046287/resources/2907162210/BP-70M55_20260416_135938.pdf</v>
          </cell>
          <cell r="M216" t="str">
            <v/>
          </cell>
          <cell r="N216" t="str">
            <v>https://panda-windows-and-doors.monday.com/protected_static/21046287/resources/2907281078/90057 Deposit Invoice.pdf</v>
          </cell>
          <cell r="O216" t="str">
            <v/>
          </cell>
          <cell r="P216" t="str">
            <v/>
          </cell>
          <cell r="Q216" t="str">
            <v/>
          </cell>
          <cell r="R216" t="str">
            <v>https://panda-windows-and-doors.monday.com/protected_static/21046287/resources/2977473145/Q90057_TS30 BOM.pdf, https://panda-windows-and-doors.monday.com/protected_static/21046287/resources/2977473177/Q90057_TS30 CUT LIST.pdf, https://panda-windows-and-doors.monday.com/protected_static/21046287/resources/2977473128/Q90057_TS30 MAT LIST.pdf, https://panda-windows-and-doors.monday.com/protected_static/21046287/resources/2977473121/Q90057_TS30 OPT MANUAL.pdf, https://panda-windows-and-doors.monday.com/protected_static/21046287/resources/2977473166/Q90057_TS30 OPT.pdf, https://panda-windows-and-doors.monday.com/protected_static/21046287/resources/2977473121/Q90057_TS30 OPT MANUAL.pdf</v>
          </cell>
          <cell r="S216" t="str">
            <v>In Production</v>
          </cell>
          <cell r="T216" t="str">
            <v/>
          </cell>
          <cell r="U216">
            <v>9211</v>
          </cell>
          <cell r="V216">
            <v>10181.18</v>
          </cell>
          <cell r="W216" t="str">
            <v>Amit Iarochevsky Jun 12, 2026 10:13 AM</v>
          </cell>
          <cell r="X216" t="str">
            <v>2026-03-26 00:00</v>
          </cell>
          <cell r="Y216">
            <v>46128</v>
          </cell>
          <cell r="Z216" t="str">
            <v/>
          </cell>
          <cell r="AA216">
            <v>46128</v>
          </cell>
          <cell r="AB216" t="str">
            <v>Annalene Conde Apr 16, 2026 3:10 PM</v>
          </cell>
          <cell r="AC216">
            <v>46128</v>
          </cell>
          <cell r="AD216">
            <v>46185</v>
          </cell>
          <cell r="AE216" t="str">
            <v/>
          </cell>
          <cell r="AF216" t="str">
            <v/>
          </cell>
          <cell r="AG216" t="str">
            <v/>
          </cell>
          <cell r="AH216" t="str">
            <v>Aune Construction</v>
          </cell>
          <cell r="AI216" t="str">
            <v/>
          </cell>
        </row>
        <row r="217">
          <cell r="C217">
            <v>89541</v>
          </cell>
          <cell r="D217" t="str">
            <v/>
          </cell>
          <cell r="E217" t="str">
            <v/>
          </cell>
          <cell r="F217" t="str">
            <v>Deposit</v>
          </cell>
          <cell r="G217" t="str">
            <v>Deposit Collected</v>
          </cell>
          <cell r="H217" t="str">
            <v>No</v>
          </cell>
          <cell r="I217" t="str">
            <v>Efrain Zarate</v>
          </cell>
          <cell r="J217" t="str">
            <v/>
          </cell>
          <cell r="K217" t="str">
            <v>https://panda-windows-and-doors.monday.com/protected_static/21046287/resources/3019463419/BP-70M55_20260603_143619.pdf</v>
          </cell>
          <cell r="L217" t="str">
            <v>https://panda-windows-and-doors.monday.com/protected_static/21046287/resources/3019463481/BP-70M55_20260603_143603.pdf</v>
          </cell>
          <cell r="M217" t="str">
            <v/>
          </cell>
          <cell r="N217" t="str">
            <v>https://panda-windows-and-doors.monday.com/protected_static/21046287/resources/3020902806/89541 Deposit Invoice.pdf</v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>Pending Deposit</v>
          </cell>
          <cell r="T217" t="str">
            <v/>
          </cell>
          <cell r="U217">
            <v>9278.2800000000007</v>
          </cell>
          <cell r="V217">
            <v>9127.9599999999991</v>
          </cell>
          <cell r="W217" t="str">
            <v>George Bails Jun 12, 2026 11:16 AM</v>
          </cell>
          <cell r="X217" t="str">
            <v>2026-02-25 00:00</v>
          </cell>
          <cell r="Y217">
            <v>46176</v>
          </cell>
          <cell r="Z217" t="str">
            <v/>
          </cell>
          <cell r="AA217">
            <v>46176</v>
          </cell>
          <cell r="AB217" t="str">
            <v>Amit Iarochevsky Jun 3, 2026 4:00 PM</v>
          </cell>
          <cell r="AC217">
            <v>46177</v>
          </cell>
          <cell r="AD217">
            <v>46185</v>
          </cell>
          <cell r="AE217" t="str">
            <v/>
          </cell>
          <cell r="AF217" t="str">
            <v/>
          </cell>
          <cell r="AG217" t="str">
            <v/>
          </cell>
          <cell r="AH217" t="str">
            <v>Grand View Glass- Chris Medina</v>
          </cell>
          <cell r="AI217" t="str">
            <v/>
          </cell>
        </row>
        <row r="218">
          <cell r="C218">
            <v>87412</v>
          </cell>
          <cell r="D218">
            <v>46057</v>
          </cell>
          <cell r="E218" t="str">
            <v/>
          </cell>
          <cell r="F218" t="str">
            <v>Deposit</v>
          </cell>
          <cell r="G218" t="str">
            <v>Deposit Collected</v>
          </cell>
          <cell r="H218" t="str">
            <v>No</v>
          </cell>
          <cell r="I218" t="str">
            <v>Spencer Anderson</v>
          </cell>
          <cell r="J218" t="str">
            <v/>
          </cell>
          <cell r="K218" t="str">
            <v>https://panda-windows-and-doors.monday.com/protected_static/21046287/resources/2444406747/QQ #87412 - SPW_PPG 38 Elena - 09252025 rev 2.pdf</v>
          </cell>
          <cell r="L218" t="str">
            <v>https://panda-windows-and-doors.monday.com/protected_static/21046287/resources/2444407932/Signed Backer.com_20250925_121012.pdf</v>
          </cell>
          <cell r="M218" t="str">
            <v/>
          </cell>
          <cell r="N218" t="str">
            <v>https://panda-windows-and-doors.monday.com/protected_static/21046287/resources/2445742011/87412 dEPOSIT iNVOICE.pdf, https://panda-windows-and-doors.monday.com/protected_static/21046287/resources/2739834788/87412 Deposit Invoice CO 1.pdf</v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>In Production</v>
          </cell>
          <cell r="T218" t="str">
            <v/>
          </cell>
          <cell r="U218">
            <v>43593.66</v>
          </cell>
          <cell r="V218">
            <v>44474.34</v>
          </cell>
          <cell r="W218" t="str">
            <v>Amit Iarochevsky Jun 12, 2026 11:30 AM</v>
          </cell>
          <cell r="X218" t="str">
            <v/>
          </cell>
          <cell r="Y218">
            <v>45925</v>
          </cell>
          <cell r="Z218" t="str">
            <v/>
          </cell>
          <cell r="AA218">
            <v>45925</v>
          </cell>
          <cell r="AB218" t="str">
            <v>Annalene Conde Sep 25, 2025 10:07 AM</v>
          </cell>
          <cell r="AC218">
            <v>45926</v>
          </cell>
          <cell r="AD218">
            <v>46185</v>
          </cell>
          <cell r="AE218">
            <v>46185</v>
          </cell>
          <cell r="AF218" t="str">
            <v/>
          </cell>
          <cell r="AG218" t="str">
            <v/>
          </cell>
          <cell r="AH218" t="str">
            <v>Mike Haskell</v>
          </cell>
          <cell r="AI218">
            <v>46057</v>
          </cell>
        </row>
        <row r="219">
          <cell r="C219">
            <v>90858</v>
          </cell>
          <cell r="D219" t="str">
            <v/>
          </cell>
          <cell r="E219" t="str">
            <v/>
          </cell>
          <cell r="F219" t="str">
            <v>Deposit</v>
          </cell>
          <cell r="G219" t="str">
            <v>Deposit Collected</v>
          </cell>
          <cell r="H219" t="str">
            <v>No</v>
          </cell>
          <cell r="I219" t="str">
            <v>Sean Torre</v>
          </cell>
          <cell r="J219" t="str">
            <v/>
          </cell>
          <cell r="K219" t="str">
            <v>https://panda-windows-and-doors.monday.com/protected_static/21046287/resources/2982165562/QQ # 90858 Grossi Add On 5-13-2026 (1) (003)SIGNED.pdf</v>
          </cell>
          <cell r="L219" t="str">
            <v>https://panda-windows-and-doors.monday.com/protected_static/21046287/resources/3040643656/Grossi Add On 5-13-2026.xlsx, https://panda-windows-and-doors.monday.com/protected_static/21046287/resources/3042988178/CamScanner 5-19-26 15.01 (1).pdf</v>
          </cell>
          <cell r="M219" t="str">
            <v/>
          </cell>
          <cell r="N219" t="str">
            <v>https://panda-windows-and-doors.monday.com/protected_static/21046287/resources/2984142429/90858 Deposit Invoice.pdf</v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>Sent to Engineering</v>
          </cell>
          <cell r="T219" t="str">
            <v/>
          </cell>
          <cell r="U219">
            <v>6717</v>
          </cell>
          <cell r="V219">
            <v>6717</v>
          </cell>
          <cell r="W219" t="str">
            <v>George Bails Jun 12, 2026 4:04 PM</v>
          </cell>
          <cell r="X219" t="str">
            <v>2026-05-19 00:00</v>
          </cell>
          <cell r="Y219">
            <v>46161</v>
          </cell>
          <cell r="Z219" t="str">
            <v/>
          </cell>
          <cell r="AA219">
            <v>46161</v>
          </cell>
          <cell r="AB219" t="str">
            <v>Amit Iarochevsky May 19, 2026 4:06 PM</v>
          </cell>
          <cell r="AC219">
            <v>46162</v>
          </cell>
          <cell r="AD219">
            <v>46185</v>
          </cell>
          <cell r="AE219" t="str">
            <v/>
          </cell>
          <cell r="AF219" t="str">
            <v/>
          </cell>
          <cell r="AG219" t="str">
            <v/>
          </cell>
          <cell r="AH219" t="str">
            <v>Don's Mobile Glass</v>
          </cell>
          <cell r="AI219" t="str">
            <v/>
          </cell>
        </row>
        <row r="220">
          <cell r="C220">
            <v>86062</v>
          </cell>
          <cell r="D220" t="str">
            <v/>
          </cell>
          <cell r="E220" t="str">
            <v/>
          </cell>
          <cell r="F220" t="str">
            <v>Deposit</v>
          </cell>
          <cell r="G220" t="str">
            <v>Deposit Collected</v>
          </cell>
          <cell r="H220" t="str">
            <v>No</v>
          </cell>
          <cell r="I220" t="str">
            <v>Spencer Anderson</v>
          </cell>
          <cell r="J220" t="str">
            <v/>
          </cell>
          <cell r="K220" t="str">
            <v>https://panda-windows-and-doors.monday.com/protected_static/21046287/resources/3028914089/QQ #86062 - SPW_Wayside Pool House - 04162026 (007).2.pdf</v>
          </cell>
          <cell r="L220" t="str">
            <v>https://panda-windows-and-doors.monday.com/protected_static/21046287/resources/3028913689/BP-70M55_20260608_130435.pdf</v>
          </cell>
          <cell r="M220" t="str">
            <v/>
          </cell>
          <cell r="N220" t="str">
            <v>https://panda-windows-and-doors.monday.com/protected_static/21046287/resources/3029157151/86062 Deposit Invoice.pdf</v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>Sent to Engineering</v>
          </cell>
          <cell r="T220" t="str">
            <v/>
          </cell>
          <cell r="U220">
            <v>11529</v>
          </cell>
          <cell r="V220">
            <v>11529</v>
          </cell>
          <cell r="W220" t="str">
            <v>George Bails Jun 15, 2026 1:29 PM</v>
          </cell>
          <cell r="X220" t="str">
            <v/>
          </cell>
          <cell r="Y220">
            <v>46181</v>
          </cell>
          <cell r="Z220" t="str">
            <v/>
          </cell>
          <cell r="AA220">
            <v>46181</v>
          </cell>
          <cell r="AB220" t="str">
            <v>Annalene Conde Jun 8, 2026 2:09 PM</v>
          </cell>
          <cell r="AC220">
            <v>46181</v>
          </cell>
          <cell r="AD220">
            <v>46188</v>
          </cell>
          <cell r="AE220" t="str">
            <v/>
          </cell>
          <cell r="AF220" t="str">
            <v/>
          </cell>
          <cell r="AG220" t="str">
            <v/>
          </cell>
          <cell r="AH220" t="str">
            <v>Scott Burns</v>
          </cell>
          <cell r="AI220" t="str">
            <v/>
          </cell>
        </row>
        <row r="221">
          <cell r="C221">
            <v>87059</v>
          </cell>
          <cell r="D221" t="str">
            <v/>
          </cell>
          <cell r="E221" t="str">
            <v/>
          </cell>
          <cell r="F221" t="str">
            <v>Deposit</v>
          </cell>
          <cell r="G221" t="str">
            <v>Deposit Collected</v>
          </cell>
          <cell r="H221" t="str">
            <v>No</v>
          </cell>
          <cell r="I221" t="str">
            <v>Derrick McCall</v>
          </cell>
          <cell r="J221" t="str">
            <v/>
          </cell>
          <cell r="K221" t="str">
            <v>https://panda-windows-and-doors.monday.com/protected_static/21046287/resources/3024276687/31710 Panda.pdf</v>
          </cell>
          <cell r="L221" t="str">
            <v>https://panda-windows-and-doors.monday.com/protected_static/21046287/resources/3024276469/BP-70M55_20260605_064928.pdf</v>
          </cell>
          <cell r="M221" t="str">
            <v/>
          </cell>
          <cell r="N221" t="str">
            <v>https://panda-windows-and-doors.monday.com/protected_static/21046287/resources/3024513149/87059 Deposit Invoice.pdf</v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>Sent to Engineering</v>
          </cell>
          <cell r="T221" t="str">
            <v/>
          </cell>
          <cell r="U221">
            <v>25737</v>
          </cell>
          <cell r="V221">
            <v>25737</v>
          </cell>
          <cell r="W221" t="str">
            <v>George Bails Jun 15, 2026 1:32 PM</v>
          </cell>
          <cell r="X221" t="str">
            <v>2026-06-05 00:00</v>
          </cell>
          <cell r="Y221">
            <v>46178</v>
          </cell>
          <cell r="Z221" t="str">
            <v/>
          </cell>
          <cell r="AA221">
            <v>46178</v>
          </cell>
          <cell r="AB221" t="str">
            <v>Amit Iarochevsky Jun 5, 2026 10:03 AM</v>
          </cell>
          <cell r="AC221">
            <v>46178</v>
          </cell>
          <cell r="AD221">
            <v>46188</v>
          </cell>
          <cell r="AE221" t="str">
            <v/>
          </cell>
          <cell r="AF221" t="str">
            <v/>
          </cell>
          <cell r="AG221" t="str">
            <v/>
          </cell>
          <cell r="AH221" t="str">
            <v>Signature Glass &amp; Windows, Inc.</v>
          </cell>
          <cell r="AI221" t="str">
            <v/>
          </cell>
        </row>
        <row r="222">
          <cell r="C222">
            <v>88266</v>
          </cell>
          <cell r="D222" t="str">
            <v/>
          </cell>
          <cell r="E222" t="str">
            <v/>
          </cell>
          <cell r="F222" t="str">
            <v>Deposit</v>
          </cell>
          <cell r="G222" t="str">
            <v>Deposit Collected</v>
          </cell>
          <cell r="H222" t="str">
            <v>No</v>
          </cell>
          <cell r="I222" t="str">
            <v>Derrick McCall</v>
          </cell>
          <cell r="J222" t="str">
            <v/>
          </cell>
          <cell r="K222" t="str">
            <v>https://panda-windows-and-doors.monday.com/protected_static/21046287/resources/2977086079/11.19.2025 Panda Windows &amp; Doors Signed.pdf</v>
          </cell>
          <cell r="L222" t="str">
            <v>https://panda-windows-and-doors.monday.com/protected_static/21046287/resources/2977085341/BP-70M55_20260515_154153.pdf</v>
          </cell>
          <cell r="M222" t="str">
            <v/>
          </cell>
          <cell r="N222" t="str">
            <v>https://panda-windows-and-doors.monday.com/protected_static/21046287/resources/2977406208/88266 Deposit Invoice.pdf</v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>Sent to Engineering</v>
          </cell>
          <cell r="T222" t="str">
            <v/>
          </cell>
          <cell r="U222">
            <v>40071</v>
          </cell>
          <cell r="V222">
            <v>43764.27</v>
          </cell>
          <cell r="W222" t="str">
            <v>George Bails Jun 16, 2026 10:57 AM</v>
          </cell>
          <cell r="X222" t="str">
            <v>2025-11-19 00:00</v>
          </cell>
          <cell r="Y222">
            <v>46160</v>
          </cell>
          <cell r="Z222" t="str">
            <v/>
          </cell>
          <cell r="AA222">
            <v>46160</v>
          </cell>
          <cell r="AB222" t="str">
            <v>Amit Iarochevsky May 18, 2026 7:12 AM</v>
          </cell>
          <cell r="AC222">
            <v>46160</v>
          </cell>
          <cell r="AD222">
            <v>46188</v>
          </cell>
          <cell r="AE222" t="str">
            <v/>
          </cell>
          <cell r="AF222" t="str">
            <v/>
          </cell>
          <cell r="AG222" t="str">
            <v/>
          </cell>
          <cell r="AH222" t="str">
            <v>KCR Development</v>
          </cell>
          <cell r="AI222" t="str">
            <v/>
          </cell>
        </row>
        <row r="223">
          <cell r="C223">
            <v>86579</v>
          </cell>
          <cell r="D223" t="str">
            <v/>
          </cell>
          <cell r="E223" t="str">
            <v/>
          </cell>
          <cell r="F223" t="str">
            <v>Deposit</v>
          </cell>
          <cell r="G223" t="str">
            <v>Deposit Collected</v>
          </cell>
          <cell r="H223" t="str">
            <v>No</v>
          </cell>
          <cell r="I223" t="str">
            <v>Derrick McCall</v>
          </cell>
          <cell r="J223" t="str">
            <v/>
          </cell>
          <cell r="K223" t="str">
            <v>https://panda-windows-and-doors.monday.com/protected_static/21046287/resources/3042836479/QQ#86579 Hospitality Building 02272026 (1).pdf</v>
          </cell>
          <cell r="L223" t="str">
            <v>https://panda-windows-and-doors.monday.com/protected_static/21046287/resources/3042834587/BP-70M55_20260615_070107.pdf</v>
          </cell>
          <cell r="M223" t="str">
            <v/>
          </cell>
          <cell r="N223" t="str">
            <v>https://panda-windows-and-doors.monday.com/protected_static/21046287/resources/3043382128/86579 Deposit Invoice.pdf</v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>
            <v>69123</v>
          </cell>
          <cell r="V223">
            <v>69122</v>
          </cell>
          <cell r="W223" t="str">
            <v>George Bails Jun 16, 2026 10:53 AM</v>
          </cell>
          <cell r="X223" t="str">
            <v>2025-07-22 00:00</v>
          </cell>
          <cell r="Y223">
            <v>46188</v>
          </cell>
          <cell r="Z223" t="str">
            <v/>
          </cell>
          <cell r="AA223">
            <v>46188</v>
          </cell>
          <cell r="AB223" t="str">
            <v>Amit Iarochevsky Jun 15, 2026 8:07 AM</v>
          </cell>
          <cell r="AC223">
            <v>46188</v>
          </cell>
          <cell r="AD223">
            <v>46188</v>
          </cell>
          <cell r="AE223" t="str">
            <v/>
          </cell>
          <cell r="AF223" t="str">
            <v/>
          </cell>
          <cell r="AG223" t="str">
            <v/>
          </cell>
          <cell r="AH223" t="str">
            <v>J Shuman Door Installation</v>
          </cell>
          <cell r="AI223" t="str">
            <v/>
          </cell>
        </row>
        <row r="224">
          <cell r="C224">
            <v>88804</v>
          </cell>
          <cell r="D224" t="str">
            <v/>
          </cell>
          <cell r="E224" t="str">
            <v/>
          </cell>
          <cell r="F224" t="str">
            <v>Deposit</v>
          </cell>
          <cell r="G224" t="str">
            <v>Deposit Collected</v>
          </cell>
          <cell r="H224" t="str">
            <v>No</v>
          </cell>
          <cell r="I224" t="str">
            <v>Tyler Clark</v>
          </cell>
          <cell r="J224" t="str">
            <v/>
          </cell>
          <cell r="K224" t="str">
            <v>https://panda-windows-and-doors.monday.com/protected_static/21046287/resources/2891974478/Q88804 Valla Door SSO.pdf</v>
          </cell>
          <cell r="L224" t="str">
            <v>https://panda-windows-and-doors.monday.com/protected_static/21046287/resources/3046915239/BP-70M55_20260413_085706.pdf</v>
          </cell>
          <cell r="M224" t="str">
            <v/>
          </cell>
          <cell r="N224" t="str">
            <v>https://panda-windows-and-doors.monday.com/protected_static/21046287/resources/2893316528/88804 Sales Order.pdf</v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>Sent to Engineering</v>
          </cell>
          <cell r="T224" t="str">
            <v/>
          </cell>
          <cell r="U224">
            <v>8869</v>
          </cell>
          <cell r="V224">
            <v>10494.69</v>
          </cell>
          <cell r="W224" t="str">
            <v>George Bails Jun 17, 2026 1:11 PM</v>
          </cell>
          <cell r="X224" t="str">
            <v>2025-12-22 15:19</v>
          </cell>
          <cell r="Y224">
            <v>46122</v>
          </cell>
          <cell r="Z224" t="str">
            <v/>
          </cell>
          <cell r="AA224">
            <v>46122</v>
          </cell>
          <cell r="AB224" t="str">
            <v>Annalene Conde Apr 10, 2026 8:45 AM</v>
          </cell>
          <cell r="AC224">
            <v>46122</v>
          </cell>
          <cell r="AD224">
            <v>46189</v>
          </cell>
          <cell r="AE224" t="str">
            <v/>
          </cell>
          <cell r="AF224" t="str">
            <v/>
          </cell>
          <cell r="AG224" t="str">
            <v/>
          </cell>
          <cell r="AH224" t="str">
            <v>Kumara Valla</v>
          </cell>
          <cell r="AI224" t="str">
            <v/>
          </cell>
        </row>
        <row r="225">
          <cell r="C225">
            <v>87536</v>
          </cell>
          <cell r="D225" t="str">
            <v/>
          </cell>
          <cell r="E225">
            <v>2592</v>
          </cell>
          <cell r="F225" t="str">
            <v>Deposit</v>
          </cell>
          <cell r="G225" t="str">
            <v>Deposit Collected</v>
          </cell>
          <cell r="H225" t="str">
            <v>No</v>
          </cell>
          <cell r="I225" t="str">
            <v>Sean Torre</v>
          </cell>
          <cell r="J225" t="str">
            <v/>
          </cell>
          <cell r="K225" t="str">
            <v>https://panda-windows-and-doors.monday.com/protected_static/21046287/resources/3046165922/Panda Signed Quote (1).pdf</v>
          </cell>
          <cell r="L225" t="str">
            <v>https://panda-windows-and-doors.monday.com/protected_static/21046287/resources/3046165908/CamScanner 6-16-26 08.08.pdf</v>
          </cell>
          <cell r="M225" t="str">
            <v/>
          </cell>
          <cell r="N225" t="str">
            <v>https://panda-windows-and-doors.monday.com/protected_static/21046287/resources/3046816652/87536 Deposit Invoice.pdf</v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>Pending Deposit</v>
          </cell>
          <cell r="T225" t="str">
            <v/>
          </cell>
          <cell r="U225">
            <v>17907.14</v>
          </cell>
          <cell r="V225">
            <v>17907.14</v>
          </cell>
          <cell r="W225" t="str">
            <v>George Bails Jun 17, 2026 1:10 PM</v>
          </cell>
          <cell r="X225" t="str">
            <v>2025-09-29 00:00</v>
          </cell>
          <cell r="Y225">
            <v>46189</v>
          </cell>
          <cell r="Z225" t="str">
            <v/>
          </cell>
          <cell r="AA225">
            <v>46189</v>
          </cell>
          <cell r="AB225" t="str">
            <v>Amit Iarochevsky Jun 16, 2026 9:11 AM</v>
          </cell>
          <cell r="AC225">
            <v>46189</v>
          </cell>
          <cell r="AD225">
            <v>46190</v>
          </cell>
          <cell r="AE225" t="str">
            <v/>
          </cell>
          <cell r="AF225" t="str">
            <v/>
          </cell>
          <cell r="AG225" t="str">
            <v/>
          </cell>
          <cell r="AH225" t="str">
            <v>AJ Hutcheson</v>
          </cell>
          <cell r="AI225" t="str">
            <v/>
          </cell>
        </row>
        <row r="226">
          <cell r="C226">
            <v>86962</v>
          </cell>
          <cell r="D226" t="str">
            <v/>
          </cell>
          <cell r="E226" t="str">
            <v/>
          </cell>
          <cell r="F226" t="str">
            <v>Final</v>
          </cell>
          <cell r="G226" t="str">
            <v>Creating Invoice</v>
          </cell>
          <cell r="H226" t="str">
            <v>No</v>
          </cell>
          <cell r="I226" t="str">
            <v/>
          </cell>
          <cell r="J226" t="str">
            <v/>
          </cell>
          <cell r="K226" t="str">
            <v/>
          </cell>
          <cell r="L226" t="str">
            <v>https://panda-windows-and-doors.monday.com/protected_static/21046287/resources/2362445118/smtp.office365.com_20250818_133106.pdf</v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>Completed - Closed Out</v>
          </cell>
          <cell r="T226" t="str">
            <v/>
          </cell>
          <cell r="U226">
            <v>0</v>
          </cell>
          <cell r="V226">
            <v>0</v>
          </cell>
          <cell r="W226" t="str">
            <v>Panda CRM Jun 10, 2026 10:13 AM</v>
          </cell>
          <cell r="X226" t="str">
            <v>2025-08-19 00:00</v>
          </cell>
          <cell r="Y226">
            <v>45888</v>
          </cell>
          <cell r="Z226" t="str">
            <v/>
          </cell>
          <cell r="AA226">
            <v>46077</v>
          </cell>
          <cell r="AB226" t="str">
            <v>Jayme Truong Aug 19, 2025 10:41 AM</v>
          </cell>
          <cell r="AC226" t="str">
            <v/>
          </cell>
          <cell r="AD226" t="str">
            <v/>
          </cell>
          <cell r="AE226">
            <v>46077</v>
          </cell>
          <cell r="AF226" t="str">
            <v/>
          </cell>
          <cell r="AG226" t="str">
            <v/>
          </cell>
          <cell r="AH226" t="str">
            <v>Chicago Showroom</v>
          </cell>
          <cell r="AI226" t="str">
            <v/>
          </cell>
        </row>
        <row r="227">
          <cell r="C227">
            <v>83046</v>
          </cell>
          <cell r="D227" t="str">
            <v/>
          </cell>
          <cell r="E227" t="str">
            <v/>
          </cell>
          <cell r="F227" t="str">
            <v>Final</v>
          </cell>
          <cell r="G227" t="str">
            <v>Final Collected</v>
          </cell>
          <cell r="H227" t="str">
            <v>No</v>
          </cell>
          <cell r="I227" t="str">
            <v>Trevor Benthagen, Efrain Zarate</v>
          </cell>
          <cell r="J227" t="str">
            <v>Elizabet Lopez</v>
          </cell>
          <cell r="K227" t="str">
            <v>https://panda-windows-and-doors.monday.com/protected_static/21046287/resources/1896542202/no-reply@panda-windows.com_20250114_141656.pdf</v>
          </cell>
          <cell r="L227" t="str">
            <v>https://panda-windows-and-doors.monday.com/protected_static/21046287/resources/2083482618/no-reply_panda-windows.com_20250115_060634.pdf</v>
          </cell>
          <cell r="M227" t="str">
            <v/>
          </cell>
          <cell r="N227" t="str">
            <v>https://panda-windows-and-doors.monday.com/protected_static/21046287/resources/1899051497/83046 DEPOSIT INVOICE.pdf</v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>Completed - Closed Out</v>
          </cell>
          <cell r="T227" t="str">
            <v/>
          </cell>
          <cell r="U227">
            <v>1534</v>
          </cell>
          <cell r="V227">
            <v>1789.86</v>
          </cell>
          <cell r="W227" t="str">
            <v>Amit Iarochevsky Dec 29, 2025 2:41 PM</v>
          </cell>
          <cell r="X227" t="str">
            <v>2025-01-14 00:00</v>
          </cell>
          <cell r="Y227">
            <v>45671</v>
          </cell>
          <cell r="Z227" t="str">
            <v/>
          </cell>
          <cell r="AA227">
            <v>45672</v>
          </cell>
          <cell r="AB227" t="str">
            <v>Jayme Truong Jan 14, 2025 4:47 PM</v>
          </cell>
          <cell r="AC227">
            <v>45672</v>
          </cell>
          <cell r="AD227">
            <v>45672</v>
          </cell>
          <cell r="AE227">
            <v>45714</v>
          </cell>
          <cell r="AF227">
            <v>45714</v>
          </cell>
          <cell r="AG227">
            <v>45714</v>
          </cell>
          <cell r="AH227" t="str">
            <v>Corral Construction</v>
          </cell>
          <cell r="AI227" t="str">
            <v/>
          </cell>
        </row>
        <row r="228">
          <cell r="C228">
            <v>87161</v>
          </cell>
          <cell r="D228" t="str">
            <v/>
          </cell>
          <cell r="E228" t="str">
            <v/>
          </cell>
          <cell r="F228" t="str">
            <v>Final</v>
          </cell>
          <cell r="G228" t="str">
            <v>Final Collected</v>
          </cell>
          <cell r="H228" t="str">
            <v>No</v>
          </cell>
          <cell r="I228" t="str">
            <v>Tyler Clark</v>
          </cell>
          <cell r="J228" t="str">
            <v/>
          </cell>
          <cell r="K228" t="str">
            <v>https://panda-windows-and-doors.monday.com/protected_static/21046287/resources/2437627501/smtp.office365.com_20250923_070313.pdf</v>
          </cell>
          <cell r="L228" t="str">
            <v>https://panda-windows-and-doors.monday.com/protected_static/21046287/resources/2437634584/smtp.office365.com_20250923_070618.pdf</v>
          </cell>
          <cell r="M228" t="str">
            <v/>
          </cell>
          <cell r="N228" t="str">
            <v>https://panda-windows-and-doors.monday.com/protected_static/21046287/resources/2437717009/87161 Deposit Invoice.pdf</v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>Awaiting Signed BOL</v>
          </cell>
          <cell r="T228" t="str">
            <v/>
          </cell>
          <cell r="U228">
            <v>17417</v>
          </cell>
          <cell r="V228">
            <v>20288.07</v>
          </cell>
          <cell r="W228" t="str">
            <v>Annalene Conde Jun 2, 2026 12:26 PM</v>
          </cell>
          <cell r="X228" t="str">
            <v>2025-08-28 10:52</v>
          </cell>
          <cell r="Y228">
            <v>45922</v>
          </cell>
          <cell r="Z228" t="str">
            <v/>
          </cell>
          <cell r="AA228">
            <v>45922</v>
          </cell>
          <cell r="AB228" t="str">
            <v>Jayme Truong Sep 22, 2025 5:01 PM</v>
          </cell>
          <cell r="AC228">
            <v>45923</v>
          </cell>
          <cell r="AD228">
            <v>45924</v>
          </cell>
          <cell r="AE228">
            <v>46170</v>
          </cell>
          <cell r="AF228">
            <v>46170</v>
          </cell>
          <cell r="AG228">
            <v>46175</v>
          </cell>
          <cell r="AH228" t="str">
            <v>Debbie Piliero</v>
          </cell>
          <cell r="AI228" t="str">
            <v/>
          </cell>
        </row>
        <row r="229">
          <cell r="C229">
            <v>83078</v>
          </cell>
          <cell r="D229">
            <v>45678</v>
          </cell>
          <cell r="E229" t="str">
            <v/>
          </cell>
          <cell r="F229" t="str">
            <v>Final</v>
          </cell>
          <cell r="G229" t="str">
            <v>Final Collected</v>
          </cell>
          <cell r="H229" t="str">
            <v>No</v>
          </cell>
          <cell r="I229" t="str">
            <v>Efrain Zarate, Trevor Benthagen</v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>https://panda-windows-and-doors.monday.com/protected_static/21046287/resources/1949601854/83078 Deposit Invoice.pdf, https://panda-windows-and-doors.monday.com/protected_static/21046287/resources/1949604957/83078 Deposit Invoice CO 1.pdf, https://panda-windows-and-doors.monday.com/protected_static/21046287/resources/2026685802/83078 Final Invoice.pdf</v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>Completed - Closed Out</v>
          </cell>
          <cell r="T229" t="str">
            <v/>
          </cell>
          <cell r="U229">
            <v>15213.5</v>
          </cell>
          <cell r="V229">
            <v>17760.68</v>
          </cell>
          <cell r="W229" t="str">
            <v>Annalene Conde Oct 31, 2025 9:47 AM</v>
          </cell>
          <cell r="X229" t="str">
            <v>2025-01-07 00:00</v>
          </cell>
          <cell r="Y229">
            <v>45735</v>
          </cell>
          <cell r="Z229" t="str">
            <v/>
          </cell>
          <cell r="AA229">
            <v>45735</v>
          </cell>
          <cell r="AB229" t="str">
            <v>Jayme Truong Jan 21, 2025 4:12 PM</v>
          </cell>
          <cell r="AC229">
            <v>45740</v>
          </cell>
          <cell r="AD229">
            <v>45740</v>
          </cell>
          <cell r="AE229">
            <v>45740</v>
          </cell>
          <cell r="AF229">
            <v>45740</v>
          </cell>
          <cell r="AG229">
            <v>45740</v>
          </cell>
          <cell r="AH229" t="str">
            <v>Stephanie Brown ADD ON</v>
          </cell>
          <cell r="AI229">
            <v>45678</v>
          </cell>
        </row>
        <row r="230">
          <cell r="C230">
            <v>83098</v>
          </cell>
          <cell r="D230" t="str">
            <v/>
          </cell>
          <cell r="E230" t="str">
            <v/>
          </cell>
          <cell r="F230" t="str">
            <v>Final</v>
          </cell>
          <cell r="G230" t="str">
            <v>Final Collected</v>
          </cell>
          <cell r="H230" t="str">
            <v>No</v>
          </cell>
          <cell r="I230" t="str">
            <v>Sean Torre</v>
          </cell>
          <cell r="J230" t="str">
            <v/>
          </cell>
          <cell r="K230" t="str">
            <v>https://panda-windows-and-doors.monday.com/protected_static/21046287/resources/1893555252/Signed (#JP 83098) Blue Vault_.pdf</v>
          </cell>
          <cell r="L230" t="str">
            <v>https://panda-windows-and-doors.monday.com/protected_static/21046287/resources/2083473068/no-reply@panda-windows.com_20250113_122913.pdf</v>
          </cell>
          <cell r="M230" t="str">
            <v/>
          </cell>
          <cell r="N230" t="str">
            <v>https://panda-windows-and-doors.monday.com/protected_static/21046287/resources/1903596860/83098 DEPOSIT INVOICE.pdf, https://panda-windows-and-doors.monday.com/protected_static/21046287/resources/2031379881/83098 Final Invoice.pdf</v>
          </cell>
          <cell r="O230" t="str">
            <v>Daniel Irlando</v>
          </cell>
          <cell r="P230" t="str">
            <v/>
          </cell>
          <cell r="Q230" t="str">
            <v/>
          </cell>
          <cell r="R230" t="str">
            <v/>
          </cell>
          <cell r="S230" t="str">
            <v>Completed - Closed Out</v>
          </cell>
          <cell r="T230" t="str">
            <v/>
          </cell>
          <cell r="U230">
            <v>12612</v>
          </cell>
          <cell r="V230">
            <v>12612</v>
          </cell>
          <cell r="W230" t="str">
            <v>Annalene Conde Oct 31, 2025 9:47 AM</v>
          </cell>
          <cell r="X230" t="str">
            <v>2024-12-12 15:46</v>
          </cell>
          <cell r="Y230">
            <v>45671</v>
          </cell>
          <cell r="Z230" t="str">
            <v/>
          </cell>
          <cell r="AA230">
            <v>45673</v>
          </cell>
          <cell r="AB230" t="str">
            <v>Jayme Truong Jan 13, 2025 3:04 PM</v>
          </cell>
          <cell r="AC230">
            <v>45674</v>
          </cell>
          <cell r="AD230">
            <v>45677</v>
          </cell>
          <cell r="AE230">
            <v>45737</v>
          </cell>
          <cell r="AF230">
            <v>45737</v>
          </cell>
          <cell r="AG230">
            <v>45740</v>
          </cell>
          <cell r="AH230" t="str">
            <v>Daniel Irlando</v>
          </cell>
          <cell r="AI230" t="str">
            <v/>
          </cell>
        </row>
        <row r="231">
          <cell r="C231">
            <v>82594</v>
          </cell>
          <cell r="D231" t="str">
            <v/>
          </cell>
          <cell r="E231" t="str">
            <v/>
          </cell>
          <cell r="F231" t="str">
            <v>Final</v>
          </cell>
          <cell r="G231" t="str">
            <v>Final Collected</v>
          </cell>
          <cell r="H231" t="str">
            <v>No</v>
          </cell>
          <cell r="I231" t="str">
            <v>Trevor Benthagen, Efrain Zarate</v>
          </cell>
          <cell r="J231" t="str">
            <v/>
          </cell>
          <cell r="K231" t="str">
            <v>https://panda-windows-and-doors.monday.com/protected_static/21046287/resources/1899164975/Q#82594 Signed Proposal.pdf</v>
          </cell>
          <cell r="L231" t="str">
            <v>https://panda-windows-and-doors.monday.com/protected_static/21046287/resources/2083482698/Q_82594 Backer.pdf</v>
          </cell>
          <cell r="M231" t="str">
            <v/>
          </cell>
          <cell r="N231" t="str">
            <v>https://panda-windows-and-doors.monday.com/protected_static/21046287/resources/2017212807/82594 DEPOSIT INVOICE REVISED.pdf, https://panda-windows-and-doors.monday.com/protected_static/21046287/resources/2035112968/82594 Final invoice.pdf</v>
          </cell>
          <cell r="O231" t="str">
            <v>Kason Sullivan</v>
          </cell>
          <cell r="P231" t="str">
            <v/>
          </cell>
          <cell r="Q231" t="str">
            <v/>
          </cell>
          <cell r="R231" t="str">
            <v/>
          </cell>
          <cell r="S231" t="str">
            <v>Completed - Closed Out</v>
          </cell>
          <cell r="T231" t="str">
            <v/>
          </cell>
          <cell r="U231">
            <v>9072</v>
          </cell>
          <cell r="V231">
            <v>10627</v>
          </cell>
          <cell r="W231" t="str">
            <v>Annalene Conde Oct 31, 2025 9:48 AM</v>
          </cell>
          <cell r="X231" t="str">
            <v>2025-01-15 14:56</v>
          </cell>
          <cell r="Y231">
            <v>45672</v>
          </cell>
          <cell r="Z231" t="str">
            <v/>
          </cell>
          <cell r="AA231">
            <v>45730</v>
          </cell>
          <cell r="AB231" t="str">
            <v>Jayme Truong Jan 15, 2025 2:58 PM</v>
          </cell>
          <cell r="AC231">
            <v>45730</v>
          </cell>
          <cell r="AD231">
            <v>45742</v>
          </cell>
          <cell r="AE231">
            <v>45730</v>
          </cell>
          <cell r="AF231">
            <v>45730</v>
          </cell>
          <cell r="AG231">
            <v>45742</v>
          </cell>
          <cell r="AH231" t="str">
            <v>Kason Sullivan</v>
          </cell>
          <cell r="AI231" t="str">
            <v/>
          </cell>
        </row>
        <row r="232">
          <cell r="C232">
            <v>83412</v>
          </cell>
          <cell r="D232" t="str">
            <v/>
          </cell>
          <cell r="E232" t="str">
            <v/>
          </cell>
          <cell r="F232" t="str">
            <v>Final</v>
          </cell>
          <cell r="G232" t="str">
            <v>Final Collected</v>
          </cell>
          <cell r="H232" t="str">
            <v>No</v>
          </cell>
          <cell r="I232" t="str">
            <v>Sean Torre</v>
          </cell>
          <cell r="J232" t="str">
            <v/>
          </cell>
          <cell r="K232" t="str">
            <v>https://panda-windows-and-doors.monday.com/protected_static/21046287/resources/1906841662/Q#83412 - siciliano sliding door - signe.pdf</v>
          </cell>
          <cell r="L232" t="str">
            <v>https://panda-windows-and-doors.monday.com/protected_static/21046287/resources/2083478212/Q#83412 - siciliano - signed backer.pdf, https://panda-windows-and-doors.monday.com/protected_static/21046287/resources/2083478211/Siciliano Sliding door 01202025.xlsx, https://panda-windows-and-doors.monday.com/protected_static/21046287/resources/2083478205/Siciliano Sliding door 01202025.xlsx_Q_83412 - siciliano - signed backer.pdf</v>
          </cell>
          <cell r="M232" t="str">
            <v/>
          </cell>
          <cell r="N232" t="str">
            <v>https://panda-windows-and-doors.monday.com/protected_static/21046287/resources/1907428632/83412 DEPOSIT INVOICE.pdf</v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>Completed - Closed Out</v>
          </cell>
          <cell r="T232" t="str">
            <v/>
          </cell>
          <cell r="U232">
            <v>10559</v>
          </cell>
          <cell r="V232">
            <v>12326.54</v>
          </cell>
          <cell r="W232" t="str">
            <v>Annalene Conde Oct 31, 2025 9:48 AM</v>
          </cell>
          <cell r="X232" t="str">
            <v>2025-01-16 00:00</v>
          </cell>
          <cell r="Y232">
            <v>45677</v>
          </cell>
          <cell r="Z232" t="str">
            <v/>
          </cell>
          <cell r="AA232">
            <v>45677</v>
          </cell>
          <cell r="AB232" t="str">
            <v>Jayme Truong Jan 20, 2025 11:27 AM</v>
          </cell>
          <cell r="AC232">
            <v>45677</v>
          </cell>
          <cell r="AD232">
            <v>45677</v>
          </cell>
          <cell r="AE232">
            <v>45747</v>
          </cell>
          <cell r="AF232">
            <v>45747</v>
          </cell>
          <cell r="AG232">
            <v>45748</v>
          </cell>
          <cell r="AH232" t="str">
            <v>Holly &amp; Dan Siciliano</v>
          </cell>
          <cell r="AI232" t="str">
            <v/>
          </cell>
        </row>
        <row r="233">
          <cell r="C233">
            <v>83157</v>
          </cell>
          <cell r="D233" t="str">
            <v/>
          </cell>
          <cell r="E233" t="str">
            <v/>
          </cell>
          <cell r="F233" t="str">
            <v>Final</v>
          </cell>
          <cell r="G233" t="str">
            <v>Final Collected</v>
          </cell>
          <cell r="H233" t="str">
            <v>No</v>
          </cell>
          <cell r="I233" t="str">
            <v>Sean Torre, Trevor Benthagen, Efrain Zarate</v>
          </cell>
          <cell r="J233" t="str">
            <v/>
          </cell>
          <cell r="K233" t="str">
            <v>https://panda-windows-and-doors.monday.com/protected_static/21046287/resources/1884784732/Panda Signed Quote - 1-7-2025 Janda Entry Door.pdf</v>
          </cell>
          <cell r="L233" t="str">
            <v>https://panda-windows-and-doors.monday.com/protected_static/21046287/resources/2083446419/CamScanner 01-08-2025 15.37.pdf, https://panda-windows-and-doors.monday.com/protected_static/21046287/resources/2083446421/Janda Entry Door 12192024.xlsx, https://panda-windows-and-doors.monday.com/protected_static/21046287/resources/2083446414/CamScanner 01-08-2025 15.37 (1).pdf</v>
          </cell>
          <cell r="M233" t="str">
            <v/>
          </cell>
          <cell r="N233" t="str">
            <v>https://panda-windows-and-doors.monday.com/protected_static/21046287/resources/1886520746/83157 DEPOSIT INVOICE.pdf</v>
          </cell>
          <cell r="O233" t="str">
            <v>Jillian Bradley</v>
          </cell>
          <cell r="P233" t="str">
            <v/>
          </cell>
          <cell r="Q233" t="str">
            <v/>
          </cell>
          <cell r="R233" t="str">
            <v/>
          </cell>
          <cell r="S233" t="str">
            <v>Completed - Closed Out</v>
          </cell>
          <cell r="T233" t="str">
            <v/>
          </cell>
          <cell r="U233">
            <v>14361</v>
          </cell>
          <cell r="V233">
            <v>16766.46</v>
          </cell>
          <cell r="W233" t="str">
            <v>Annalene Conde Oct 31, 2025 9:48 AM</v>
          </cell>
          <cell r="X233" t="str">
            <v>2024-12-17 13:26</v>
          </cell>
          <cell r="Y233">
            <v>45665</v>
          </cell>
          <cell r="Z233" t="str">
            <v/>
          </cell>
          <cell r="AA233">
            <v>45665</v>
          </cell>
          <cell r="AB233" t="str">
            <v>Jayme Truong Jan 8, 2025 4:43 PM</v>
          </cell>
          <cell r="AC233">
            <v>45665</v>
          </cell>
          <cell r="AD233">
            <v>45670</v>
          </cell>
          <cell r="AE233">
            <v>45747</v>
          </cell>
          <cell r="AF233">
            <v>45747</v>
          </cell>
          <cell r="AG233">
            <v>45748</v>
          </cell>
          <cell r="AH233" t="str">
            <v>Jillian Bradley</v>
          </cell>
          <cell r="AI233" t="str">
            <v/>
          </cell>
        </row>
        <row r="234">
          <cell r="C234">
            <v>83798</v>
          </cell>
          <cell r="D234" t="str">
            <v/>
          </cell>
          <cell r="E234" t="str">
            <v/>
          </cell>
          <cell r="F234" t="str">
            <v>Final</v>
          </cell>
          <cell r="G234" t="str">
            <v>Final Collected</v>
          </cell>
          <cell r="H234" t="str">
            <v>⚠️ Expedited</v>
          </cell>
          <cell r="I234" t="str">
            <v>Mary Wursten</v>
          </cell>
          <cell r="J234" t="str">
            <v>Tiranit Shoshan</v>
          </cell>
          <cell r="K234" t="str">
            <v>https://panda-windows-and-doors.monday.com/protected_static/21046287/resources/1968909864/Signed Sales Order_021925.pdf</v>
          </cell>
          <cell r="L234" t="str">
            <v>https://panda-windows-and-doors.monday.com/protected_static/21046287/resources/2083538155/Signed Backer_021925.pdf, https://panda-windows-and-doors.monday.com/protected_static/21046287/resources/2083538154/Lancaster Way SE-1 02102025.xlsx, https://panda-windows-and-doors.monday.com/protected_static/21046287/resources/2083538148/Lancaster Way SE-1 - 021925.xlsx</v>
          </cell>
          <cell r="M234" t="str">
            <v/>
          </cell>
          <cell r="N234" t="str">
            <v>https://panda-windows-and-doors.monday.com/protected_static/21046287/resources/1970745283/73798 Deposit Invoice.pdf</v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>Completed - Closed Out</v>
          </cell>
          <cell r="T234" t="str">
            <v/>
          </cell>
          <cell r="U234">
            <v>1945</v>
          </cell>
          <cell r="V234">
            <v>1496.99</v>
          </cell>
          <cell r="W234" t="str">
            <v>Annalene Conde Oct 31, 2025 9:48 AM</v>
          </cell>
          <cell r="X234" t="str">
            <v>2025-02-10 00:00</v>
          </cell>
          <cell r="Y234">
            <v>45707</v>
          </cell>
          <cell r="Z234" t="str">
            <v/>
          </cell>
          <cell r="AA234">
            <v>45707</v>
          </cell>
          <cell r="AB234" t="str">
            <v>Jayme Truong Feb 19, 2025 2:22 PM</v>
          </cell>
          <cell r="AC234">
            <v>45707</v>
          </cell>
          <cell r="AD234">
            <v>45713</v>
          </cell>
          <cell r="AE234">
            <v>45747</v>
          </cell>
          <cell r="AF234">
            <v>45747</v>
          </cell>
          <cell r="AG234">
            <v>45748</v>
          </cell>
          <cell r="AH234" t="str">
            <v>Bryan Kelley</v>
          </cell>
          <cell r="AI234" t="str">
            <v/>
          </cell>
        </row>
        <row r="235">
          <cell r="C235">
            <v>83552</v>
          </cell>
          <cell r="D235" t="str">
            <v/>
          </cell>
          <cell r="E235" t="str">
            <v/>
          </cell>
          <cell r="F235" t="str">
            <v>Final</v>
          </cell>
          <cell r="G235" t="str">
            <v>Final Collected</v>
          </cell>
          <cell r="H235" t="str">
            <v>No</v>
          </cell>
          <cell r="I235" t="str">
            <v>Trevor Benthagen, Efrain Zarate</v>
          </cell>
          <cell r="J235" t="str">
            <v/>
          </cell>
          <cell r="K235" t="str">
            <v>https://panda-windows-and-doors.monday.com/protected_static/21046287/resources/1929807734/smtp.office365.com_20250130_135348.pdf</v>
          </cell>
          <cell r="L235" t="str">
            <v>https://panda-windows-and-doors.monday.com/protected_static/21046287/resources/2083512337/smtp.office365.com_20250130_135331.pdf</v>
          </cell>
          <cell r="M235" t="str">
            <v/>
          </cell>
          <cell r="N235" t="str">
            <v>https://panda-windows-and-doors.monday.com/protected_static/21046287/resources/1931170075/83552 DEPOSIT INVOICE.pdf</v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>Completed - Closed Out</v>
          </cell>
          <cell r="T235" t="str">
            <v/>
          </cell>
          <cell r="U235">
            <v>5278.5</v>
          </cell>
          <cell r="V235">
            <v>6162.65</v>
          </cell>
          <cell r="W235" t="str">
            <v>Annalene Conde Oct 31, 2025 9:49 AM</v>
          </cell>
          <cell r="X235" t="str">
            <v>2025-01-30 16:35</v>
          </cell>
          <cell r="Y235">
            <v>45687</v>
          </cell>
          <cell r="Z235" t="str">
            <v/>
          </cell>
          <cell r="AA235">
            <v>45687</v>
          </cell>
          <cell r="AB235" t="str">
            <v>Jayme Truong Jan 30, 2025 4:38 PM</v>
          </cell>
          <cell r="AC235">
            <v>45687</v>
          </cell>
          <cell r="AD235">
            <v>45691</v>
          </cell>
          <cell r="AE235">
            <v>45750</v>
          </cell>
          <cell r="AF235">
            <v>45750</v>
          </cell>
          <cell r="AG235">
            <v>45750</v>
          </cell>
          <cell r="AH235" t="str">
            <v>Mehrsan Talebi</v>
          </cell>
          <cell r="AI235" t="str">
            <v/>
          </cell>
        </row>
        <row r="236">
          <cell r="C236">
            <v>84761</v>
          </cell>
          <cell r="D236" t="str">
            <v/>
          </cell>
          <cell r="E236" t="str">
            <v/>
          </cell>
          <cell r="F236" t="str">
            <v>Final</v>
          </cell>
          <cell r="G236" t="str">
            <v>Final Collected</v>
          </cell>
          <cell r="H236" t="str">
            <v>No</v>
          </cell>
          <cell r="I236" t="str">
            <v>Trevor Benthagen, Efrain Zarate</v>
          </cell>
          <cell r="J236" t="str">
            <v/>
          </cell>
          <cell r="K236" t="str">
            <v>https://panda-windows-and-doors.monday.com/protected_static/21046287/resources/2056782431/smtp.office365.com_20250402_113837.pdf</v>
          </cell>
          <cell r="L236" t="str">
            <v>https://panda-windows-and-doors.monday.com/protected_static/21046287/resources/2083371537/smtp.office365.com_20250402_113845.pdf</v>
          </cell>
          <cell r="M236" t="str">
            <v/>
          </cell>
          <cell r="N236" t="str">
            <v>https://panda-windows-and-doors.monday.com/protected_static/21046287/resources/2056822843/84761 Deposit Invoice.pdf</v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>Completed - Closed Out</v>
          </cell>
          <cell r="T236" t="str">
            <v/>
          </cell>
          <cell r="U236">
            <v>14476.73</v>
          </cell>
          <cell r="V236">
            <v>0</v>
          </cell>
          <cell r="W236" t="str">
            <v>Sean Lopez Apr 10, 2026 3:39 PM</v>
          </cell>
          <cell r="X236" t="str">
            <v>2025-04-02 00:00</v>
          </cell>
          <cell r="Y236">
            <v>45749</v>
          </cell>
          <cell r="Z236" t="str">
            <v/>
          </cell>
          <cell r="AA236">
            <v>45749</v>
          </cell>
          <cell r="AB236" t="str">
            <v>Jayme Truong Apr 2, 2025 2:12 PM</v>
          </cell>
          <cell r="AC236">
            <v>45749</v>
          </cell>
          <cell r="AD236">
            <v>45750</v>
          </cell>
          <cell r="AE236" t="str">
            <v/>
          </cell>
          <cell r="AF236" t="str">
            <v/>
          </cell>
          <cell r="AG236">
            <v>45750</v>
          </cell>
          <cell r="AH236" t="str">
            <v>Harvey Gill</v>
          </cell>
          <cell r="AI236" t="str">
            <v/>
          </cell>
        </row>
        <row r="237">
          <cell r="C237">
            <v>83040</v>
          </cell>
          <cell r="D237" t="str">
            <v/>
          </cell>
          <cell r="E237" t="str">
            <v/>
          </cell>
          <cell r="F237" t="str">
            <v>Final</v>
          </cell>
          <cell r="G237" t="str">
            <v>Final Collected</v>
          </cell>
          <cell r="H237" t="str">
            <v>No</v>
          </cell>
          <cell r="I237" t="str">
            <v>Sean Torre, Efrain Zarate, Trevor Benthagen</v>
          </cell>
          <cell r="J237" t="str">
            <v/>
          </cell>
          <cell r="K237" t="str">
            <v>https://panda-windows-and-doors.monday.com/protected_static/21046287/resources/1884474330/Full signed proposal - Damati Doors.pdf</v>
          </cell>
          <cell r="L237" t="str">
            <v>https://panda-windows-and-doors.monday.com/protected_static/21046287/resources/2083475060/Q_83040 - Damati Door - Avi signed backer.pdf, https://panda-windows-and-doors.monday.com/protected_static/21046287/resources/2083475053/Damati Doors 01072025.xlsx</v>
          </cell>
          <cell r="M237" t="str">
            <v/>
          </cell>
          <cell r="N237" t="str">
            <v>https://panda-windows-and-doors.monday.com/protected_static/21046287/resources/1884704204/83040 DEPOSIT INVOICE.pdf</v>
          </cell>
          <cell r="O237" t="str">
            <v>Brandon Damati</v>
          </cell>
          <cell r="P237" t="str">
            <v/>
          </cell>
          <cell r="Q237" t="str">
            <v/>
          </cell>
          <cell r="R237" t="str">
            <v/>
          </cell>
          <cell r="S237" t="str">
            <v>Completed - Closed Out</v>
          </cell>
          <cell r="T237" t="str">
            <v/>
          </cell>
          <cell r="U237">
            <v>8487</v>
          </cell>
          <cell r="V237">
            <v>9907.49</v>
          </cell>
          <cell r="W237" t="str">
            <v>Annalene Conde Oct 31, 2025 9:49 AM</v>
          </cell>
          <cell r="X237" t="str">
            <v>2024-12-12 11:11</v>
          </cell>
          <cell r="Y237">
            <v>45665</v>
          </cell>
          <cell r="Z237" t="str">
            <v/>
          </cell>
          <cell r="AA237">
            <v>45665</v>
          </cell>
          <cell r="AB237" t="str">
            <v>Jayme Truong Jan 8, 2025 10:13 AM</v>
          </cell>
          <cell r="AC237">
            <v>45665</v>
          </cell>
          <cell r="AD237">
            <v>45681</v>
          </cell>
          <cell r="AE237">
            <v>45748</v>
          </cell>
          <cell r="AF237">
            <v>45748</v>
          </cell>
          <cell r="AG237">
            <v>45751</v>
          </cell>
          <cell r="AH237" t="str">
            <v>Brandon Damati</v>
          </cell>
          <cell r="AI237" t="str">
            <v/>
          </cell>
        </row>
        <row r="238">
          <cell r="C238">
            <v>83303</v>
          </cell>
          <cell r="D238" t="str">
            <v/>
          </cell>
          <cell r="E238" t="str">
            <v/>
          </cell>
          <cell r="F238" t="str">
            <v>Final</v>
          </cell>
          <cell r="G238" t="str">
            <v>Final Collected</v>
          </cell>
          <cell r="H238" t="str">
            <v>No</v>
          </cell>
          <cell r="I238" t="str">
            <v>Sean Torre</v>
          </cell>
          <cell r="J238" t="str">
            <v/>
          </cell>
          <cell r="K238" t="str">
            <v>https://panda-windows-and-doors.monday.com/protected_static/21046287/resources/1893772766/139554 PANDA----- WOLF CREEK FARMS CLUBquote.pdf</v>
          </cell>
          <cell r="L238" t="str">
            <v>https://panda-windows-and-doors.monday.com/protected_static/21046287/resources/2083471136/no-reply@panda-windows.com_20250113_141600.pdf</v>
          </cell>
          <cell r="M238" t="str">
            <v/>
          </cell>
          <cell r="N238" t="str">
            <v>https://panda-windows-and-doors.monday.com/protected_static/21046287/resources/1903681066/83303 DEPOSIT INVOICE.pdf</v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>Completed - Closed Out</v>
          </cell>
          <cell r="T238" t="str">
            <v/>
          </cell>
          <cell r="U238">
            <v>10968</v>
          </cell>
          <cell r="V238">
            <v>0</v>
          </cell>
          <cell r="W238" t="str">
            <v>Annalene Conde Oct 31, 2025 9:49 AM</v>
          </cell>
          <cell r="X238" t="str">
            <v>2025-01-13 00:00</v>
          </cell>
          <cell r="Y238">
            <v>45672</v>
          </cell>
          <cell r="Z238" t="str">
            <v/>
          </cell>
          <cell r="AA238">
            <v>45672</v>
          </cell>
          <cell r="AB238" t="str">
            <v>Jayme Truong Jan 15, 2025 11:40 AM</v>
          </cell>
          <cell r="AC238">
            <v>45674</v>
          </cell>
          <cell r="AD238">
            <v>45679</v>
          </cell>
          <cell r="AE238">
            <v>45756</v>
          </cell>
          <cell r="AF238">
            <v>45756</v>
          </cell>
          <cell r="AG238">
            <v>45756</v>
          </cell>
          <cell r="AH238" t="str">
            <v>Keystone Distribution</v>
          </cell>
          <cell r="AI238" t="str">
            <v/>
          </cell>
        </row>
        <row r="239">
          <cell r="C239">
            <v>83314</v>
          </cell>
          <cell r="D239" t="str">
            <v/>
          </cell>
          <cell r="E239" t="str">
            <v/>
          </cell>
          <cell r="F239" t="str">
            <v>Final</v>
          </cell>
          <cell r="G239" t="str">
            <v>Final Collected</v>
          </cell>
          <cell r="H239" t="str">
            <v>No</v>
          </cell>
          <cell r="I239" t="str">
            <v>Efrain Zarate, Trevor Benthagen</v>
          </cell>
          <cell r="J239" t="str">
            <v/>
          </cell>
          <cell r="K239" t="str">
            <v/>
          </cell>
          <cell r="L239" t="str">
            <v>https://panda-windows-and-doors.monday.com/protected_static/21046287/resources/2083496531/smtp.office365.com_20250131_113243.pdf, https://panda-windows-and-doors.monday.com/protected_static/21046287/resources/2083496535/Ortiz Residence 01082025.xlsx</v>
          </cell>
          <cell r="M239" t="str">
            <v/>
          </cell>
          <cell r="N239" t="str">
            <v>https://panda-windows-and-doors.monday.com/protected_static/21046287/resources/1931943595/83314 Deposit Invoice.pdf, https://panda-windows-and-doors.monday.com/protected_static/21046287/resources/2069785996/83314 Final Invoice.pdf</v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>Completed - Closed Out</v>
          </cell>
          <cell r="T239" t="str">
            <v/>
          </cell>
          <cell r="U239">
            <v>6637</v>
          </cell>
          <cell r="V239">
            <v>6637</v>
          </cell>
          <cell r="W239" t="str">
            <v>Annalene Conde Oct 31, 2025 9:50 AM</v>
          </cell>
          <cell r="X239" t="str">
            <v>2025-01-08 00:00</v>
          </cell>
          <cell r="Y239">
            <v>45688</v>
          </cell>
          <cell r="Z239" t="str">
            <v/>
          </cell>
          <cell r="AA239">
            <v>45688</v>
          </cell>
          <cell r="AB239" t="str">
            <v>Jayme Truong Jan 31, 2025 12:21 PM</v>
          </cell>
          <cell r="AC239">
            <v>45688</v>
          </cell>
          <cell r="AD239">
            <v>45691</v>
          </cell>
          <cell r="AE239">
            <v>45755</v>
          </cell>
          <cell r="AF239">
            <v>45755</v>
          </cell>
          <cell r="AG239">
            <v>45758</v>
          </cell>
          <cell r="AH239" t="str">
            <v>Fast Glass</v>
          </cell>
          <cell r="AI239" t="str">
            <v/>
          </cell>
        </row>
        <row r="240">
          <cell r="C240">
            <v>80596</v>
          </cell>
          <cell r="D240" t="str">
            <v/>
          </cell>
          <cell r="E240" t="str">
            <v/>
          </cell>
          <cell r="F240" t="str">
            <v>Final</v>
          </cell>
          <cell r="G240" t="str">
            <v>Final Collected</v>
          </cell>
          <cell r="H240" t="str">
            <v>No</v>
          </cell>
          <cell r="I240" t="str">
            <v>Sean Torre</v>
          </cell>
          <cell r="J240" t="str">
            <v/>
          </cell>
          <cell r="K240" t="str">
            <v>https://panda-windows-and-doors.monday.com/protected_static/21046287/resources/2083763774/mosaicFoldingDoorOrder1-7-2025.pdf</v>
          </cell>
          <cell r="L240" t="str">
            <v>https://panda-windows-and-doors.monday.com/protected_static/21046287/resources/2083506016/no-reply_panda-windows.com_20250110_090650.pdf</v>
          </cell>
          <cell r="M240" t="str">
            <v/>
          </cell>
          <cell r="N240" t="str">
            <v>https://panda-windows-and-doors.monday.com/protected_static/21046287/resources/1889164332/80596 DEPOSIT INVOICE.pdf</v>
          </cell>
          <cell r="O240" t="str">
            <v>Keller Glass</v>
          </cell>
          <cell r="P240" t="str">
            <v/>
          </cell>
          <cell r="Q240" t="str">
            <v/>
          </cell>
          <cell r="R240" t="str">
            <v/>
          </cell>
          <cell r="S240" t="str">
            <v>Completed - Closed Out</v>
          </cell>
          <cell r="T240" t="str">
            <v/>
          </cell>
          <cell r="U240">
            <v>16850.5</v>
          </cell>
          <cell r="V240">
            <v>16850.5</v>
          </cell>
          <cell r="W240" t="str">
            <v>Annalene Conde Oct 31, 2025 9:50 AM</v>
          </cell>
          <cell r="X240" t="str">
            <v>2025-01-10 00:00</v>
          </cell>
          <cell r="Y240">
            <v>45667</v>
          </cell>
          <cell r="Z240" t="str">
            <v/>
          </cell>
          <cell r="AA240">
            <v>45667</v>
          </cell>
          <cell r="AB240" t="str">
            <v>Jayme Truong Jan 10, 2025 11:29 AM</v>
          </cell>
          <cell r="AC240">
            <v>45667</v>
          </cell>
          <cell r="AD240">
            <v>45667</v>
          </cell>
          <cell r="AE240">
            <v>45763</v>
          </cell>
          <cell r="AF240">
            <v>45763</v>
          </cell>
          <cell r="AG240">
            <v>45763</v>
          </cell>
          <cell r="AH240" t="str">
            <v>Keller Glass</v>
          </cell>
          <cell r="AI240" t="str">
            <v/>
          </cell>
        </row>
        <row r="241">
          <cell r="C241">
            <v>84876</v>
          </cell>
          <cell r="D241" t="str">
            <v/>
          </cell>
          <cell r="E241" t="str">
            <v/>
          </cell>
          <cell r="F241" t="str">
            <v>Final</v>
          </cell>
          <cell r="G241" t="str">
            <v>Final Collected</v>
          </cell>
          <cell r="H241" t="str">
            <v>No</v>
          </cell>
          <cell r="I241" t="str">
            <v>Mary Wursten</v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>https://panda-windows-and-doors.monday.com/protected_static/21046287/resources/2077417011/84876 Deposit Invoice.pdf</v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>
            <v>10775</v>
          </cell>
          <cell r="V241">
            <v>0</v>
          </cell>
          <cell r="W241" t="str">
            <v>Sean Lopez Apr 10, 2026 3:40 PM</v>
          </cell>
          <cell r="X241" t="str">
            <v/>
          </cell>
          <cell r="Y241">
            <v>45758</v>
          </cell>
          <cell r="Z241" t="str">
            <v/>
          </cell>
          <cell r="AA241">
            <v>45758</v>
          </cell>
          <cell r="AB241" t="str">
            <v>Jayme Truong Apr 11, 2025 8:46 AM</v>
          </cell>
          <cell r="AC241">
            <v>45758</v>
          </cell>
          <cell r="AD241">
            <v>45763</v>
          </cell>
          <cell r="AE241">
            <v>45763</v>
          </cell>
          <cell r="AF241">
            <v>45763</v>
          </cell>
          <cell r="AG241">
            <v>45764</v>
          </cell>
          <cell r="AH241" t="str">
            <v/>
          </cell>
          <cell r="AI241" t="str">
            <v/>
          </cell>
        </row>
        <row r="242">
          <cell r="C242">
            <v>81970</v>
          </cell>
          <cell r="D242" t="str">
            <v/>
          </cell>
          <cell r="E242" t="str">
            <v/>
          </cell>
          <cell r="F242" t="str">
            <v>Final</v>
          </cell>
          <cell r="G242" t="str">
            <v>Final Collected</v>
          </cell>
          <cell r="H242" t="str">
            <v>No</v>
          </cell>
          <cell r="I242" t="str">
            <v>Efrain Zarate, Trevor Benthagen</v>
          </cell>
          <cell r="J242" t="str">
            <v/>
          </cell>
          <cell r="K242" t="str">
            <v>https://panda-windows-and-doors.monday.com/protected_static/21046287/resources/2083754321/smtp.office365.com_20250123_122223.pdf</v>
          </cell>
          <cell r="L242" t="str">
            <v>https://panda-windows-and-doors.monday.com/protected_static/21046287/resources/2083506079/smtp.office365.com_20250123_122212.pdf</v>
          </cell>
          <cell r="M242" t="str">
            <v/>
          </cell>
          <cell r="N242" t="str">
            <v>https://panda-windows-and-doors.monday.com/protected_static/21046287/resources/1917232154/81970 Deposit Invoice.pdf, https://panda-windows-and-doors.monday.com/protected_static/21046287/resources/2074885878/81970 Final Invoice.pdf</v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>Completed - Closed Out</v>
          </cell>
          <cell r="T242" t="str">
            <v/>
          </cell>
          <cell r="U242">
            <v>11861</v>
          </cell>
          <cell r="V242">
            <v>11860</v>
          </cell>
          <cell r="W242" t="str">
            <v>Annalene Conde Oct 31, 2025 9:51 AM</v>
          </cell>
          <cell r="X242" t="str">
            <v>2025-01-21 00:00</v>
          </cell>
          <cell r="Y242">
            <v>45680</v>
          </cell>
          <cell r="Z242" t="str">
            <v/>
          </cell>
          <cell r="AA242">
            <v>45680</v>
          </cell>
          <cell r="AB242" t="str">
            <v>Jayme Truong Jan 23, 2025 3:41 PM</v>
          </cell>
          <cell r="AC242">
            <v>45680</v>
          </cell>
          <cell r="AD242">
            <v>45695</v>
          </cell>
          <cell r="AE242">
            <v>45757</v>
          </cell>
          <cell r="AF242">
            <v>45757</v>
          </cell>
          <cell r="AG242">
            <v>45764</v>
          </cell>
          <cell r="AH242" t="str">
            <v>Triple R Construction</v>
          </cell>
          <cell r="AI242" t="str">
            <v/>
          </cell>
        </row>
        <row r="243">
          <cell r="C243">
            <v>83093</v>
          </cell>
          <cell r="D243" t="str">
            <v/>
          </cell>
          <cell r="E243" t="str">
            <v/>
          </cell>
          <cell r="F243" t="str">
            <v>Final</v>
          </cell>
          <cell r="G243" t="str">
            <v>Final Collected</v>
          </cell>
          <cell r="H243" t="str">
            <v>No</v>
          </cell>
          <cell r="I243" t="str">
            <v>Jaron Krause</v>
          </cell>
          <cell r="J243" t="str">
            <v/>
          </cell>
          <cell r="K243" t="str">
            <v>https://panda-windows-and-doors.monday.com/protected_static/21046287/resources/1906716938/QQ#83093  415 Level 18 Spec Suite - Panda Wall VE 12132024-Signed.pdf</v>
          </cell>
          <cell r="L243" t="str">
            <v>https://panda-windows-and-doors.monday.com/protected_static/21046287/resources/2083467958/Q83093 - Avi approved backer.pdf_Q83093 - Avi approved backer.pdf, https://panda-windows-and-doors.monday.com/protected_static/21046287/resources/2083467961/Q83093 - Avi approved backer.pdf</v>
          </cell>
          <cell r="M243" t="str">
            <v/>
          </cell>
          <cell r="N243" t="str">
            <v>https://panda-windows-and-doors.monday.com/protected_static/21046287/resources/1912023719/83093 DEPOSIT INVOICE.pdf</v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>Completed - Closed Out</v>
          </cell>
          <cell r="T243" t="str">
            <v/>
          </cell>
          <cell r="U243">
            <v>11796</v>
          </cell>
          <cell r="V243">
            <v>11796</v>
          </cell>
          <cell r="W243" t="str">
            <v>Annalene Conde Oct 31, 2025 9:51 AM</v>
          </cell>
          <cell r="X243" t="str">
            <v>2025-01-20 00:00</v>
          </cell>
          <cell r="Y243">
            <v>45677</v>
          </cell>
          <cell r="Z243" t="str">
            <v/>
          </cell>
          <cell r="AA243">
            <v>45677</v>
          </cell>
          <cell r="AB243" t="str">
            <v>Jayme Truong Jan 20, 2025 12:14 PM</v>
          </cell>
          <cell r="AC243">
            <v>45677</v>
          </cell>
          <cell r="AD243">
            <v>45730</v>
          </cell>
          <cell r="AE243">
            <v>45763</v>
          </cell>
          <cell r="AF243">
            <v>45763</v>
          </cell>
          <cell r="AG243">
            <v>45764</v>
          </cell>
          <cell r="AH243" t="str">
            <v>Lakeview Glass &amp; Mirror</v>
          </cell>
          <cell r="AI243" t="str">
            <v/>
          </cell>
        </row>
        <row r="244">
          <cell r="C244">
            <v>83672</v>
          </cell>
          <cell r="D244" t="str">
            <v/>
          </cell>
          <cell r="E244" t="str">
            <v/>
          </cell>
          <cell r="F244" t="str">
            <v>Final</v>
          </cell>
          <cell r="G244" t="str">
            <v>Final Collected</v>
          </cell>
          <cell r="H244" t="str">
            <v>No</v>
          </cell>
          <cell r="I244" t="str">
            <v>Sean Torre</v>
          </cell>
          <cell r="J244" t="str">
            <v/>
          </cell>
          <cell r="K244" t="str">
            <v>https://panda-windows-and-doors.monday.com/protected_static/21046287/resources/1950420364/Q#83672 - Shaikh office doors - signed p.pdf</v>
          </cell>
          <cell r="L244" t="str">
            <v>https://panda-windows-and-doors.monday.com/protected_static/21046287/resources/2083530291/Q#83672 - shaikh office doors - signed b.pdf, https://panda-windows-and-doors.monday.com/protected_static/21046287/resources/2083530298/Q#83672 - shaikh office doors - Eli disc.pdf</v>
          </cell>
          <cell r="M244" t="str">
            <v/>
          </cell>
          <cell r="N244" t="str">
            <v>https://panda-windows-and-doors.monday.com/protected_static/21046287/resources/1952219651/83672 Deposit Invoice.pdf</v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>Completed - Closed Out</v>
          </cell>
          <cell r="T244" t="str">
            <v/>
          </cell>
          <cell r="U244">
            <v>5359</v>
          </cell>
          <cell r="V244">
            <v>6256.64</v>
          </cell>
          <cell r="W244" t="str">
            <v>Annalene Conde Oct 31, 2025 9:51 AM</v>
          </cell>
          <cell r="X244" t="str">
            <v>2025-02-03 00:00</v>
          </cell>
          <cell r="Y244">
            <v>45698</v>
          </cell>
          <cell r="Z244" t="str">
            <v/>
          </cell>
          <cell r="AA244">
            <v>45698</v>
          </cell>
          <cell r="AB244" t="str">
            <v>Jayme Truong Feb 10, 2025 4:25 PM</v>
          </cell>
          <cell r="AC244">
            <v>45698</v>
          </cell>
          <cell r="AD244">
            <v>45702</v>
          </cell>
          <cell r="AE244">
            <v>45770</v>
          </cell>
          <cell r="AF244">
            <v>45770</v>
          </cell>
          <cell r="AG244">
            <v>45770</v>
          </cell>
          <cell r="AH244" t="str">
            <v>Savak Shaikh</v>
          </cell>
          <cell r="AI244" t="str">
            <v/>
          </cell>
        </row>
        <row r="245">
          <cell r="C245">
            <v>83049</v>
          </cell>
          <cell r="D245" t="str">
            <v/>
          </cell>
          <cell r="E245" t="str">
            <v/>
          </cell>
          <cell r="F245" t="str">
            <v>Final</v>
          </cell>
          <cell r="G245" t="str">
            <v>Final Collected</v>
          </cell>
          <cell r="H245" t="str">
            <v>No</v>
          </cell>
          <cell r="I245" t="str">
            <v>Efrain Zarate, Trevor Benthagen</v>
          </cell>
          <cell r="J245" t="str">
            <v/>
          </cell>
          <cell r="K245" t="str">
            <v>https://panda-windows-and-doors.monday.com/protected_static/21046287/resources/1901802211/Q#83049 SIGNED PROPOSAL.pdf</v>
          </cell>
          <cell r="L245" t="str">
            <v>https://panda-windows-and-doors.monday.com/protected_static/21046287/resources/2083482763/Q_83049 BACKER.pdf</v>
          </cell>
          <cell r="M245" t="str">
            <v/>
          </cell>
          <cell r="N245" t="str">
            <v>https://panda-windows-and-doors.monday.com/protected_static/21046287/resources/1904019584/83049 Deposit Invoice.pdf</v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>Completed - Closed Out</v>
          </cell>
          <cell r="T245" t="str">
            <v/>
          </cell>
          <cell r="U245">
            <v>15460</v>
          </cell>
          <cell r="V245">
            <v>15460</v>
          </cell>
          <cell r="W245" t="str">
            <v>Annalene Conde Nov 3, 2025 9:50 AM</v>
          </cell>
          <cell r="X245" t="str">
            <v>2025-01-16 00:00</v>
          </cell>
          <cell r="Y245">
            <v>45673</v>
          </cell>
          <cell r="Z245" t="str">
            <v/>
          </cell>
          <cell r="AA245">
            <v>45673</v>
          </cell>
          <cell r="AB245" t="str">
            <v>Jayme Truong Jan 16, 2025 5:07 PM</v>
          </cell>
          <cell r="AC245">
            <v>45673</v>
          </cell>
          <cell r="AD245">
            <v>45678</v>
          </cell>
          <cell r="AE245">
            <v>45775</v>
          </cell>
          <cell r="AF245">
            <v>45775</v>
          </cell>
          <cell r="AG245">
            <v>45776</v>
          </cell>
          <cell r="AH245" t="str">
            <v>Meridian</v>
          </cell>
          <cell r="AI245" t="str">
            <v/>
          </cell>
        </row>
        <row r="246">
          <cell r="C246">
            <v>83311</v>
          </cell>
          <cell r="D246" t="str">
            <v/>
          </cell>
          <cell r="E246" t="str">
            <v/>
          </cell>
          <cell r="F246" t="str">
            <v>Final</v>
          </cell>
          <cell r="G246" t="str">
            <v>Final Collected</v>
          </cell>
          <cell r="H246" t="str">
            <v>No</v>
          </cell>
          <cell r="I246" t="str">
            <v>Cassandra Gromoll, Mary Wursten</v>
          </cell>
          <cell r="J246" t="str">
            <v/>
          </cell>
          <cell r="K246" t="str">
            <v>https://panda-windows-and-doors.monday.com/protected_static/21046287/resources/1906924182/Signed_Sales Order_012025.pdf</v>
          </cell>
          <cell r="L246" t="str">
            <v>https://panda-windows-and-doors.monday.com/protected_static/21046287/resources/2083495940/Signed_Backer_012025.pdf, https://panda-windows-and-doors.monday.com/protected_static/21046287/resources/2083495941/30427 Montrachet St - 010725.xlsx</v>
          </cell>
          <cell r="M246" t="str">
            <v/>
          </cell>
          <cell r="N246" t="str">
            <v>https://panda-windows-and-doors.monday.com/protected_static/21046287/resources/1909206269/83311 DEPOSIT INVOICE.pdf</v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>Completed - Closed Out</v>
          </cell>
          <cell r="T246" t="str">
            <v/>
          </cell>
          <cell r="U246">
            <v>8862.5</v>
          </cell>
          <cell r="V246">
            <v>10181.94</v>
          </cell>
          <cell r="W246" t="str">
            <v>Annalene Conde Nov 10, 2025 9:52 AM</v>
          </cell>
          <cell r="X246" t="str">
            <v>2025-01-02 15:49</v>
          </cell>
          <cell r="Y246">
            <v>45677</v>
          </cell>
          <cell r="Z246" t="str">
            <v/>
          </cell>
          <cell r="AA246">
            <v>45677</v>
          </cell>
          <cell r="AB246" t="str">
            <v>Jayme Truong Jan 20, 2025 11:58 AM</v>
          </cell>
          <cell r="AC246">
            <v>45677</v>
          </cell>
          <cell r="AD246">
            <v>45688</v>
          </cell>
          <cell r="AE246">
            <v>45775</v>
          </cell>
          <cell r="AF246">
            <v>45775</v>
          </cell>
          <cell r="AG246">
            <v>45776</v>
          </cell>
          <cell r="AH246" t="str">
            <v>Frank Haddad</v>
          </cell>
          <cell r="AI246" t="str">
            <v/>
          </cell>
        </row>
        <row r="247">
          <cell r="C247">
            <v>82898</v>
          </cell>
          <cell r="D247" t="str">
            <v/>
          </cell>
          <cell r="E247" t="str">
            <v/>
          </cell>
          <cell r="F247" t="str">
            <v>Final</v>
          </cell>
          <cell r="G247" t="str">
            <v>Final Collected</v>
          </cell>
          <cell r="H247" t="str">
            <v>No</v>
          </cell>
          <cell r="I247" t="str">
            <v>Tad Shurtleff</v>
          </cell>
          <cell r="J247" t="str">
            <v/>
          </cell>
          <cell r="K247" t="str">
            <v>https://panda-windows-and-doors.monday.com/protected_static/21046287/resources/1921310870/QQ #82898 - Atlantic Park - North Block - 010625.pdf, https://panda-windows-and-doors.monday.com/protected_static/21046287/resources/1921320181/Q 82898 Atlantic Park Signed BKR.pdf</v>
          </cell>
          <cell r="L247" t="str">
            <v>https://panda-windows-and-doors.monday.com/protected_static/21046287/resources/2083484550/Q 82898 Atlantic Park Signed BKR.pdf</v>
          </cell>
          <cell r="M247" t="str">
            <v/>
          </cell>
          <cell r="N247" t="str">
            <v>https://panda-windows-and-doors.monday.com/protected_static/21046287/resources/1921851324/82898 DEPOSIT INVOICE.pdf</v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>Completed - Closed Out</v>
          </cell>
          <cell r="T247" t="str">
            <v/>
          </cell>
          <cell r="U247">
            <v>14431.5</v>
          </cell>
          <cell r="V247">
            <v>15244.01</v>
          </cell>
          <cell r="W247" t="str">
            <v>Annalene Conde Nov 10, 2025 9:52 AM</v>
          </cell>
          <cell r="X247" t="str">
            <v>2025-01-16 00:00</v>
          </cell>
          <cell r="Y247">
            <v>45684</v>
          </cell>
          <cell r="Z247" t="str">
            <v/>
          </cell>
          <cell r="AA247">
            <v>45684</v>
          </cell>
          <cell r="AB247" t="str">
            <v>Jayme Truong Jan 27, 2025 1:14 PM</v>
          </cell>
          <cell r="AC247">
            <v>45684</v>
          </cell>
          <cell r="AD247">
            <v>45685</v>
          </cell>
          <cell r="AE247">
            <v>45776</v>
          </cell>
          <cell r="AF247">
            <v>45776</v>
          </cell>
          <cell r="AG247">
            <v>45776</v>
          </cell>
          <cell r="AH247" t="str">
            <v>All Star Glass &amp; Mirror</v>
          </cell>
          <cell r="AI247" t="str">
            <v/>
          </cell>
        </row>
        <row r="248">
          <cell r="C248">
            <v>82935</v>
          </cell>
          <cell r="D248" t="str">
            <v/>
          </cell>
          <cell r="E248" t="str">
            <v/>
          </cell>
          <cell r="F248" t="str">
            <v>Final</v>
          </cell>
          <cell r="G248" t="str">
            <v>Final Collected</v>
          </cell>
          <cell r="H248" t="str">
            <v>No</v>
          </cell>
          <cell r="I248" t="str">
            <v>Tad Shurtleff</v>
          </cell>
          <cell r="J248" t="str">
            <v/>
          </cell>
          <cell r="K248" t="str">
            <v>https://panda-windows-and-doors.monday.com/protected_static/21046287/resources/1931997309/2841_001.pdf</v>
          </cell>
          <cell r="L248" t="str">
            <v>https://panda-windows-and-doors.monday.com/protected_static/21046287/resources/2083483863/Q 82935 Walker-Keller Signed BKR.pdf_Q 82935 Walker-Keller Signed BKR.pdf, https://panda-windows-and-doors.monday.com/protected_static/21046287/resources/2083483867/Q 82935 Walker-Keller Signed BKR.pdf</v>
          </cell>
          <cell r="M248" t="str">
            <v/>
          </cell>
          <cell r="N248" t="str">
            <v>https://panda-windows-and-doors.monday.com/protected_static/21046287/resources/1927041490/82935 deposit invoice.pdf</v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>Completed - Closed Out</v>
          </cell>
          <cell r="T248" t="str">
            <v/>
          </cell>
          <cell r="U248">
            <v>11919</v>
          </cell>
          <cell r="V248">
            <v>11919</v>
          </cell>
          <cell r="W248" t="str">
            <v>Annalene Conde Nov 10, 2025 9:52 AM</v>
          </cell>
          <cell r="X248" t="str">
            <v>2025-01-28 00:00</v>
          </cell>
          <cell r="Y248">
            <v>45686</v>
          </cell>
          <cell r="Z248" t="str">
            <v/>
          </cell>
          <cell r="AA248">
            <v>45686</v>
          </cell>
          <cell r="AB248" t="str">
            <v>Jayme Truong Jan 28, 2025 5:57 PM</v>
          </cell>
          <cell r="AC248">
            <v>45686</v>
          </cell>
          <cell r="AD248">
            <v>45686</v>
          </cell>
          <cell r="AE248" t="str">
            <v/>
          </cell>
          <cell r="AF248" t="str">
            <v/>
          </cell>
          <cell r="AG248">
            <v>45776</v>
          </cell>
          <cell r="AH248" t="str">
            <v>Reeves Ace Hardware</v>
          </cell>
          <cell r="AI248" t="str">
            <v/>
          </cell>
        </row>
        <row r="249">
          <cell r="C249">
            <v>82446</v>
          </cell>
          <cell r="D249" t="str">
            <v/>
          </cell>
          <cell r="E249" t="str">
            <v/>
          </cell>
          <cell r="F249" t="str">
            <v>Final</v>
          </cell>
          <cell r="G249" t="str">
            <v>Final Collected</v>
          </cell>
          <cell r="H249" t="str">
            <v>No</v>
          </cell>
          <cell r="I249" t="str">
            <v>Tad Shurtleff</v>
          </cell>
          <cell r="J249" t="str">
            <v/>
          </cell>
          <cell r="K249" t="str">
            <v>https://panda-windows-and-doors.monday.com/protected_static/21046287/resources/2083764956/QQ _82446 - Sunpins - 01232025_signed.pdf</v>
          </cell>
          <cell r="L249" t="str">
            <v>https://panda-windows-and-doors.monday.com/protected_static/21046287/resources/2083506247/Q 82446 Sunspin Signed BKR.pdf</v>
          </cell>
          <cell r="M249" t="str">
            <v/>
          </cell>
          <cell r="N249" t="str">
            <v>https://panda-windows-and-doors.monday.com/protected_static/21046287/resources/1923665190/82446 DEPOSIT INVOICE.pdf</v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>Completed - Closed Out</v>
          </cell>
          <cell r="T249" t="str">
            <v/>
          </cell>
          <cell r="U249">
            <v>15288</v>
          </cell>
          <cell r="V249">
            <v>16765.43</v>
          </cell>
          <cell r="W249" t="str">
            <v>Annalene Conde Nov 10, 2025 9:52 AM</v>
          </cell>
          <cell r="X249" t="str">
            <v>2025-01-27 00:00</v>
          </cell>
          <cell r="Y249">
            <v>45684</v>
          </cell>
          <cell r="Z249" t="str">
            <v/>
          </cell>
          <cell r="AA249">
            <v>45684</v>
          </cell>
          <cell r="AB249" t="str">
            <v>Jayme Truong Jan 27, 2025 4:40 PM</v>
          </cell>
          <cell r="AC249">
            <v>45685</v>
          </cell>
          <cell r="AD249">
            <v>45686</v>
          </cell>
          <cell r="AE249">
            <v>45776</v>
          </cell>
          <cell r="AF249">
            <v>45776</v>
          </cell>
          <cell r="AG249">
            <v>45777</v>
          </cell>
          <cell r="AH249" t="str">
            <v>George Ordway</v>
          </cell>
          <cell r="AI249" t="str">
            <v/>
          </cell>
        </row>
        <row r="250">
          <cell r="C250">
            <v>83312</v>
          </cell>
          <cell r="D250" t="str">
            <v/>
          </cell>
          <cell r="E250" t="str">
            <v/>
          </cell>
          <cell r="F250" t="str">
            <v>Final</v>
          </cell>
          <cell r="G250" t="str">
            <v>Final Collected</v>
          </cell>
          <cell r="H250" t="str">
            <v>No</v>
          </cell>
          <cell r="I250" t="str">
            <v>Tad Shurtleff</v>
          </cell>
          <cell r="J250" t="str">
            <v/>
          </cell>
          <cell r="K250" t="str">
            <v>https://panda-windows-and-doors.monday.com/protected_static/21046287/resources/1959489709/Signed Proposal Q 83312 Nortonville.pdf</v>
          </cell>
          <cell r="L250" t="str">
            <v>https://panda-windows-and-doors.monday.com/protected_static/21046287/resources/2083497027/Q 83112 Nortinville Signed BKR.pdf</v>
          </cell>
          <cell r="M250" t="str">
            <v/>
          </cell>
          <cell r="N250" t="str">
            <v>https://panda-windows-and-doors.monday.com/protected_static/21046287/resources/1921878139/83312 DEPOSIT INVOICE.pdf</v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>Completed - Closed Out</v>
          </cell>
          <cell r="T250" t="str">
            <v/>
          </cell>
          <cell r="U250">
            <v>7358</v>
          </cell>
          <cell r="V250">
            <v>7357</v>
          </cell>
          <cell r="W250" t="str">
            <v>Annalene Conde Nov 10, 2025 9:53 AM</v>
          </cell>
          <cell r="X250" t="str">
            <v>2024-12-21 06:33</v>
          </cell>
          <cell r="Y250">
            <v>45684</v>
          </cell>
          <cell r="Z250" t="str">
            <v/>
          </cell>
          <cell r="AA250">
            <v>45684</v>
          </cell>
          <cell r="AB250" t="str">
            <v>Jayme Truong Jan 27, 2025 1:21 PM</v>
          </cell>
          <cell r="AC250">
            <v>45685</v>
          </cell>
          <cell r="AD250">
            <v>45685</v>
          </cell>
          <cell r="AE250">
            <v>45775</v>
          </cell>
          <cell r="AF250">
            <v>45775</v>
          </cell>
          <cell r="AG250">
            <v>45777</v>
          </cell>
          <cell r="AH250" t="str">
            <v>Mitch Birzer</v>
          </cell>
          <cell r="AI250" t="str">
            <v/>
          </cell>
        </row>
        <row r="251">
          <cell r="C251">
            <v>82424</v>
          </cell>
          <cell r="D251" t="str">
            <v/>
          </cell>
          <cell r="E251" t="str">
            <v/>
          </cell>
          <cell r="F251" t="str">
            <v>Final</v>
          </cell>
          <cell r="G251" t="str">
            <v>Final Collected</v>
          </cell>
          <cell r="H251" t="str">
            <v>No</v>
          </cell>
          <cell r="I251" t="str">
            <v>Cassandra Gromoll, Mary Wursten</v>
          </cell>
          <cell r="J251" t="str">
            <v/>
          </cell>
          <cell r="K251" t="str">
            <v>https://panda-windows-and-doors.monday.com/protected_static/21046287/resources/1928620491/QQ#82424 35 Victor Park 01292025.pdf</v>
          </cell>
          <cell r="L251" t="str">
            <v>https://panda-windows-and-doors.monday.com/protected_static/21046287/resources/2083528350/Victor Park Signed Backer.pdf, https://panda-windows-and-doors.monday.com/protected_static/21046287/resources/2083528342/35 victor park  - 012925.xlsx, https://panda-windows-and-doors.monday.com/protected_static/21046287/resources/2083528346/35 victor park  - 012925.xlsx_Victor Park Signed Backer.pdf</v>
          </cell>
          <cell r="M251" t="str">
            <v/>
          </cell>
          <cell r="N251" t="str">
            <v>https://panda-windows-and-doors.monday.com/protected_static/21046287/resources/1928999041/82424 DEPOSIT INVOICE.pdf</v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>Pending Deposit, Completed - Closed Out</v>
          </cell>
          <cell r="T251" t="str">
            <v/>
          </cell>
          <cell r="U251">
            <v>17935</v>
          </cell>
          <cell r="V251">
            <v>21129.07</v>
          </cell>
          <cell r="W251" t="str">
            <v>Annalene Conde Feb 9, 2026 8:01 AM</v>
          </cell>
          <cell r="X251" t="str">
            <v>2025-01-29 14:18</v>
          </cell>
          <cell r="Y251">
            <v>45687</v>
          </cell>
          <cell r="Z251" t="str">
            <v/>
          </cell>
          <cell r="AA251">
            <v>45687</v>
          </cell>
          <cell r="AB251" t="str">
            <v>Jayme Truong Jan 30, 2025 8:41 AM</v>
          </cell>
          <cell r="AC251">
            <v>45687</v>
          </cell>
          <cell r="AD251">
            <v>45688</v>
          </cell>
          <cell r="AE251">
            <v>45776</v>
          </cell>
          <cell r="AF251">
            <v>45776</v>
          </cell>
          <cell r="AG251">
            <v>45777</v>
          </cell>
          <cell r="AH251" t="str">
            <v>CHS Construction</v>
          </cell>
          <cell r="AI251" t="str">
            <v/>
          </cell>
        </row>
        <row r="252">
          <cell r="C252">
            <v>83130</v>
          </cell>
          <cell r="D252" t="str">
            <v/>
          </cell>
          <cell r="E252" t="str">
            <v/>
          </cell>
          <cell r="F252" t="str">
            <v>Final</v>
          </cell>
          <cell r="G252" t="str">
            <v>Final Collected</v>
          </cell>
          <cell r="H252" t="str">
            <v>No</v>
          </cell>
          <cell r="I252" t="str">
            <v>Derrick McCall</v>
          </cell>
          <cell r="J252" t="str">
            <v/>
          </cell>
          <cell r="K252" t="str">
            <v>https://panda-windows-and-doors.monday.com/protected_static/21046287/resources/1887267153/Signed_QQ #83130 - Barksdale Design Spec - 010725.pdf</v>
          </cell>
          <cell r="L252" t="str">
            <v>https://panda-windows-and-doors.monday.com/protected_static/21046287/resources/2083503179/no-reply_panda-windows.com_20250110_073714.pdf</v>
          </cell>
          <cell r="M252" t="str">
            <v/>
          </cell>
          <cell r="N252" t="str">
            <v>https://panda-windows-and-doors.monday.com/protected_static/21046287/resources/1888945618/83130 DEPOSIT INVOICE.pdf</v>
          </cell>
          <cell r="O252" t="str">
            <v>Barksdale Design Spec</v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>
            <v>14519.5</v>
          </cell>
          <cell r="V252">
            <v>16640.14</v>
          </cell>
          <cell r="W252" t="str">
            <v>Panda CRM Jun 10, 2026 9:52 AM</v>
          </cell>
          <cell r="X252" t="str">
            <v>2024-12-26 00:00</v>
          </cell>
          <cell r="Y252">
            <v>45666</v>
          </cell>
          <cell r="Z252" t="str">
            <v/>
          </cell>
          <cell r="AA252">
            <v>45666</v>
          </cell>
          <cell r="AB252" t="str">
            <v>Jayme Truong Jan 9, 2025 3:33 PM</v>
          </cell>
          <cell r="AC252">
            <v>45775</v>
          </cell>
          <cell r="AD252">
            <v>45670</v>
          </cell>
          <cell r="AE252">
            <v>45775</v>
          </cell>
          <cell r="AF252">
            <v>45775</v>
          </cell>
          <cell r="AG252">
            <v>45779</v>
          </cell>
          <cell r="AH252" t="str">
            <v>Barksdale Design Spec</v>
          </cell>
          <cell r="AI252" t="str">
            <v/>
          </cell>
        </row>
        <row r="253">
          <cell r="C253">
            <v>82783</v>
          </cell>
          <cell r="D253" t="str">
            <v/>
          </cell>
          <cell r="E253" t="str">
            <v/>
          </cell>
          <cell r="F253" t="str">
            <v>Final</v>
          </cell>
          <cell r="G253" t="str">
            <v>Final Collected</v>
          </cell>
          <cell r="H253" t="str">
            <v>No</v>
          </cell>
          <cell r="I253" t="str">
            <v>Stefan Monetta</v>
          </cell>
          <cell r="J253" t="str">
            <v/>
          </cell>
          <cell r="K253" t="str">
            <v>https://panda-windows-and-doors.monday.com/protected_static/21046287/resources/1911768149/Q82783 - Signed Proposal.pdf</v>
          </cell>
          <cell r="L253" t="str">
            <v>https://panda-windows-and-doors.monday.com/protected_static/21046287/resources/2083544537/Q82783 - Signed Backer.pdf</v>
          </cell>
          <cell r="M253" t="str">
            <v/>
          </cell>
          <cell r="N253" t="str">
            <v>https://panda-windows-and-doors.monday.com/protected_static/21046287/resources/1914907924/82783 Deposit Invoice.pdf</v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>
            <v>23664</v>
          </cell>
          <cell r="V253">
            <v>23664</v>
          </cell>
          <cell r="W253" t="str">
            <v>Annalene Conde Aug 21, 2025 3:56 PM</v>
          </cell>
          <cell r="X253" t="str">
            <v>2025-01-22 00:00</v>
          </cell>
          <cell r="Y253">
            <v>45679</v>
          </cell>
          <cell r="Z253" t="str">
            <v/>
          </cell>
          <cell r="AA253">
            <v>45679</v>
          </cell>
          <cell r="AB253" t="str">
            <v>Jayme Truong Jan 22, 2025 10:38 AM</v>
          </cell>
          <cell r="AC253">
            <v>45679</v>
          </cell>
          <cell r="AD253">
            <v>45680</v>
          </cell>
          <cell r="AE253">
            <v>45778</v>
          </cell>
          <cell r="AF253">
            <v>45778</v>
          </cell>
          <cell r="AG253">
            <v>45779</v>
          </cell>
          <cell r="AH253" t="str">
            <v>Englewood Glass &amp; Mirror</v>
          </cell>
          <cell r="AI253" t="str">
            <v/>
          </cell>
        </row>
        <row r="254">
          <cell r="C254">
            <v>82890</v>
          </cell>
          <cell r="D254">
            <v>45744</v>
          </cell>
          <cell r="E254" t="str">
            <v/>
          </cell>
          <cell r="F254" t="str">
            <v>Final</v>
          </cell>
          <cell r="G254" t="str">
            <v>Final Collected</v>
          </cell>
          <cell r="H254" t="str">
            <v>No</v>
          </cell>
          <cell r="I254" t="str">
            <v>Efrain Zarate, Trevor Benthagen</v>
          </cell>
          <cell r="J254" t="str">
            <v/>
          </cell>
          <cell r="K254" t="str">
            <v>https://panda-windows-and-doors.monday.com/protected_static/21046287/resources/2097576523/no-reply@panda-windows.com_20241209_121834.pdf</v>
          </cell>
          <cell r="L254" t="str">
            <v/>
          </cell>
          <cell r="M254" t="str">
            <v/>
          </cell>
          <cell r="N254" t="str">
            <v>https://panda-windows-and-doors.monday.com/protected_static/21046287/resources/2066270187/82890 Revised deposit invoice co1.pdf, https://panda-windows-and-doors.monday.com/protected_static/21046287/resources/2066270636/82890 DEPOSIT INVOICE.pdf</v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>
            <v>12695</v>
          </cell>
          <cell r="V254">
            <v>19095.72</v>
          </cell>
          <cell r="W254" t="str">
            <v>Annalene Conde Aug 21, 2025 3:56 PM</v>
          </cell>
          <cell r="X254" t="str">
            <v>2024-12-12 00:00</v>
          </cell>
          <cell r="Y254">
            <v>45693</v>
          </cell>
          <cell r="Z254" t="str">
            <v/>
          </cell>
          <cell r="AA254">
            <v>45693</v>
          </cell>
          <cell r="AB254" t="str">
            <v>Jayme Truong Feb 5, 2025 11:54 AM</v>
          </cell>
          <cell r="AC254">
            <v>45693</v>
          </cell>
          <cell r="AD254" t="str">
            <v/>
          </cell>
          <cell r="AE254">
            <v>45770</v>
          </cell>
          <cell r="AF254">
            <v>45770</v>
          </cell>
          <cell r="AG254">
            <v>45779</v>
          </cell>
          <cell r="AH254" t="str">
            <v>Vegas Custom Glass</v>
          </cell>
          <cell r="AI254">
            <v>45744</v>
          </cell>
        </row>
        <row r="255">
          <cell r="C255">
            <v>83753</v>
          </cell>
          <cell r="D255" t="str">
            <v/>
          </cell>
          <cell r="E255" t="str">
            <v/>
          </cell>
          <cell r="F255" t="str">
            <v>Final</v>
          </cell>
          <cell r="G255" t="str">
            <v>Final Collected</v>
          </cell>
          <cell r="H255" t="str">
            <v>No</v>
          </cell>
          <cell r="I255" t="str">
            <v>Trevor Benthagen, Efrain Zarate</v>
          </cell>
          <cell r="J255" t="str">
            <v/>
          </cell>
          <cell r="K255" t="str">
            <v>https://panda-windows-and-doors.monday.com/protected_static/21046287/resources/1977302893/smtp.office365.com_20250224_094756.pdf</v>
          </cell>
          <cell r="L255" t="str">
            <v>https://panda-windows-and-doors.monday.com/protected_static/21046287/resources/2083566164/smtp.office365.com_20250224_094805.pdf</v>
          </cell>
          <cell r="M255" t="str">
            <v/>
          </cell>
          <cell r="N255" t="str">
            <v>https://panda-windows-and-doors.monday.com/protected_static/21046287/resources/1982543427/Deposit Invoice.pdf</v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>
            <v>25033</v>
          </cell>
          <cell r="V255">
            <v>25000</v>
          </cell>
          <cell r="W255" t="str">
            <v>Annalene Conde Aug 21, 2025 3:57 PM</v>
          </cell>
          <cell r="X255" t="str">
            <v/>
          </cell>
          <cell r="Y255">
            <v>45712</v>
          </cell>
          <cell r="Z255" t="str">
            <v/>
          </cell>
          <cell r="AA255">
            <v>45712</v>
          </cell>
          <cell r="AB255" t="str">
            <v>Jayme Truong Feb 24, 2025 12:35 PM</v>
          </cell>
          <cell r="AC255">
            <v>45715</v>
          </cell>
          <cell r="AD255">
            <v>45715</v>
          </cell>
          <cell r="AE255">
            <v>45778</v>
          </cell>
          <cell r="AF255">
            <v>45778</v>
          </cell>
          <cell r="AG255">
            <v>45783</v>
          </cell>
          <cell r="AH255" t="str">
            <v>Gene Button</v>
          </cell>
          <cell r="AI255" t="str">
            <v/>
          </cell>
        </row>
        <row r="256">
          <cell r="C256">
            <v>82877</v>
          </cell>
          <cell r="D256" t="str">
            <v/>
          </cell>
          <cell r="E256" t="str">
            <v/>
          </cell>
          <cell r="F256" t="str">
            <v>Final</v>
          </cell>
          <cell r="G256" t="str">
            <v>Final Collected</v>
          </cell>
          <cell r="H256" t="str">
            <v>No</v>
          </cell>
          <cell r="I256" t="str">
            <v>Luke Valles</v>
          </cell>
          <cell r="J256" t="str">
            <v/>
          </cell>
          <cell r="K256" t="str">
            <v>https://panda-windows-and-doors.monday.com/protected_static/21046287/resources/1895541572/82877 Tom Benson Signed 011425.pdf</v>
          </cell>
          <cell r="L256" t="str">
            <v>https://panda-windows-and-doors.monday.com/protected_static/21046287/resources/2083283191/Adobe Scan Jan 14_ 2025.pdf</v>
          </cell>
          <cell r="M256" t="str">
            <v/>
          </cell>
          <cell r="N256" t="str">
            <v>https://panda-windows-and-doors.monday.com/protected_static/21046287/resources/1896420010/82877 DEPOSIT INVOICE.pdf</v>
          </cell>
          <cell r="O256" t="str">
            <v>Tom Benson</v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>
            <v>6262</v>
          </cell>
          <cell r="V256">
            <v>6638</v>
          </cell>
          <cell r="W256" t="str">
            <v>Annalene Conde Aug 21, 2025 3:57 PM</v>
          </cell>
          <cell r="X256" t="str">
            <v>2025-01-14 00:00</v>
          </cell>
          <cell r="Y256">
            <v>45671</v>
          </cell>
          <cell r="Z256" t="str">
            <v/>
          </cell>
          <cell r="AA256">
            <v>45671</v>
          </cell>
          <cell r="AB256" t="str">
            <v>Jayme Truong Jan 14, 2025 10:46 AM</v>
          </cell>
          <cell r="AC256">
            <v>45671</v>
          </cell>
          <cell r="AD256">
            <v>45672</v>
          </cell>
          <cell r="AE256">
            <v>45770</v>
          </cell>
          <cell r="AF256">
            <v>45770</v>
          </cell>
          <cell r="AG256">
            <v>45783</v>
          </cell>
          <cell r="AH256" t="str">
            <v>Tom Benson</v>
          </cell>
          <cell r="AI256" t="str">
            <v/>
          </cell>
        </row>
        <row r="257">
          <cell r="C257">
            <v>82011</v>
          </cell>
          <cell r="D257">
            <v>45744</v>
          </cell>
          <cell r="E257" t="str">
            <v/>
          </cell>
          <cell r="F257" t="str">
            <v>Final</v>
          </cell>
          <cell r="G257" t="str">
            <v>Final Collected</v>
          </cell>
          <cell r="H257" t="str">
            <v>No</v>
          </cell>
          <cell r="I257" t="str">
            <v>Efrain Zarate, Trevor Benthagen</v>
          </cell>
          <cell r="J257" t="str">
            <v/>
          </cell>
          <cell r="K257" t="str">
            <v>https://panda-windows-and-doors.monday.com/protected_static/21046287/resources/2083759331/Q_82011_SignedSalesOrder_no-reply_panda-windows.com_20250102_084036.pdf</v>
          </cell>
          <cell r="L257" t="str">
            <v>https://panda-windows-and-doors.monday.com/protected_static/21046287/resources/2083539958/Q_82011_Backer_smtp.office365.com_20250313_060412.pdf, https://panda-windows-and-doors.monday.com/protected_static/21046287/resources/2083539962/03132025_$46,538.00.pdf</v>
          </cell>
          <cell r="M257" t="str">
            <v/>
          </cell>
          <cell r="N257" t="str">
            <v>https://panda-windows-and-doors.monday.com/protected_static/21046287/resources/2014785324/82011 Change Order.pdf</v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>
            <v>23269</v>
          </cell>
          <cell r="V257">
            <v>19364</v>
          </cell>
          <cell r="W257" t="str">
            <v>Annalene Conde Aug 21, 2025 4:00 PM</v>
          </cell>
          <cell r="X257" t="str">
            <v>2025-01-07 00:00</v>
          </cell>
          <cell r="Y257">
            <v>45729</v>
          </cell>
          <cell r="Z257" t="str">
            <v/>
          </cell>
          <cell r="AA257">
            <v>45729</v>
          </cell>
          <cell r="AB257" t="str">
            <v>Jayme Truong Mar 13, 2025 8:36 AM</v>
          </cell>
          <cell r="AC257">
            <v>45729</v>
          </cell>
          <cell r="AD257" t="str">
            <v/>
          </cell>
          <cell r="AE257" t="str">
            <v/>
          </cell>
          <cell r="AF257" t="str">
            <v/>
          </cell>
          <cell r="AG257">
            <v>45784</v>
          </cell>
          <cell r="AH257" t="str">
            <v>Fast Glass Inc</v>
          </cell>
          <cell r="AI257">
            <v>45744</v>
          </cell>
        </row>
        <row r="258">
          <cell r="C258">
            <v>83561</v>
          </cell>
          <cell r="D258">
            <v>45744</v>
          </cell>
          <cell r="E258" t="str">
            <v/>
          </cell>
          <cell r="F258" t="str">
            <v>Final</v>
          </cell>
          <cell r="G258" t="str">
            <v>Final Collected</v>
          </cell>
          <cell r="H258" t="str">
            <v>No</v>
          </cell>
          <cell r="I258" t="str">
            <v>Sean Torre</v>
          </cell>
          <cell r="J258" t="str">
            <v/>
          </cell>
          <cell r="K258" t="str">
            <v>https://panda-windows-and-doors.monday.com/protected_static/21046287/resources/1945641707/Q#83561 - Jessicas residence.pdf</v>
          </cell>
          <cell r="L258" t="str">
            <v>https://panda-windows-and-doors.monday.com/protected_static/21046287/resources/2083534036/CamScanner 02-07-2025 07.17(1).pdf</v>
          </cell>
          <cell r="M258" t="str">
            <v/>
          </cell>
          <cell r="N258" t="str">
            <v>https://panda-windows-and-doors.monday.com/protected_static/21046287/resources/2045712385/83561 DEPOSIT INVOICE.pdf</v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>
            <v>7000</v>
          </cell>
          <cell r="V258">
            <v>6706.19</v>
          </cell>
          <cell r="W258" t="str">
            <v>Jennifer Galindo Aug 21, 2025 3:54 PM</v>
          </cell>
          <cell r="X258" t="str">
            <v>2025-01-23 12:02</v>
          </cell>
          <cell r="Y258" t="str">
            <v/>
          </cell>
          <cell r="Z258" t="str">
            <v/>
          </cell>
          <cell r="AA258">
            <v>45775</v>
          </cell>
          <cell r="AB258" t="str">
            <v>Jayme Truong Feb 19, 2025 4:01 PM</v>
          </cell>
          <cell r="AC258">
            <v>45775</v>
          </cell>
          <cell r="AD258" t="str">
            <v/>
          </cell>
          <cell r="AE258">
            <v>45775</v>
          </cell>
          <cell r="AF258">
            <v>45775</v>
          </cell>
          <cell r="AG258">
            <v>45784</v>
          </cell>
          <cell r="AH258" t="str">
            <v>Jessica  DeBry</v>
          </cell>
          <cell r="AI258">
            <v>45744</v>
          </cell>
        </row>
        <row r="259">
          <cell r="C259">
            <v>83231</v>
          </cell>
          <cell r="D259" t="str">
            <v/>
          </cell>
          <cell r="E259" t="str">
            <v/>
          </cell>
          <cell r="F259" t="str">
            <v>Final</v>
          </cell>
          <cell r="G259" t="str">
            <v>Final Collected</v>
          </cell>
          <cell r="H259" t="str">
            <v>No</v>
          </cell>
          <cell r="I259" t="str">
            <v>Cassandra Gromoll, Troy Kite</v>
          </cell>
          <cell r="J259" t="str">
            <v/>
          </cell>
          <cell r="K259" t="str">
            <v>https://panda-windows-and-doors.monday.com/protected_static/21046287/resources/1895693137/Signed QQ#83231 Medina 12312024.pdf</v>
          </cell>
          <cell r="L259" t="str">
            <v>https://panda-windows-and-doors.monday.com/protected_static/21046287/resources/2083519348/Medina  12312024.xlsx, https://panda-windows-and-doors.monday.com/protected_static/21046287/resources/2083519371/83231.pdf, https://panda-windows-and-doors.monday.com/protected_static/21046287/resources/2083519343/Medina  12312024.xlsx_83231.pdf</v>
          </cell>
          <cell r="M259" t="str">
            <v/>
          </cell>
          <cell r="N259" t="str">
            <v>https://panda-windows-and-doors.monday.com/protected_static/21046287/resources/1901427195/83231 DEPOSIT INVOICE.pdf</v>
          </cell>
          <cell r="O259" t="str">
            <v>Katheryn Wukotich</v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>
            <v>6857</v>
          </cell>
          <cell r="V259">
            <v>6857</v>
          </cell>
          <cell r="W259" t="str">
            <v>Annalene Conde Aug 21, 2025 3:57 PM</v>
          </cell>
          <cell r="X259" t="str">
            <v>2025-01-14 11:25</v>
          </cell>
          <cell r="Y259">
            <v>45673</v>
          </cell>
          <cell r="Z259" t="str">
            <v/>
          </cell>
          <cell r="AA259">
            <v>45673</v>
          </cell>
          <cell r="AB259" t="str">
            <v>Jayme Truong Jan 14, 2025 11:26 AM</v>
          </cell>
          <cell r="AC259">
            <v>45673</v>
          </cell>
          <cell r="AD259">
            <v>45673</v>
          </cell>
          <cell r="AE259">
            <v>45785</v>
          </cell>
          <cell r="AF259">
            <v>45785</v>
          </cell>
          <cell r="AG259">
            <v>45786</v>
          </cell>
          <cell r="AH259" t="str">
            <v>Katheryn Wukotich</v>
          </cell>
          <cell r="AI259" t="str">
            <v/>
          </cell>
        </row>
        <row r="260">
          <cell r="C260">
            <v>82601</v>
          </cell>
          <cell r="D260" t="str">
            <v/>
          </cell>
          <cell r="E260" t="str">
            <v/>
          </cell>
          <cell r="F260" t="str">
            <v>Final</v>
          </cell>
          <cell r="G260" t="str">
            <v>Final Collected</v>
          </cell>
          <cell r="H260" t="str">
            <v>No</v>
          </cell>
          <cell r="I260" t="str">
            <v>Trevor Benthagen, Efrain Zarate</v>
          </cell>
          <cell r="J260" t="str">
            <v/>
          </cell>
          <cell r="K260" t="str">
            <v>https://panda-windows-and-doors.monday.com/protected_static/21046287/resources/2083764304/Benbow.pdf</v>
          </cell>
          <cell r="L260" t="str">
            <v>https://panda-windows-and-doors.monday.com/protected_static/21046287/resources/2083481259/Benbow Backer.pdf</v>
          </cell>
          <cell r="M260" t="str">
            <v/>
          </cell>
          <cell r="N260" t="str">
            <v>https://panda-windows-and-doors.monday.com/protected_static/21046287/resources/1884084516/82601 DEPOSIT INVOICE.pdf</v>
          </cell>
          <cell r="O260" t="str">
            <v>Charles Benbow</v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>
            <v>16527.5</v>
          </cell>
          <cell r="V260">
            <v>18722.04</v>
          </cell>
          <cell r="W260" t="str">
            <v>Sean Lopez Mar 16, 2026 9:54 AM</v>
          </cell>
          <cell r="X260" t="str">
            <v>2024-12-27 00:00</v>
          </cell>
          <cell r="Y260">
            <v>45665</v>
          </cell>
          <cell r="Z260" t="str">
            <v/>
          </cell>
          <cell r="AA260">
            <v>45665</v>
          </cell>
          <cell r="AB260" t="str">
            <v>Jayme Truong Jan 8, 2025 11:37 AM</v>
          </cell>
          <cell r="AC260">
            <v>45665</v>
          </cell>
          <cell r="AD260">
            <v>45667</v>
          </cell>
          <cell r="AE260">
            <v>45777</v>
          </cell>
          <cell r="AF260">
            <v>45777</v>
          </cell>
          <cell r="AG260">
            <v>45786</v>
          </cell>
          <cell r="AH260" t="str">
            <v>Charles Benbow</v>
          </cell>
          <cell r="AI260" t="str">
            <v/>
          </cell>
        </row>
        <row r="261">
          <cell r="C261">
            <v>83126</v>
          </cell>
          <cell r="D261" t="str">
            <v/>
          </cell>
          <cell r="E261" t="str">
            <v/>
          </cell>
          <cell r="F261" t="str">
            <v>Final</v>
          </cell>
          <cell r="G261" t="str">
            <v>Final Collected</v>
          </cell>
          <cell r="H261" t="str">
            <v>No</v>
          </cell>
          <cell r="I261" t="str">
            <v>Efrain Zarate, Trevor Benthagen</v>
          </cell>
          <cell r="J261" t="str">
            <v/>
          </cell>
          <cell r="K261" t="str">
            <v>https://panda-windows-and-doors.monday.com/protected_static/21046287/resources/1946782303/Q#81326 SIGNED SALES ORDER.pdf</v>
          </cell>
          <cell r="L261" t="str">
            <v>https://panda-windows-and-doors.monday.com/protected_static/21046287/resources/2083534116/Q_83126 SIGNED BACKER.pdf</v>
          </cell>
          <cell r="M261" t="str">
            <v/>
          </cell>
          <cell r="N261" t="str">
            <v>https://panda-windows-and-doors.monday.com/protected_static/21046287/resources/1946864209/83126 DEPOSIT INVOICE.pdf</v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>
            <v>11224</v>
          </cell>
          <cell r="V261">
            <v>13104.02</v>
          </cell>
          <cell r="W261" t="str">
            <v>Annalene Conde Aug 21, 2025 3:58 PM</v>
          </cell>
          <cell r="X261" t="str">
            <v>2024-12-27 00:00</v>
          </cell>
          <cell r="Y261">
            <v>45695</v>
          </cell>
          <cell r="Z261" t="str">
            <v/>
          </cell>
          <cell r="AA261">
            <v>45695</v>
          </cell>
          <cell r="AB261" t="str">
            <v>Jayme Truong Feb 7, 2025 3:33 PM</v>
          </cell>
          <cell r="AC261">
            <v>45695</v>
          </cell>
          <cell r="AD261">
            <v>45702</v>
          </cell>
          <cell r="AE261">
            <v>45786</v>
          </cell>
          <cell r="AF261">
            <v>45786</v>
          </cell>
          <cell r="AG261">
            <v>45789</v>
          </cell>
          <cell r="AH261" t="str">
            <v>EBCO Glass, Inc</v>
          </cell>
          <cell r="AI261" t="str">
            <v/>
          </cell>
        </row>
        <row r="262">
          <cell r="C262">
            <v>81947</v>
          </cell>
          <cell r="D262" t="str">
            <v/>
          </cell>
          <cell r="E262" t="str">
            <v/>
          </cell>
          <cell r="F262" t="str">
            <v>Final</v>
          </cell>
          <cell r="G262" t="str">
            <v>Final Collected</v>
          </cell>
          <cell r="H262" t="str">
            <v>No</v>
          </cell>
          <cell r="I262" t="str">
            <v>Luke Valles</v>
          </cell>
          <cell r="J262" t="str">
            <v/>
          </cell>
          <cell r="K262" t="str">
            <v>https://panda-windows-and-doors.monday.com/protected_static/21046287/resources/1960103124/QQ #81947 - Holmes Residence - 021425.pdf, https://panda-windows-and-doors.monday.com/protected_static/21046287/resources/1960103306/QQ #81947 - Holmes Residence - 021425.pdf</v>
          </cell>
          <cell r="L262" t="str">
            <v>https://panda-windows-and-doors.monday.com/protected_static/21046287/resources/2083547499/81947 Holmes Residence Backer Signed 021425.pdf, https://panda-windows-and-doors.monday.com/protected_static/21046287/resources/2083547496/McAlpine Hay Residence 09172024.xlsx</v>
          </cell>
          <cell r="M262" t="str">
            <v/>
          </cell>
          <cell r="N262" t="str">
            <v>https://panda-windows-and-doors.monday.com/protected_static/21046287/resources/1965566160/81947 Deposit Invoice.pdf</v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>
            <v>32703</v>
          </cell>
          <cell r="V262">
            <v>32702</v>
          </cell>
          <cell r="W262" t="str">
            <v>Annalene Conde Aug 21, 2025 3:58 PM</v>
          </cell>
          <cell r="X262" t="str">
            <v>2024-09-17 00:00</v>
          </cell>
          <cell r="Y262">
            <v>45702</v>
          </cell>
          <cell r="Z262" t="str">
            <v/>
          </cell>
          <cell r="AA262">
            <v>45702</v>
          </cell>
          <cell r="AB262" t="str">
            <v>Jayme Truong Feb 14, 2025 12:58 PM</v>
          </cell>
          <cell r="AC262">
            <v>45702</v>
          </cell>
          <cell r="AD262">
            <v>45721</v>
          </cell>
          <cell r="AE262">
            <v>45784</v>
          </cell>
          <cell r="AF262">
            <v>45784</v>
          </cell>
          <cell r="AG262">
            <v>45790</v>
          </cell>
          <cell r="AH262" t="str">
            <v>Marsh Building Products</v>
          </cell>
          <cell r="AI262" t="str">
            <v/>
          </cell>
        </row>
        <row r="263">
          <cell r="C263">
            <v>79212</v>
          </cell>
          <cell r="D263" t="str">
            <v/>
          </cell>
          <cell r="E263" t="str">
            <v/>
          </cell>
          <cell r="F263" t="str">
            <v>Final</v>
          </cell>
          <cell r="G263" t="str">
            <v>Final Collected</v>
          </cell>
          <cell r="H263" t="str">
            <v>No</v>
          </cell>
          <cell r="I263" t="str">
            <v>Efrain Zarate, Trevor Benthagen</v>
          </cell>
          <cell r="J263" t="str">
            <v/>
          </cell>
          <cell r="K263" t="str">
            <v>https://panda-windows-and-doors.monday.com/protected_static/21046287/resources/1963768228/QQ#79212 Worthmore The Roots 01092025.pdf</v>
          </cell>
          <cell r="L263" t="str">
            <v>https://panda-windows-and-doors.monday.com/protected_static/21046287/resources/2083539161/smtp.office365.com_20250121_123740.pdf</v>
          </cell>
          <cell r="M263" t="str">
            <v/>
          </cell>
          <cell r="N263" t="str">
            <v>https://panda-windows-and-doors.monday.com/protected_static/21046287/resources/1914961861/79212 Deposit Invoice.pdf</v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>
            <v>9764</v>
          </cell>
          <cell r="V263">
            <v>9764</v>
          </cell>
          <cell r="W263" t="str">
            <v>Annalene Conde Aug 21, 2025 3:58 PM</v>
          </cell>
          <cell r="X263" t="str">
            <v>2025-01-21 00:00</v>
          </cell>
          <cell r="Y263">
            <v>45678</v>
          </cell>
          <cell r="Z263" t="str">
            <v/>
          </cell>
          <cell r="AA263">
            <v>45678</v>
          </cell>
          <cell r="AB263" t="str">
            <v>Jayme Truong Jan 21, 2025 3:26 PM</v>
          </cell>
          <cell r="AC263">
            <v>45678</v>
          </cell>
          <cell r="AD263">
            <v>45693</v>
          </cell>
          <cell r="AE263">
            <v>45778</v>
          </cell>
          <cell r="AF263">
            <v>45778</v>
          </cell>
          <cell r="AG263">
            <v>45790</v>
          </cell>
          <cell r="AH263" t="str">
            <v>Ken Caryl Glass</v>
          </cell>
          <cell r="AI263" t="str">
            <v/>
          </cell>
        </row>
        <row r="264">
          <cell r="C264">
            <v>84186</v>
          </cell>
          <cell r="D264">
            <v>45756</v>
          </cell>
          <cell r="E264" t="str">
            <v/>
          </cell>
          <cell r="F264" t="str">
            <v>Final</v>
          </cell>
          <cell r="G264" t="str">
            <v>Final Collected</v>
          </cell>
          <cell r="H264" t="str">
            <v>⚠️ Expedited</v>
          </cell>
          <cell r="I264" t="str">
            <v>Efrain Zarate, Trevor Benthagen</v>
          </cell>
          <cell r="J264" t="str">
            <v/>
          </cell>
          <cell r="K264" t="str">
            <v/>
          </cell>
          <cell r="L264" t="str">
            <v>https://panda-windows-and-doors.monday.com/protected_static/21046287/resources/2083577735/Q_84186_Backer_smtp.office365.com_20250409_073331.pdf, https://panda-windows-and-doors.monday.com/protected_static/21046287/resources/2083577736/smtp.office365.com_20250321_130003.pdf</v>
          </cell>
          <cell r="M264" t="str">
            <v/>
          </cell>
          <cell r="N264" t="str">
            <v>https://panda-windows-and-doors.monday.com/protected_static/21046287/resources/2035917778/84186 Deposit invoice.pdf, https://panda-windows-and-doors.monday.com/protected_static/21046287/resources/2072480116/84186 CO 1 Deposit Invoice.pdf</v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>
            <v>7770</v>
          </cell>
          <cell r="V264">
            <v>7769</v>
          </cell>
          <cell r="W264" t="str">
            <v>Annalene Conde Aug 21, 2025 3:59 PM</v>
          </cell>
          <cell r="X264" t="str">
            <v>2025-03-05 00:00</v>
          </cell>
          <cell r="Y264">
            <v>45737</v>
          </cell>
          <cell r="Z264" t="str">
            <v/>
          </cell>
          <cell r="AA264">
            <v>45737</v>
          </cell>
          <cell r="AB264" t="str">
            <v>Jayme Truong Mar 21, 2025 3:34 PM</v>
          </cell>
          <cell r="AC264">
            <v>45740</v>
          </cell>
          <cell r="AD264">
            <v>45742</v>
          </cell>
          <cell r="AE264" t="str">
            <v/>
          </cell>
          <cell r="AF264" t="str">
            <v/>
          </cell>
          <cell r="AG264">
            <v>45790</v>
          </cell>
          <cell r="AH264" t="str">
            <v>Automatic Door &amp; Glass LLC</v>
          </cell>
          <cell r="AI264">
            <v>45756</v>
          </cell>
        </row>
        <row r="265">
          <cell r="C265">
            <v>83480</v>
          </cell>
          <cell r="D265" t="str">
            <v/>
          </cell>
          <cell r="E265" t="str">
            <v/>
          </cell>
          <cell r="F265" t="str">
            <v>Final</v>
          </cell>
          <cell r="G265" t="str">
            <v>Final Collected</v>
          </cell>
          <cell r="H265" t="str">
            <v>No</v>
          </cell>
          <cell r="I265" t="str">
            <v>Efrain Zarate, Trevor Benthagen</v>
          </cell>
          <cell r="J265" t="str">
            <v/>
          </cell>
          <cell r="K265" t="str">
            <v>https://panda-windows-and-doors.monday.com/protected_static/21046287/resources/1946488873/smtp.office365.com_20250207_103826.pdf, https://panda-windows-and-doors.monday.com/protected_static/21046287/resources/1946503483/smtp.office365.com_20250207_103838.pdf</v>
          </cell>
          <cell r="L265" t="str">
            <v>https://panda-windows-and-doors.monday.com/protected_static/21046287/resources/2083512596/smtp.office365.com_20250207_120246.pdf</v>
          </cell>
          <cell r="M265" t="str">
            <v/>
          </cell>
          <cell r="N265" t="str">
            <v>https://panda-windows-and-doors.monday.com/protected_static/21046287/resources/1946759880/83480 Deposit Invoice.pdf</v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>
            <v>9861</v>
          </cell>
          <cell r="V265">
            <v>9860</v>
          </cell>
          <cell r="W265" t="str">
            <v>Annalene Conde Aug 21, 2025 4:01 PM</v>
          </cell>
          <cell r="X265" t="str">
            <v>2025-02-07 00:00</v>
          </cell>
          <cell r="Y265">
            <v>45695</v>
          </cell>
          <cell r="Z265" t="str">
            <v/>
          </cell>
          <cell r="AA265">
            <v>45695</v>
          </cell>
          <cell r="AB265" t="str">
            <v>Jayme Truong Feb 7, 2025 1:17 PM</v>
          </cell>
          <cell r="AC265">
            <v>45695</v>
          </cell>
          <cell r="AD265">
            <v>45695</v>
          </cell>
          <cell r="AE265">
            <v>45770</v>
          </cell>
          <cell r="AF265">
            <v>45770</v>
          </cell>
          <cell r="AG265">
            <v>45792</v>
          </cell>
          <cell r="AH265" t="str">
            <v>GVS Construction</v>
          </cell>
          <cell r="AI265" t="str">
            <v/>
          </cell>
        </row>
        <row r="266">
          <cell r="C266">
            <v>83181</v>
          </cell>
          <cell r="D266" t="str">
            <v/>
          </cell>
          <cell r="E266" t="str">
            <v/>
          </cell>
          <cell r="F266" t="str">
            <v>Final</v>
          </cell>
          <cell r="G266" t="str">
            <v>Final Collected</v>
          </cell>
          <cell r="H266" t="str">
            <v>No</v>
          </cell>
          <cell r="I266" t="str">
            <v>Troy Kite</v>
          </cell>
          <cell r="J266" t="str">
            <v/>
          </cell>
          <cell r="K266" t="str">
            <v>https://panda-windows-and-doors.monday.com/protected_static/21046287/resources/1898714933/Panda signed.pdf</v>
          </cell>
          <cell r="L266" t="str">
            <v>https://panda-windows-and-doors.monday.com/protected_static/21046287/resources/2083443417/Carriage Club Coach House - 01022025.pdf, https://panda-windows-and-doors.monday.com/protected_static/21046287/resources/2083443414/83181_250115_134344.pdf</v>
          </cell>
          <cell r="M266" t="str">
            <v/>
          </cell>
          <cell r="N266" t="str">
            <v>https://panda-windows-and-doors.monday.com/protected_static/21046287/resources/1903520245/83181 DEPOSIT INVOICE.pdf</v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>
            <v>3914.5</v>
          </cell>
          <cell r="V266">
            <v>3914.5</v>
          </cell>
          <cell r="W266" t="str">
            <v>Annalene Conde Aug 21, 2025 4:01 PM</v>
          </cell>
          <cell r="X266" t="str">
            <v>2024-12-19 09:36</v>
          </cell>
          <cell r="Y266">
            <v>45672</v>
          </cell>
          <cell r="Z266" t="str">
            <v/>
          </cell>
          <cell r="AA266">
            <v>45672</v>
          </cell>
          <cell r="AB266" t="str">
            <v>Jayme Truong Jan 15, 2025 1:41 PM</v>
          </cell>
          <cell r="AC266">
            <v>45672</v>
          </cell>
          <cell r="AD266">
            <v>45684</v>
          </cell>
          <cell r="AE266">
            <v>45791</v>
          </cell>
          <cell r="AF266">
            <v>45791</v>
          </cell>
          <cell r="AG266">
            <v>45792</v>
          </cell>
          <cell r="AH266" t="str">
            <v>Steve Rees</v>
          </cell>
          <cell r="AI266" t="str">
            <v/>
          </cell>
        </row>
        <row r="267">
          <cell r="C267">
            <v>83854</v>
          </cell>
          <cell r="D267" t="str">
            <v/>
          </cell>
          <cell r="E267" t="str">
            <v/>
          </cell>
          <cell r="F267" t="str">
            <v>Final</v>
          </cell>
          <cell r="G267" t="str">
            <v>Final Collected</v>
          </cell>
          <cell r="H267" t="str">
            <v>No</v>
          </cell>
          <cell r="I267" t="str">
            <v>Sean Torre</v>
          </cell>
          <cell r="J267" t="str">
            <v/>
          </cell>
          <cell r="K267" t="str">
            <v>https://panda-windows-and-doors.monday.com/protected_static/21046287/resources/1958227636/Q#83854 - ONeils entry door - signed p.pdf</v>
          </cell>
          <cell r="L267" t="str">
            <v>https://panda-windows-and-doors.monday.com/protected_static/21046287/resources/2083516725/Q#83854 - ONeils entry door - signed b.pdf, https://panda-windows-and-doors.monday.com/protected_static/21046287/resources/2083516732/Q_83854 - ONeils entry door - signed b.pdf</v>
          </cell>
          <cell r="M267" t="str">
            <v/>
          </cell>
          <cell r="N267" t="str">
            <v>https://panda-windows-and-doors.monday.com/protected_static/21046287/resources/1958324837/83854 DEPOSIT INVOICE.pdf</v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>
            <v>5770</v>
          </cell>
          <cell r="V267">
            <v>6736.48</v>
          </cell>
          <cell r="W267" t="str">
            <v>Annalene Conde Aug 21, 2025 4:02 PM</v>
          </cell>
          <cell r="X267" t="str">
            <v>2025-02-11 13:48</v>
          </cell>
          <cell r="Y267">
            <v>45701</v>
          </cell>
          <cell r="Z267" t="str">
            <v/>
          </cell>
          <cell r="AA267">
            <v>45701</v>
          </cell>
          <cell r="AB267" t="str">
            <v>Jayme Truong Feb 13, 2025 4:15 PM</v>
          </cell>
          <cell r="AC267">
            <v>45701</v>
          </cell>
          <cell r="AD267">
            <v>45702</v>
          </cell>
          <cell r="AE267">
            <v>45779</v>
          </cell>
          <cell r="AF267">
            <v>45779</v>
          </cell>
          <cell r="AG267">
            <v>45792</v>
          </cell>
          <cell r="AH267" t="str">
            <v>Paul O’Neill</v>
          </cell>
          <cell r="AI267" t="str">
            <v/>
          </cell>
        </row>
        <row r="268">
          <cell r="C268">
            <v>79997</v>
          </cell>
          <cell r="D268" t="str">
            <v/>
          </cell>
          <cell r="E268" t="str">
            <v/>
          </cell>
          <cell r="F268" t="str">
            <v>Final</v>
          </cell>
          <cell r="G268" t="str">
            <v>Final Collected</v>
          </cell>
          <cell r="H268" t="str">
            <v>No</v>
          </cell>
          <cell r="I268" t="str">
            <v>Troy Kite</v>
          </cell>
          <cell r="J268" t="str">
            <v/>
          </cell>
          <cell r="K268" t="str">
            <v>https://panda-windows-and-doors.monday.com/protected_static/21046287/resources/1884107656/QQ #79997 - Charing signed 1.8.2025 (2).pdf</v>
          </cell>
          <cell r="L268" t="str">
            <v>https://panda-windows-and-doors.monday.com/protected_static/21046287/resources/2083451540/Charing - 01072025.pdf, https://panda-windows-and-doors.monday.com/protected_static/21046287/resources/2083451597/Charing - 01072025.xlsm</v>
          </cell>
          <cell r="M268" t="str">
            <v/>
          </cell>
          <cell r="N268" t="str">
            <v>https://panda-windows-and-doors.monday.com/protected_static/21046287/resources/1884764446/79997 deposit invoice.pdf</v>
          </cell>
          <cell r="O268" t="str">
            <v>Guxim Ajro</v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>
            <v>19830</v>
          </cell>
          <cell r="V268">
            <v>19830</v>
          </cell>
          <cell r="W268" t="str">
            <v>Annalene Conde Feb 9, 2026 8:16 AM</v>
          </cell>
          <cell r="X268" t="str">
            <v>2025-01-07 11:30</v>
          </cell>
          <cell r="Y268">
            <v>45665</v>
          </cell>
          <cell r="Z268" t="str">
            <v/>
          </cell>
          <cell r="AA268">
            <v>45665</v>
          </cell>
          <cell r="AB268" t="str">
            <v>Jayme Truong Jan 8, 2025 12:19 PM</v>
          </cell>
          <cell r="AC268">
            <v>45665</v>
          </cell>
          <cell r="AD268">
            <v>45671</v>
          </cell>
          <cell r="AE268">
            <v>45790</v>
          </cell>
          <cell r="AF268">
            <v>45790</v>
          </cell>
          <cell r="AG268">
            <v>45797</v>
          </cell>
          <cell r="AH268" t="str">
            <v>Guxim Ajro</v>
          </cell>
          <cell r="AI268" t="str">
            <v/>
          </cell>
        </row>
        <row r="269">
          <cell r="C269">
            <v>82133</v>
          </cell>
          <cell r="D269">
            <v>45744</v>
          </cell>
          <cell r="E269" t="str">
            <v/>
          </cell>
          <cell r="F269" t="str">
            <v>Final</v>
          </cell>
          <cell r="G269" t="str">
            <v>Final Collected</v>
          </cell>
          <cell r="H269" t="str">
            <v>No</v>
          </cell>
          <cell r="I269" t="str">
            <v>Trevor Benthagen, Efrain Zarate</v>
          </cell>
          <cell r="J269" t="str">
            <v/>
          </cell>
          <cell r="K269" t="str">
            <v>https://panda-windows-and-doors.monday.com/protected_static/21046287/resources/1967870511/smtp.office365.com_20250218_125449.pdf</v>
          </cell>
          <cell r="L269" t="str">
            <v>https://panda-windows-and-doors.monday.com/protected_static/21046287/resources/2083549615/Q#82133 SIGNED BACKER.pdf, https://panda-windows-and-doors.monday.com/protected_static/21046287/resources/2083549619/Q_82133_Backer_smtp.office365.com_20250324_101519.pdf</v>
          </cell>
          <cell r="M269" t="str">
            <v/>
          </cell>
          <cell r="N269" t="str">
            <v>https://panda-windows-and-doors.monday.com/protected_static/21046287/resources/2037379396/82133 CHANGE ORDER INVOICE.pdf</v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>
            <v>29000</v>
          </cell>
          <cell r="V269">
            <v>43691.44</v>
          </cell>
          <cell r="W269" t="str">
            <v>Annalene Conde Aug 22, 2025 4:01 PM</v>
          </cell>
          <cell r="X269" t="str">
            <v>2025-01-08 00:00</v>
          </cell>
          <cell r="Y269">
            <v>45793</v>
          </cell>
          <cell r="Z269" t="str">
            <v/>
          </cell>
          <cell r="AA269">
            <v>45793</v>
          </cell>
          <cell r="AB269" t="str">
            <v>Jayme Truong Mar 24, 2025 10:44 AM</v>
          </cell>
          <cell r="AC269">
            <v>45796</v>
          </cell>
          <cell r="AD269" t="str">
            <v/>
          </cell>
          <cell r="AE269">
            <v>45796</v>
          </cell>
          <cell r="AF269">
            <v>45796</v>
          </cell>
          <cell r="AG269">
            <v>45797</v>
          </cell>
          <cell r="AH269" t="str">
            <v>Tyler Morris</v>
          </cell>
          <cell r="AI269">
            <v>45744</v>
          </cell>
        </row>
        <row r="270">
          <cell r="C270">
            <v>78744</v>
          </cell>
          <cell r="D270" t="str">
            <v/>
          </cell>
          <cell r="E270" t="str">
            <v/>
          </cell>
          <cell r="F270" t="str">
            <v>Final</v>
          </cell>
          <cell r="G270" t="str">
            <v>Final Collected</v>
          </cell>
          <cell r="H270" t="str">
            <v>No</v>
          </cell>
          <cell r="I270" t="str">
            <v>Spencer Anderson</v>
          </cell>
          <cell r="J270" t="str">
            <v/>
          </cell>
          <cell r="K270" t="str">
            <v>https://panda-windows-and-doors.monday.com/protected_static/21046287/resources/2083765533/Signed BP QQ _78744 - REVISED 3 - Waterline Tower - 01172025.pdf</v>
          </cell>
          <cell r="L270" t="str">
            <v>https://panda-windows-and-doors.monday.com/protected_static/21046287/resources/2083538965/Signed Backer.pdf</v>
          </cell>
          <cell r="M270" t="str">
            <v/>
          </cell>
          <cell r="N270" t="str">
            <v>https://panda-windows-and-doors.monday.com/protected_static/21046287/resources/1910270980/78744 DEPOSIT INVOICE.pdf</v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>
            <v>37207</v>
          </cell>
          <cell r="V270">
            <v>37207</v>
          </cell>
          <cell r="W270" t="str">
            <v>Annalene Conde Aug 21, 2025 4:11 PM</v>
          </cell>
          <cell r="X270" t="str">
            <v>2025-01-21 00:00</v>
          </cell>
          <cell r="Y270">
            <v>45678</v>
          </cell>
          <cell r="Z270" t="str">
            <v/>
          </cell>
          <cell r="AA270">
            <v>45678</v>
          </cell>
          <cell r="AB270" t="str">
            <v>Jayme Truong Jan 21, 2025 2:20 PM</v>
          </cell>
          <cell r="AC270">
            <v>45678</v>
          </cell>
          <cell r="AD270">
            <v>45686</v>
          </cell>
          <cell r="AE270">
            <v>45796</v>
          </cell>
          <cell r="AF270">
            <v>45796</v>
          </cell>
          <cell r="AG270">
            <v>45797</v>
          </cell>
          <cell r="AH270" t="str">
            <v>Polk Architectural</v>
          </cell>
          <cell r="AI270" t="str">
            <v/>
          </cell>
        </row>
        <row r="271">
          <cell r="C271">
            <v>83943</v>
          </cell>
          <cell r="D271" t="str">
            <v/>
          </cell>
          <cell r="E271" t="str">
            <v/>
          </cell>
          <cell r="F271" t="str">
            <v>Final</v>
          </cell>
          <cell r="G271" t="str">
            <v>Final Collected</v>
          </cell>
          <cell r="H271" t="str">
            <v>No</v>
          </cell>
          <cell r="I271" t="str">
            <v>Tad Shurtleff</v>
          </cell>
          <cell r="J271" t="str">
            <v/>
          </cell>
          <cell r="K271" t="str">
            <v>https://panda-windows-and-doors.monday.com/protected_static/21046287/resources/1977953040/Signed Sales Order Q 83943 Lupoli - Butts.pdf</v>
          </cell>
          <cell r="L271" t="str">
            <v>https://panda-windows-and-doors.monday.com/protected_static/21046287/resources/2083568048/Approved Backer Q 83943 Lupoli - Butts.pdf, https://panda-windows-and-doors.monday.com/protected_static/21046287/resources/2083568046/Backer Q 83943 Lupoli - Butts - 021825.xlsx, https://panda-windows-and-doors.monday.com/protected_static/21046287/resources/2083568043/Backer Q 83943 Lupoli - Butts - 021825.xlsx_Approved Backer Q 83943 Lupoli - Butts.pdf</v>
          </cell>
          <cell r="M271" t="str">
            <v/>
          </cell>
          <cell r="N271" t="str">
            <v>https://panda-windows-and-doors.monday.com/protected_static/21046287/resources/1977000766/81390 DEPOSIT INVOICE.pdf</v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>
            <v>13068</v>
          </cell>
          <cell r="V271">
            <v>13067</v>
          </cell>
          <cell r="W271" t="str">
            <v>Annalene Conde Aug 21, 2025 4:11 PM</v>
          </cell>
          <cell r="X271" t="str">
            <v>2025-02-20 00:00</v>
          </cell>
          <cell r="Y271">
            <v>45709</v>
          </cell>
          <cell r="Z271" t="str">
            <v/>
          </cell>
          <cell r="AA271">
            <v>45709</v>
          </cell>
          <cell r="AB271" t="str">
            <v>Jayme Truong Feb 21, 2025 2:55 PM</v>
          </cell>
          <cell r="AC271">
            <v>45709</v>
          </cell>
          <cell r="AD271">
            <v>45712</v>
          </cell>
          <cell r="AE271">
            <v>45798</v>
          </cell>
          <cell r="AF271">
            <v>45798</v>
          </cell>
          <cell r="AG271">
            <v>45799</v>
          </cell>
          <cell r="AH271" t="str">
            <v>Reeves Hardware &amp; Building Supply</v>
          </cell>
          <cell r="AI271" t="str">
            <v/>
          </cell>
        </row>
        <row r="272">
          <cell r="C272">
            <v>81592</v>
          </cell>
          <cell r="D272" t="str">
            <v/>
          </cell>
          <cell r="E272" t="str">
            <v/>
          </cell>
          <cell r="F272" t="str">
            <v>Final</v>
          </cell>
          <cell r="G272" t="str">
            <v>Final Collected</v>
          </cell>
          <cell r="H272" t="str">
            <v>No</v>
          </cell>
          <cell r="I272" t="str">
            <v>Trevor Benthagen, Efrain Zarate</v>
          </cell>
          <cell r="J272" t="str">
            <v/>
          </cell>
          <cell r="K272" t="str">
            <v>https://panda-windows-and-doors.monday.com/protected_static/21046287/resources/2083768643/smtp.office365.com_20250131_083553.pdf</v>
          </cell>
          <cell r="L272" t="str">
            <v>https://panda-windows-and-doors.monday.com/protected_static/21046287/resources/2083548537/smtp.office365.com_20250131_083534.pdf, https://panda-windows-and-doors.monday.com/protected_static/21046287/resources/2083548538/Kennedy Kubow Residence 01102025.xlsx</v>
          </cell>
          <cell r="M272" t="str">
            <v/>
          </cell>
          <cell r="N272" t="str">
            <v>https://panda-windows-and-doors.monday.com/protected_static/21046287/resources/1931973680/81592 Deposit Invoice.pdf</v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>
            <v>28869</v>
          </cell>
          <cell r="V272">
            <v>31574.66</v>
          </cell>
          <cell r="W272" t="str">
            <v>Annalene Conde Aug 21, 2025 4:12 PM</v>
          </cell>
          <cell r="X272" t="str">
            <v>2025-01-10 00:00</v>
          </cell>
          <cell r="Y272">
            <v>45688</v>
          </cell>
          <cell r="Z272" t="str">
            <v/>
          </cell>
          <cell r="AA272">
            <v>45688</v>
          </cell>
          <cell r="AB272" t="str">
            <v>Jayme Truong Jan 31, 2025 11:51 AM</v>
          </cell>
          <cell r="AC272">
            <v>45688</v>
          </cell>
          <cell r="AD272">
            <v>45702</v>
          </cell>
          <cell r="AE272">
            <v>45791</v>
          </cell>
          <cell r="AF272">
            <v>45791</v>
          </cell>
          <cell r="AG272">
            <v>45800</v>
          </cell>
          <cell r="AH272" t="str">
            <v>Evans Construction</v>
          </cell>
          <cell r="AI272" t="str">
            <v/>
          </cell>
        </row>
        <row r="273">
          <cell r="C273">
            <v>83006</v>
          </cell>
          <cell r="D273" t="str">
            <v/>
          </cell>
          <cell r="E273" t="str">
            <v/>
          </cell>
          <cell r="F273" t="str">
            <v>Final</v>
          </cell>
          <cell r="G273" t="str">
            <v>Final Collected</v>
          </cell>
          <cell r="H273" t="str">
            <v>No</v>
          </cell>
          <cell r="I273" t="str">
            <v>Derrick McCall</v>
          </cell>
          <cell r="J273" t="str">
            <v>Elizabet Lopez</v>
          </cell>
          <cell r="K273" t="str">
            <v>https://panda-windows-and-doors.monday.com/protected_static/21046287/resources/2024865055/QQ#83006 300 California Street 2 12062024- Signed.pdf</v>
          </cell>
          <cell r="L273" t="str">
            <v>https://panda-windows-and-doors.monday.com/protected_static/21046287/resources/2111685408/Q83006.pdf</v>
          </cell>
          <cell r="M273" t="str">
            <v/>
          </cell>
          <cell r="N273" t="str">
            <v>https://panda-windows-and-doors.monday.com/protected_static/21046287/resources/1903565570/83006 DEPOSIT INVOICE.pdf</v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>
            <v>12634</v>
          </cell>
          <cell r="V273">
            <v>12634</v>
          </cell>
          <cell r="W273" t="str">
            <v>Annalene Conde Aug 21, 2025 4:12 PM</v>
          </cell>
          <cell r="X273" t="str">
            <v>2024-12-26 00:00</v>
          </cell>
          <cell r="Y273">
            <v>45672</v>
          </cell>
          <cell r="Z273" t="str">
            <v/>
          </cell>
          <cell r="AA273">
            <v>45672</v>
          </cell>
          <cell r="AB273" t="str">
            <v>Jayme Truong Jan 15, 2025 12:42 PM</v>
          </cell>
          <cell r="AC273">
            <v>45672</v>
          </cell>
          <cell r="AD273">
            <v>45712</v>
          </cell>
          <cell r="AE273">
            <v>45797</v>
          </cell>
          <cell r="AF273">
            <v>45797</v>
          </cell>
          <cell r="AG273">
            <v>45800</v>
          </cell>
          <cell r="AH273" t="str">
            <v>Chaix Company</v>
          </cell>
          <cell r="AI273" t="str">
            <v/>
          </cell>
        </row>
        <row r="274">
          <cell r="C274">
            <v>83384</v>
          </cell>
          <cell r="D274">
            <v>45744</v>
          </cell>
          <cell r="E274" t="str">
            <v/>
          </cell>
          <cell r="F274" t="str">
            <v>Final</v>
          </cell>
          <cell r="G274" t="str">
            <v>Final Collected</v>
          </cell>
          <cell r="H274" t="str">
            <v>No</v>
          </cell>
          <cell r="I274" t="str">
            <v>Sean Torre</v>
          </cell>
          <cell r="J274" t="str">
            <v/>
          </cell>
          <cell r="K274" t="str">
            <v>https://panda-windows-and-doors.monday.com/protected_static/21046287/resources/1914770716/Q#83384 - Erin Entry Door.pdf</v>
          </cell>
          <cell r="L274" t="str">
            <v>https://panda-windows-and-doors.monday.com/protected_static/21046287/resources/2083501616/CamScanner 01-23-2025 08.32.pdf</v>
          </cell>
          <cell r="M274" t="str">
            <v/>
          </cell>
          <cell r="N274" t="str">
            <v>https://panda-windows-and-doors.monday.com/protected_static/21046287/resources/2066262497/83384 Revised Deposit invoice CO 1.pdf, https://panda-windows-and-doors.monday.com/protected_static/21046287/resources/2066263040/83384 DEPOSIT INVOICE.pdf</v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>
            <v>7494</v>
          </cell>
          <cell r="V274">
            <v>9229.34</v>
          </cell>
          <cell r="W274" t="str">
            <v>Annalene Conde Aug 22, 2025 4:01 PM</v>
          </cell>
          <cell r="X274" t="str">
            <v>2025-01-11 23:08</v>
          </cell>
          <cell r="Y274">
            <v>45776</v>
          </cell>
          <cell r="Z274" t="str">
            <v/>
          </cell>
          <cell r="AA274">
            <v>45776</v>
          </cell>
          <cell r="AB274" t="str">
            <v>Jayme Truong Feb 11, 2025 2:27 PM</v>
          </cell>
          <cell r="AC274">
            <v>45776</v>
          </cell>
          <cell r="AD274" t="str">
            <v/>
          </cell>
          <cell r="AE274">
            <v>45776</v>
          </cell>
          <cell r="AF274">
            <v>45776</v>
          </cell>
          <cell r="AG274">
            <v>45805</v>
          </cell>
          <cell r="AH274" t="str">
            <v>Erin Leach</v>
          </cell>
          <cell r="AI274">
            <v>45744</v>
          </cell>
        </row>
        <row r="275">
          <cell r="C275">
            <v>83246</v>
          </cell>
          <cell r="D275" t="str">
            <v/>
          </cell>
          <cell r="E275" t="str">
            <v/>
          </cell>
          <cell r="F275" t="str">
            <v>Final</v>
          </cell>
          <cell r="G275" t="str">
            <v>Final Collected</v>
          </cell>
          <cell r="H275" t="str">
            <v>No</v>
          </cell>
          <cell r="I275" t="str">
            <v>Troy Kite</v>
          </cell>
          <cell r="J275" t="str">
            <v>Tiranit Shoshan, Elizabet Lopez</v>
          </cell>
          <cell r="K275" t="str">
            <v>https://panda-windows-and-doors.monday.com/protected_static/21046287/resources/1971935450/2025-02-20 QQ #83246 - Statz Shed - 01062025.pdf, https://panda-windows-and-doors.monday.com/protected_static/21046287/resources/1971942325/smtp.office365.com_20250220_142723.pdf, https://panda-windows-and-doors.monday.com/protected_static/21046287/resources/2166907529/QQ #83246 - Statz Shed - 03032025.pdf</v>
          </cell>
          <cell r="L275" t="str">
            <v>https://panda-windows-and-doors.monday.com/protected_static/21046287/resources/2083447525/smtp.office365.com_20250304_055319_backer.pdf</v>
          </cell>
          <cell r="M275" t="str">
            <v/>
          </cell>
          <cell r="N275" t="str">
            <v>https://panda-windows-and-doors.monday.com/protected_static/21046287/resources/1994722759/83246 Deposit Invoice.pdf</v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>
            <v>10851</v>
          </cell>
          <cell r="V275">
            <v>10467.18</v>
          </cell>
          <cell r="W275" t="str">
            <v>Annalene Conde Aug 21, 2025 4:13 PM</v>
          </cell>
          <cell r="X275" t="str">
            <v>2024-12-30 12:28</v>
          </cell>
          <cell r="Y275">
            <v>45708</v>
          </cell>
          <cell r="Z275" t="str">
            <v/>
          </cell>
          <cell r="AA275">
            <v>45708</v>
          </cell>
          <cell r="AB275" t="str">
            <v>Jayme Truong Feb 20, 2025 5:06 PM</v>
          </cell>
          <cell r="AC275">
            <v>45708</v>
          </cell>
          <cell r="AD275">
            <v>45727</v>
          </cell>
          <cell r="AE275">
            <v>45796</v>
          </cell>
          <cell r="AF275">
            <v>45796</v>
          </cell>
          <cell r="AG275">
            <v>45805</v>
          </cell>
          <cell r="AH275" t="str">
            <v>Tony Statz</v>
          </cell>
          <cell r="AI275" t="str">
            <v/>
          </cell>
        </row>
        <row r="276">
          <cell r="C276">
            <v>83472</v>
          </cell>
          <cell r="D276" t="str">
            <v/>
          </cell>
          <cell r="E276" t="str">
            <v/>
          </cell>
          <cell r="F276" t="str">
            <v>Final</v>
          </cell>
          <cell r="G276" t="str">
            <v>Final Collected</v>
          </cell>
          <cell r="H276" t="str">
            <v>No</v>
          </cell>
          <cell r="I276" t="str">
            <v>Derrick McCall</v>
          </cell>
          <cell r="J276" t="str">
            <v/>
          </cell>
          <cell r="K276" t="str">
            <v>https://panda-windows-and-doors.monday.com/protected_static/21046287/resources/2083766083/QQ _83472 - Phico -TamAndari - 012825 Updated Signed.pdf</v>
          </cell>
          <cell r="L276" t="str">
            <v>https://panda-windows-and-doors.monday.com/protected_static/21046287/resources/2083481355/smtp.office365.com_20250128_132935.pdf</v>
          </cell>
          <cell r="M276" t="str">
            <v/>
          </cell>
          <cell r="N276" t="str">
            <v>https://panda-windows-and-doors.monday.com/protected_static/21046287/resources/1929023919/83472 DEPOSIT INVOICE NO TAX.pdf</v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>
            <v>91379</v>
          </cell>
          <cell r="V276">
            <v>91379</v>
          </cell>
          <cell r="W276" t="str">
            <v>Annalene Conde Aug 21, 2025 4:14 PM</v>
          </cell>
          <cell r="X276" t="str">
            <v>2025-01-28 00:00</v>
          </cell>
          <cell r="Y276">
            <v>45685</v>
          </cell>
          <cell r="Z276" t="str">
            <v/>
          </cell>
          <cell r="AA276">
            <v>45686</v>
          </cell>
          <cell r="AB276" t="str">
            <v>Jayme Truong Jan 28, 2025 3:51 PM</v>
          </cell>
          <cell r="AC276">
            <v>45686</v>
          </cell>
          <cell r="AD276">
            <v>45688</v>
          </cell>
          <cell r="AE276">
            <v>45798</v>
          </cell>
          <cell r="AF276">
            <v>45798</v>
          </cell>
          <cell r="AG276">
            <v>45805</v>
          </cell>
          <cell r="AH276" t="str">
            <v>Pigca</v>
          </cell>
          <cell r="AI276" t="str">
            <v/>
          </cell>
        </row>
        <row r="277">
          <cell r="C277">
            <v>83039</v>
          </cell>
          <cell r="D277" t="str">
            <v/>
          </cell>
          <cell r="E277" t="str">
            <v/>
          </cell>
          <cell r="F277" t="str">
            <v>Final</v>
          </cell>
          <cell r="G277" t="str">
            <v>Final Collected</v>
          </cell>
          <cell r="H277" t="str">
            <v>No</v>
          </cell>
          <cell r="I277" t="str">
            <v>Cassandra Gromoll, Mary Wursten</v>
          </cell>
          <cell r="J277" t="str">
            <v/>
          </cell>
          <cell r="K277" t="str">
            <v>https://panda-windows-and-doors.monday.com/protected_static/21046287/resources/2062624021/Sales Order 040425.pdf</v>
          </cell>
          <cell r="L277" t="str">
            <v>https://panda-windows-and-doors.monday.com/protected_static/21046287/resources/2083397203/Signed Backer 040425.pdf, https://panda-windows-and-doors.monday.com/protected_static/21046287/resources/2083397202/Tustin 12112024.xlsx, https://panda-windows-and-doors.monday.com/protected_static/21046287/resources/2083397196/Tustin 04012025.xlsx, https://panda-windows-and-doors.monday.com/protected_static/21046287/resources/2083397212/Tustin 03312025.xlsx</v>
          </cell>
          <cell r="M277" t="str">
            <v/>
          </cell>
          <cell r="N277" t="str">
            <v>https://panda-windows-and-doors.monday.com/protected_static/21046287/resources/2065833000/83039 Deposit Invoice.pdf</v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>
            <v>16842</v>
          </cell>
          <cell r="V277">
            <v>19398.259999999998</v>
          </cell>
          <cell r="W277" t="str">
            <v>Annalene Conde Aug 21, 2025 4:15 PM</v>
          </cell>
          <cell r="X277" t="str">
            <v>2024-12-08 13:34</v>
          </cell>
          <cell r="Y277">
            <v>45751</v>
          </cell>
          <cell r="Z277" t="str">
            <v/>
          </cell>
          <cell r="AA277">
            <v>45751</v>
          </cell>
          <cell r="AB277" t="str">
            <v>Jayme Truong Apr 4, 2025 4:18 PM</v>
          </cell>
          <cell r="AC277">
            <v>45751</v>
          </cell>
          <cell r="AD277">
            <v>45755</v>
          </cell>
          <cell r="AE277">
            <v>45805</v>
          </cell>
          <cell r="AF277">
            <v>45805</v>
          </cell>
          <cell r="AG277">
            <v>45805</v>
          </cell>
          <cell r="AH277" t="str">
            <v>Ray Swartz</v>
          </cell>
          <cell r="AI277" t="str">
            <v/>
          </cell>
        </row>
        <row r="278">
          <cell r="C278">
            <v>82937</v>
          </cell>
          <cell r="D278" t="str">
            <v/>
          </cell>
          <cell r="E278" t="str">
            <v/>
          </cell>
          <cell r="F278" t="str">
            <v>Final</v>
          </cell>
          <cell r="G278" t="str">
            <v>Final Collected</v>
          </cell>
          <cell r="H278" t="str">
            <v>No</v>
          </cell>
          <cell r="I278" t="str">
            <v>Troy Kite</v>
          </cell>
          <cell r="J278" t="str">
            <v/>
          </cell>
          <cell r="K278" t="str">
            <v>https://panda-windows-and-doors.monday.com/protected_static/21046287/resources/1960232187/Signed Panda Window Quote.pdf</v>
          </cell>
          <cell r="L278" t="str">
            <v>https://panda-windows-and-doors.monday.com/protected_static/21046287/resources/2083444180/20250207_110925.jpg</v>
          </cell>
          <cell r="M278" t="str">
            <v/>
          </cell>
          <cell r="N278" t="str">
            <v>https://panda-windows-and-doors.monday.com/protected_static/21046287/resources/1946895683/82937 DEPOSIT INVOICE.pdf</v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>
            <v>5409</v>
          </cell>
          <cell r="V278">
            <v>5408</v>
          </cell>
          <cell r="W278" t="str">
            <v>Annalene Conde Aug 21, 2025 4:15 PM</v>
          </cell>
          <cell r="X278" t="str">
            <v>2025-02-07 00:00</v>
          </cell>
          <cell r="Y278">
            <v>45695</v>
          </cell>
          <cell r="Z278" t="str">
            <v/>
          </cell>
          <cell r="AA278">
            <v>45695</v>
          </cell>
          <cell r="AB278" t="str">
            <v>Jayme Truong Feb 7, 2025 12:05 PM</v>
          </cell>
          <cell r="AC278">
            <v>45695</v>
          </cell>
          <cell r="AD278">
            <v>45702</v>
          </cell>
          <cell r="AE278">
            <v>45805</v>
          </cell>
          <cell r="AF278">
            <v>45805</v>
          </cell>
          <cell r="AG278">
            <v>45805</v>
          </cell>
          <cell r="AH278" t="str">
            <v>JSA Glass</v>
          </cell>
          <cell r="AI278" t="str">
            <v/>
          </cell>
        </row>
        <row r="279">
          <cell r="C279">
            <v>84556</v>
          </cell>
          <cell r="D279" t="str">
            <v/>
          </cell>
          <cell r="E279" t="str">
            <v/>
          </cell>
          <cell r="F279" t="str">
            <v>Final</v>
          </cell>
          <cell r="G279" t="str">
            <v>Final Collected</v>
          </cell>
          <cell r="H279" t="str">
            <v>No</v>
          </cell>
          <cell r="I279" t="str">
            <v>Sean Torre</v>
          </cell>
          <cell r="J279" t="str">
            <v/>
          </cell>
          <cell r="K279" t="str">
            <v>https://panda-windows-and-doors.monday.com/protected_static/21046287/resources/2038130718/CamScanner 03-25-2025 11.15.pdf</v>
          </cell>
          <cell r="L279" t="str">
            <v>https://panda-windows-and-doors.monday.com/protected_static/21046287/resources/2083570697/CamScanner 03-25-2025 11.16.pdf</v>
          </cell>
          <cell r="M279" t="str">
            <v/>
          </cell>
          <cell r="N279" t="str">
            <v>https://panda-windows-and-doors.monday.com/protected_static/21046287/resources/2038273935/84556 Deposit Invoice.pdf</v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>
            <v>5096</v>
          </cell>
          <cell r="V279">
            <v>5949.58</v>
          </cell>
          <cell r="W279" t="str">
            <v>Annalene Conde Aug 21, 2025 4:15 PM</v>
          </cell>
          <cell r="X279" t="str">
            <v>2025-03-21 09:52</v>
          </cell>
          <cell r="Y279">
            <v>45741</v>
          </cell>
          <cell r="Z279" t="str">
            <v/>
          </cell>
          <cell r="AA279">
            <v>45741</v>
          </cell>
          <cell r="AB279" t="str">
            <v>Jayme Truong Mar 25, 2025 12:19 PM</v>
          </cell>
          <cell r="AC279">
            <v>45741</v>
          </cell>
          <cell r="AD279">
            <v>45748</v>
          </cell>
          <cell r="AE279">
            <v>45805</v>
          </cell>
          <cell r="AF279">
            <v>45805</v>
          </cell>
          <cell r="AG279">
            <v>45807</v>
          </cell>
          <cell r="AH279" t="str">
            <v>Stephanie Moore</v>
          </cell>
          <cell r="AI279" t="str">
            <v/>
          </cell>
        </row>
        <row r="280">
          <cell r="C280">
            <v>84477</v>
          </cell>
          <cell r="D280" t="str">
            <v/>
          </cell>
          <cell r="E280" t="str">
            <v/>
          </cell>
          <cell r="F280" t="str">
            <v>Final</v>
          </cell>
          <cell r="G280" t="str">
            <v>Final Collected</v>
          </cell>
          <cell r="H280" t="str">
            <v>No</v>
          </cell>
          <cell r="I280" t="str">
            <v>Trevor Benthagen, Efrain Zarate</v>
          </cell>
          <cell r="J280" t="str">
            <v/>
          </cell>
          <cell r="K280" t="str">
            <v>https://panda-windows-and-doors.monday.com/protected_static/21046287/resources/2111694416/QQ_84477 Hemphill Folding Doors  03212025.pdf</v>
          </cell>
          <cell r="L280" t="str">
            <v>https://panda-windows-and-doors.monday.com/protected_static/21046287/resources/2083575210/smtp.office365.com_20250321_081608.pdf, https://panda-windows-and-doors.monday.com/protected_static/21046287/resources/2083575212/Hemphill Folding Doors 03212025.xlsx</v>
          </cell>
          <cell r="M280" t="str">
            <v/>
          </cell>
          <cell r="N280" t="str">
            <v>https://panda-windows-and-doors.monday.com/protected_static/21046287/resources/2031324980/84477 Deposit Invoice.pdf</v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>
            <v>9951</v>
          </cell>
          <cell r="V280">
            <v>11597.27</v>
          </cell>
          <cell r="W280" t="str">
            <v>Annalene Conde Aug 21, 2025 4:15 PM</v>
          </cell>
          <cell r="X280" t="str">
            <v>2025-03-13 13:12</v>
          </cell>
          <cell r="Y280">
            <v>45737</v>
          </cell>
          <cell r="Z280" t="str">
            <v/>
          </cell>
          <cell r="AA280">
            <v>45737</v>
          </cell>
          <cell r="AB280" t="str">
            <v>Jayme Truong Mar 21, 2025 11:06 AM</v>
          </cell>
          <cell r="AC280">
            <v>45737</v>
          </cell>
          <cell r="AD280">
            <v>45810</v>
          </cell>
          <cell r="AE280">
            <v>45804</v>
          </cell>
          <cell r="AF280">
            <v>45804</v>
          </cell>
          <cell r="AG280">
            <v>45810</v>
          </cell>
          <cell r="AH280" t="str">
            <v>Hemphill Folding Doors</v>
          </cell>
          <cell r="AI280" t="str">
            <v/>
          </cell>
        </row>
        <row r="281">
          <cell r="C281">
            <v>82790</v>
          </cell>
          <cell r="D281" t="str">
            <v/>
          </cell>
          <cell r="E281" t="str">
            <v/>
          </cell>
          <cell r="F281" t="str">
            <v>Final</v>
          </cell>
          <cell r="G281" t="str">
            <v>Final Collected</v>
          </cell>
          <cell r="H281" t="str">
            <v>No</v>
          </cell>
          <cell r="I281" t="str">
            <v>Stefan Monetta</v>
          </cell>
          <cell r="J281" t="str">
            <v/>
          </cell>
          <cell r="K281" t="str">
            <v>https://panda-windows-and-doors.monday.com/protected_static/21046287/resources/1957855406/QQ #82790 - 4525 Pinetree Office - 111824 signed quote.pdf</v>
          </cell>
          <cell r="L281" t="str">
            <v>https://panda-windows-and-doors.monday.com/protected_static/21046287/resources/2083542545/Q82790 - Signed Backer.pdf</v>
          </cell>
          <cell r="M281" t="str">
            <v/>
          </cell>
          <cell r="N281" t="str">
            <v>https://panda-windows-and-doors.monday.com/protected_static/21046287/resources/1935988480/82790 DEPOSIT INVOICE.pdf</v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>
            <v>10906</v>
          </cell>
          <cell r="V281">
            <v>10906</v>
          </cell>
          <cell r="W281" t="str">
            <v>Annalene Conde Aug 21, 2025 4:16 PM</v>
          </cell>
          <cell r="X281" t="str">
            <v>2025-01-14 00:00</v>
          </cell>
          <cell r="Y281">
            <v>45691</v>
          </cell>
          <cell r="Z281" t="str">
            <v/>
          </cell>
          <cell r="AA281">
            <v>45691</v>
          </cell>
          <cell r="AB281" t="str">
            <v>Jayme Truong Feb 3, 2025 12:01 PM</v>
          </cell>
          <cell r="AC281">
            <v>45691</v>
          </cell>
          <cell r="AD281">
            <v>45706</v>
          </cell>
          <cell r="AE281">
            <v>45797</v>
          </cell>
          <cell r="AF281">
            <v>45797</v>
          </cell>
          <cell r="AG281">
            <v>45810</v>
          </cell>
          <cell r="AH281" t="str">
            <v>Trendex Windows &amp; Doors</v>
          </cell>
          <cell r="AI281" t="str">
            <v/>
          </cell>
        </row>
        <row r="282">
          <cell r="C282">
            <v>83151</v>
          </cell>
          <cell r="D282" t="str">
            <v/>
          </cell>
          <cell r="E282" t="str">
            <v/>
          </cell>
          <cell r="F282" t="str">
            <v>Final</v>
          </cell>
          <cell r="G282" t="str">
            <v>Final Collected</v>
          </cell>
          <cell r="H282" t="str">
            <v>No</v>
          </cell>
          <cell r="I282" t="str">
            <v>Trevor Benthagen, Efrain Zarate</v>
          </cell>
          <cell r="J282" t="str">
            <v/>
          </cell>
          <cell r="K282" t="str">
            <v>https://panda-windows-and-doors.monday.com/protected_static/21046287/resources/1898487030/no-reply@panda-windows.com_20250115_090755.pdf</v>
          </cell>
          <cell r="L282" t="str">
            <v>https://panda-windows-and-doors.monday.com/protected_static/21046287/resources/2083570565/no-reply_panda-windows.com_20250115_090814.pdf</v>
          </cell>
          <cell r="M282" t="str">
            <v/>
          </cell>
          <cell r="N282" t="str">
            <v>https://panda-windows-and-doors.monday.com/protected_static/21046287/resources/2005332016/83151 DEPOSIT INVOICE.pdf</v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>
            <v>25645.11</v>
          </cell>
          <cell r="V282">
            <v>24429.57</v>
          </cell>
          <cell r="W282" t="str">
            <v>Annalene Conde Aug 21, 2025 4:16 PM</v>
          </cell>
          <cell r="X282" t="str">
            <v>2024-12-26 00:00</v>
          </cell>
          <cell r="Y282">
            <v>45672</v>
          </cell>
          <cell r="Z282" t="str">
            <v/>
          </cell>
          <cell r="AA282">
            <v>45672</v>
          </cell>
          <cell r="AB282" t="str">
            <v>Jayme Truong Jan 15, 2025 12:00 PM</v>
          </cell>
          <cell r="AC282">
            <v>45674</v>
          </cell>
          <cell r="AD282">
            <v>45726</v>
          </cell>
          <cell r="AE282">
            <v>45804</v>
          </cell>
          <cell r="AF282">
            <v>45804</v>
          </cell>
          <cell r="AG282">
            <v>45810</v>
          </cell>
          <cell r="AH282" t="str">
            <v>Terry Alder</v>
          </cell>
          <cell r="AI282" t="str">
            <v/>
          </cell>
        </row>
        <row r="283">
          <cell r="C283">
            <v>83849</v>
          </cell>
          <cell r="D283" t="str">
            <v/>
          </cell>
          <cell r="E283" t="str">
            <v/>
          </cell>
          <cell r="F283" t="str">
            <v>Final</v>
          </cell>
          <cell r="G283" t="str">
            <v>Final Collected</v>
          </cell>
          <cell r="H283" t="str">
            <v>No</v>
          </cell>
          <cell r="I283" t="str">
            <v>Mary Wursten, Cassandra Gromoll</v>
          </cell>
          <cell r="J283" t="str">
            <v>Tiranit Shoshan</v>
          </cell>
          <cell r="K283" t="str">
            <v>https://panda-windows-and-doors.monday.com/protected_static/21046287/resources/2000305935/QQ#83849 Mark Samuel 03052025 (003).pdf</v>
          </cell>
          <cell r="L283" t="str">
            <v>https://panda-windows-and-doors.monday.com/protected_static/21046287/resources/2083551326/Mark Samuel 0305025.xlsx, https://panda-windows-and-doors.monday.com/protected_static/21046287/resources/2083551328/Mark Samuel 0305025.xlsx_Signed Backer.pdf</v>
          </cell>
          <cell r="M283" t="str">
            <v/>
          </cell>
          <cell r="N283" t="str">
            <v>https://panda-windows-and-doors.monday.com/protected_static/21046287/resources/2059001926/83849 Deposit Invoice.pdf</v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>
            <v>9085</v>
          </cell>
          <cell r="V283">
            <v>9084</v>
          </cell>
          <cell r="W283" t="str">
            <v>Annalene Conde Aug 21, 2025 4:16 PM</v>
          </cell>
          <cell r="X283" t="str">
            <v>2025-02-11 00:00</v>
          </cell>
          <cell r="Y283">
            <v>45722</v>
          </cell>
          <cell r="Z283" t="str">
            <v/>
          </cell>
          <cell r="AA283">
            <v>45722</v>
          </cell>
          <cell r="AB283" t="str">
            <v>Jayme Truong Mar 6, 2025 1:27 PM</v>
          </cell>
          <cell r="AC283">
            <v>45722</v>
          </cell>
          <cell r="AD283">
            <v>45726</v>
          </cell>
          <cell r="AE283">
            <v>45791</v>
          </cell>
          <cell r="AF283">
            <v>45791</v>
          </cell>
          <cell r="AG283">
            <v>45811</v>
          </cell>
          <cell r="AH283" t="str">
            <v>Arcadia Sash &amp; Door</v>
          </cell>
          <cell r="AI283" t="str">
            <v/>
          </cell>
        </row>
        <row r="284">
          <cell r="C284">
            <v>83441</v>
          </cell>
          <cell r="D284" t="str">
            <v/>
          </cell>
          <cell r="E284" t="str">
            <v/>
          </cell>
          <cell r="F284" t="str">
            <v>Final</v>
          </cell>
          <cell r="G284" t="str">
            <v>Final Collected</v>
          </cell>
          <cell r="H284" t="str">
            <v>No</v>
          </cell>
          <cell r="I284" t="str">
            <v>Spencer Anderson</v>
          </cell>
          <cell r="J284" t="str">
            <v/>
          </cell>
          <cell r="K284" t="str">
            <v>https://panda-windows-and-doors.monday.com/protected_static/21046287/resources/2083767803/QQ _83441 - SPW_Liebler Residence - 01172025 Signed.pdf</v>
          </cell>
          <cell r="L284" t="str">
            <v>https://panda-windows-and-doors.monday.com/protected_static/21046287/resources/2111689156/12025 (1).pdf, https://panda-windows-and-doors.monday.com/protected_static/21046287/resources/2111689159/12025.pdf</v>
          </cell>
          <cell r="M284" t="str">
            <v/>
          </cell>
          <cell r="N284" t="str">
            <v>https://panda-windows-and-doors.monday.com/protected_static/21046287/resources/1909506288/83441 Deposit Invoice.pdf</v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>
            <v>37516</v>
          </cell>
          <cell r="V284">
            <v>38926</v>
          </cell>
          <cell r="W284" t="str">
            <v>Annalene Conde Aug 21, 2025 4:17 PM</v>
          </cell>
          <cell r="X284" t="str">
            <v/>
          </cell>
          <cell r="Y284">
            <v>45678</v>
          </cell>
          <cell r="Z284" t="str">
            <v/>
          </cell>
          <cell r="AA284">
            <v>45678</v>
          </cell>
          <cell r="AB284" t="str">
            <v>Jayme Truong Jan 21, 2025 8:22 AM</v>
          </cell>
          <cell r="AC284">
            <v>45678</v>
          </cell>
          <cell r="AD284">
            <v>45692</v>
          </cell>
          <cell r="AE284">
            <v>45779</v>
          </cell>
          <cell r="AF284">
            <v>45779</v>
          </cell>
          <cell r="AG284">
            <v>45811</v>
          </cell>
          <cell r="AH284" t="str">
            <v>Lyle Belnap</v>
          </cell>
          <cell r="AI284" t="str">
            <v/>
          </cell>
        </row>
        <row r="285">
          <cell r="C285">
            <v>84341</v>
          </cell>
          <cell r="D285" t="str">
            <v/>
          </cell>
          <cell r="E285" t="str">
            <v/>
          </cell>
          <cell r="F285" t="str">
            <v>Final</v>
          </cell>
          <cell r="G285" t="str">
            <v>Final Collected</v>
          </cell>
          <cell r="H285" t="str">
            <v>No</v>
          </cell>
          <cell r="I285" t="str">
            <v>Trevor Benthagen, Efrain Zarate</v>
          </cell>
          <cell r="J285" t="str">
            <v/>
          </cell>
          <cell r="K285" t="str">
            <v>https://panda-windows-and-doors.monday.com/protected_static/21046287/resources/2016168440/smtp.office365.com_20250314_060912.pdf</v>
          </cell>
          <cell r="L285" t="str">
            <v>https://panda-windows-and-doors.monday.com/protected_static/21046287/resources/2083559557/smtp.office365.com_20250314_060925.pdf</v>
          </cell>
          <cell r="M285" t="str">
            <v/>
          </cell>
          <cell r="N285" t="str">
            <v>https://panda-windows-and-doors.monday.com/protected_static/21046287/resources/2017260075/84341 Deposit Invoice.pdf</v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>
            <v>3930</v>
          </cell>
          <cell r="V285">
            <v>4180.8</v>
          </cell>
          <cell r="W285" t="str">
            <v>Annalene Conde Aug 21, 2025 4:17 PM</v>
          </cell>
          <cell r="X285" t="str">
            <v>2025-03-07 10:13</v>
          </cell>
          <cell r="Y285">
            <v>45730</v>
          </cell>
          <cell r="Z285" t="str">
            <v/>
          </cell>
          <cell r="AA285">
            <v>45730</v>
          </cell>
          <cell r="AB285" t="str">
            <v>Jayme Truong Mar 14, 2025 8:47 AM</v>
          </cell>
          <cell r="AC285">
            <v>45730</v>
          </cell>
          <cell r="AD285">
            <v>45730</v>
          </cell>
          <cell r="AE285">
            <v>45806</v>
          </cell>
          <cell r="AF285">
            <v>45806</v>
          </cell>
          <cell r="AG285">
            <v>45811</v>
          </cell>
          <cell r="AH285" t="str">
            <v>Matt Bremyer</v>
          </cell>
          <cell r="AI285" t="str">
            <v/>
          </cell>
        </row>
        <row r="286">
          <cell r="C286">
            <v>84748</v>
          </cell>
          <cell r="D286" t="str">
            <v/>
          </cell>
          <cell r="E286" t="str">
            <v/>
          </cell>
          <cell r="F286" t="str">
            <v>Final</v>
          </cell>
          <cell r="G286" t="str">
            <v>Final Collected</v>
          </cell>
          <cell r="H286" t="str">
            <v>No</v>
          </cell>
          <cell r="I286" t="str">
            <v>Sean Torre</v>
          </cell>
          <cell r="J286" t="str">
            <v/>
          </cell>
          <cell r="K286" t="str">
            <v>https://panda-windows-and-doors.monday.com/protected_static/21046287/resources/2056809608/Clutters signed proposal.pdf</v>
          </cell>
          <cell r="L286" t="str">
            <v>https://panda-windows-and-doors.monday.com/protected_static/21046287/resources/2083372543/Clutters signed backer.pdf</v>
          </cell>
          <cell r="M286" t="str">
            <v/>
          </cell>
          <cell r="N286" t="str">
            <v>https://panda-windows-and-doors.monday.com/protected_static/21046287/resources/2056887852/84748 Deposit Invoice.pdf</v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>
            <v>6275</v>
          </cell>
          <cell r="V286">
            <v>7324.97</v>
          </cell>
          <cell r="W286" t="str">
            <v>Annalene Conde Aug 21, 2025 4:17 PM</v>
          </cell>
          <cell r="X286" t="str">
            <v>2025-03-28 14:15</v>
          </cell>
          <cell r="Y286">
            <v>45749</v>
          </cell>
          <cell r="Z286" t="str">
            <v/>
          </cell>
          <cell r="AA286">
            <v>45749</v>
          </cell>
          <cell r="AB286" t="str">
            <v>Jayme Truong Apr 2, 2025 2:25 PM</v>
          </cell>
          <cell r="AC286">
            <v>45749</v>
          </cell>
          <cell r="AD286">
            <v>45750</v>
          </cell>
          <cell r="AE286">
            <v>45807</v>
          </cell>
          <cell r="AF286">
            <v>45807</v>
          </cell>
          <cell r="AG286">
            <v>45812</v>
          </cell>
          <cell r="AH286" t="str">
            <v>Shonna Clutters</v>
          </cell>
          <cell r="AI286" t="str">
            <v/>
          </cell>
        </row>
        <row r="287">
          <cell r="C287">
            <v>83070</v>
          </cell>
          <cell r="D287" t="str">
            <v/>
          </cell>
          <cell r="E287" t="str">
            <v/>
          </cell>
          <cell r="F287" t="str">
            <v>Final</v>
          </cell>
          <cell r="G287" t="str">
            <v>Final Collected</v>
          </cell>
          <cell r="H287" t="str">
            <v>No</v>
          </cell>
          <cell r="I287" t="str">
            <v>Spencer Anderson</v>
          </cell>
          <cell r="J287" t="str">
            <v/>
          </cell>
          <cell r="K287" t="str">
            <v>https://panda-windows-and-doors.monday.com/protected_static/21046287/resources/2083784103/Xerox Scan_03032025114103.pdf</v>
          </cell>
          <cell r="L287" t="str">
            <v>https://panda-windows-and-doors.monday.com/protected_static/21046287/resources/2083785811/IMG_8385.jpg</v>
          </cell>
          <cell r="M287" t="str">
            <v/>
          </cell>
          <cell r="N287" t="str">
            <v>https://panda-windows-and-doors.monday.com/protected_static/21046287/resources/1997824742/83070 - Deposit Invoice.pdf</v>
          </cell>
          <cell r="O287" t="str">
            <v>Armando Carmona</v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>
            <v>16999</v>
          </cell>
          <cell r="V287">
            <v>16999</v>
          </cell>
          <cell r="W287" t="str">
            <v>Annalene Conde Aug 21, 2025 4:17 PM</v>
          </cell>
          <cell r="X287" t="str">
            <v/>
          </cell>
          <cell r="Y287">
            <v>45720</v>
          </cell>
          <cell r="Z287" t="str">
            <v/>
          </cell>
          <cell r="AA287">
            <v>45720</v>
          </cell>
          <cell r="AB287" t="str">
            <v>Jayme Truong Mar 3, 2025 10:56 AM</v>
          </cell>
          <cell r="AC287">
            <v>45720</v>
          </cell>
          <cell r="AD287">
            <v>45729</v>
          </cell>
          <cell r="AE287">
            <v>45805</v>
          </cell>
          <cell r="AF287">
            <v>45805</v>
          </cell>
          <cell r="AG287">
            <v>45814</v>
          </cell>
          <cell r="AH287" t="str">
            <v>Armando Carmona</v>
          </cell>
          <cell r="AI287" t="str">
            <v/>
          </cell>
        </row>
        <row r="288">
          <cell r="C288">
            <v>82853</v>
          </cell>
          <cell r="D288">
            <v>45744</v>
          </cell>
          <cell r="E288" t="str">
            <v/>
          </cell>
          <cell r="F288" t="str">
            <v>Final</v>
          </cell>
          <cell r="G288" t="str">
            <v>Final Collected</v>
          </cell>
          <cell r="H288" t="str">
            <v>No</v>
          </cell>
          <cell r="I288" t="str">
            <v>Troy Kite</v>
          </cell>
          <cell r="J288" t="str">
            <v/>
          </cell>
          <cell r="K288" t="str">
            <v>https://panda-windows-and-doors.monday.com/protected_static/21046287/resources/2006383260/smtp.office365.com_20250220_085346.pdf, https://panda-windows-and-doors.monday.com/protected_static/21046287/resources/2006383262/smtp.office365.com_20250220_085410.pdf, https://panda-windows-and-doors.monday.com/protected_static/21046287/resources/2006383263/smtp.office365.com_20250220_101049.pdf</v>
          </cell>
          <cell r="L288" t="str">
            <v>https://panda-windows-and-doors.monday.com/protected_static/21046287/resources/2083448694/Highland-Change-Order-Backer-Signed.pdf, https://panda-windows-and-doors.monday.com/protected_static/21046287/resources/2083448698/03132025_SCREEN TYPE.pdf</v>
          </cell>
          <cell r="M288" t="str">
            <v/>
          </cell>
          <cell r="N288" t="str">
            <v>https://panda-windows-and-doors.monday.com/protected_static/21046287/resources/2014604844/82853 Change Order.pdf, https://panda-windows-and-doors.monday.com/protected_static/21046287/resources/2066309978/82853 Deposit Invoice.pdf</v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>
            <v>39865</v>
          </cell>
          <cell r="V288">
            <v>47566.9</v>
          </cell>
          <cell r="W288" t="str">
            <v>Jennifer Galindo Aug 21, 2025 3:56 PM</v>
          </cell>
          <cell r="X288" t="str">
            <v>2025-02-14 10:11</v>
          </cell>
          <cell r="Y288" t="str">
            <v/>
          </cell>
          <cell r="Z288" t="str">
            <v/>
          </cell>
          <cell r="AA288">
            <v>45817</v>
          </cell>
          <cell r="AB288" t="str">
            <v>Jayme Truong Mar 13, 2025 10:45 AM</v>
          </cell>
          <cell r="AC288">
            <v>45817</v>
          </cell>
          <cell r="AD288" t="str">
            <v/>
          </cell>
          <cell r="AE288">
            <v>45817</v>
          </cell>
          <cell r="AF288">
            <v>45817</v>
          </cell>
          <cell r="AG288">
            <v>45819</v>
          </cell>
          <cell r="AH288" t="str">
            <v>Danny Georges</v>
          </cell>
          <cell r="AI288">
            <v>45744</v>
          </cell>
        </row>
        <row r="289">
          <cell r="C289">
            <v>84492</v>
          </cell>
          <cell r="D289" t="str">
            <v/>
          </cell>
          <cell r="E289" t="str">
            <v/>
          </cell>
          <cell r="F289" t="str">
            <v>Final</v>
          </cell>
          <cell r="G289" t="str">
            <v>Final Collected</v>
          </cell>
          <cell r="H289" t="str">
            <v>No</v>
          </cell>
          <cell r="I289" t="str">
            <v>Spencer Anderson</v>
          </cell>
          <cell r="J289" t="str">
            <v/>
          </cell>
          <cell r="K289" t="str">
            <v>https://panda-windows-and-doors.monday.com/protected_static/21046287/resources/2083752189/Xerox Scan_03212025124121.pdf</v>
          </cell>
          <cell r="L289" t="str">
            <v>https://panda-windows-and-doors.monday.com/protected_static/21046287/resources/2111706123/IMG_8475.jpg</v>
          </cell>
          <cell r="M289" t="str">
            <v/>
          </cell>
          <cell r="N289" t="str">
            <v>https://panda-windows-and-doors.monday.com/protected_static/21046287/resources/2056481701/84492 Deposit Invoice.pdf</v>
          </cell>
          <cell r="O289" t="str">
            <v>Armando Carmona</v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>
            <v>5795</v>
          </cell>
          <cell r="V289">
            <v>5795</v>
          </cell>
          <cell r="W289" t="str">
            <v>Annalene Conde Aug 21, 2025 4:23 PM</v>
          </cell>
          <cell r="X289" t="str">
            <v/>
          </cell>
          <cell r="Y289">
            <v>45737</v>
          </cell>
          <cell r="Z289" t="str">
            <v/>
          </cell>
          <cell r="AA289">
            <v>45737</v>
          </cell>
          <cell r="AB289" t="str">
            <v>Jayme Truong Mar 21, 2025 2:32 PM</v>
          </cell>
          <cell r="AC289">
            <v>45737</v>
          </cell>
          <cell r="AD289">
            <v>45796</v>
          </cell>
          <cell r="AE289">
            <v>45805</v>
          </cell>
          <cell r="AF289">
            <v>45805</v>
          </cell>
          <cell r="AG289">
            <v>45820</v>
          </cell>
          <cell r="AH289" t="str">
            <v>Armando Carmona</v>
          </cell>
          <cell r="AI289" t="str">
            <v/>
          </cell>
        </row>
        <row r="290">
          <cell r="C290" t="str">
            <v>81390-1</v>
          </cell>
          <cell r="D290" t="str">
            <v/>
          </cell>
          <cell r="E290" t="str">
            <v/>
          </cell>
          <cell r="F290" t="str">
            <v>Final</v>
          </cell>
          <cell r="G290" t="str">
            <v>Final Collected</v>
          </cell>
          <cell r="H290" t="str">
            <v>No</v>
          </cell>
          <cell r="I290" t="str">
            <v>Tad Shurtleff</v>
          </cell>
          <cell r="J290" t="str">
            <v>Elizabet Lopez</v>
          </cell>
          <cell r="K290" t="str">
            <v>https://panda-windows-and-doors.monday.com/protected_static/21046287/resources/1973829272/QQ #81390 - Morrisette Residence Replacement Panel - 02202025.pdf</v>
          </cell>
          <cell r="L290" t="str">
            <v>https://panda-windows-and-doors.monday.com/protected_static/21046287/resources/2083574667/Q 81390-1 Morrisette Res. 2 - Replacement Panel SIGNED BACKER.pdf</v>
          </cell>
          <cell r="M290" t="str">
            <v/>
          </cell>
          <cell r="N290" t="str">
            <v>https://panda-windows-and-doors.monday.com/protected_static/21046287/resources/1976931647/81390 DEPOSIT INVOICE.pdf</v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>
            <v>6435</v>
          </cell>
          <cell r="V290">
            <v>6434</v>
          </cell>
          <cell r="W290" t="str">
            <v>Annalene Conde Aug 21, 2025 4:23 PM</v>
          </cell>
          <cell r="X290" t="str">
            <v>2025-02-21 00:00</v>
          </cell>
          <cell r="Y290">
            <v>45709</v>
          </cell>
          <cell r="Z290" t="str">
            <v/>
          </cell>
          <cell r="AA290">
            <v>45709</v>
          </cell>
          <cell r="AB290" t="str">
            <v>Jayme Truong Feb 21, 2025 2:56 PM</v>
          </cell>
          <cell r="AC290">
            <v>45709</v>
          </cell>
          <cell r="AD290">
            <v>45744</v>
          </cell>
          <cell r="AE290" t="str">
            <v/>
          </cell>
          <cell r="AF290" t="str">
            <v/>
          </cell>
          <cell r="AG290">
            <v>45821</v>
          </cell>
          <cell r="AH290" t="str">
            <v>Pella Carolina Inc.</v>
          </cell>
          <cell r="AI290" t="str">
            <v/>
          </cell>
        </row>
        <row r="291">
          <cell r="C291">
            <v>83341</v>
          </cell>
          <cell r="D291">
            <v>45818</v>
          </cell>
          <cell r="E291" t="str">
            <v/>
          </cell>
          <cell r="F291" t="str">
            <v>Final</v>
          </cell>
          <cell r="G291" t="str">
            <v>Final Collected</v>
          </cell>
          <cell r="H291" t="str">
            <v>No</v>
          </cell>
          <cell r="I291" t="str">
            <v>Derrick McCall</v>
          </cell>
          <cell r="J291" t="str">
            <v/>
          </cell>
          <cell r="K291" t="str">
            <v/>
          </cell>
          <cell r="L291" t="str">
            <v>https://panda-windows-and-doors.monday.com/protected_static/21046287/resources/2083561353/Q_83341_Backer_SB Q83341.pdf, https://panda-windows-and-doors.monday.com/protected_static/21046287/resources/2083561352/smtp.office365.com_20250123_092809.pdf</v>
          </cell>
          <cell r="M291" t="str">
            <v/>
          </cell>
          <cell r="N291" t="str">
            <v>https://panda-windows-and-doors.monday.com/protected_static/21046287/resources/2198631928/83341 Deposit Invoice CO 1.pdf, https://panda-windows-and-doors.monday.com/protected_static/21046287/resources/2199152484/83341 Deposit Invoice CO 2.pdf</v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>
            <v>99833</v>
          </cell>
          <cell r="V291">
            <v>16853.77</v>
          </cell>
          <cell r="W291" t="str">
            <v>Sean Lopez Mar 13, 2026 9:09 AM</v>
          </cell>
          <cell r="X291" t="str">
            <v>2025-01-09 00:00</v>
          </cell>
          <cell r="Y291" t="str">
            <v/>
          </cell>
          <cell r="Z291" t="str">
            <v/>
          </cell>
          <cell r="AA291">
            <v>45819</v>
          </cell>
          <cell r="AB291" t="str">
            <v>Jayme Truong Mar 26, 2025 9:59 AM</v>
          </cell>
          <cell r="AC291">
            <v>45820</v>
          </cell>
          <cell r="AD291" t="str">
            <v/>
          </cell>
          <cell r="AE291">
            <v>45820</v>
          </cell>
          <cell r="AF291">
            <v>45820</v>
          </cell>
          <cell r="AG291">
            <v>45821</v>
          </cell>
          <cell r="AH291" t="str">
            <v>Pacific Glass Works</v>
          </cell>
          <cell r="AI291">
            <v>45818</v>
          </cell>
        </row>
        <row r="292">
          <cell r="C292">
            <v>84241</v>
          </cell>
          <cell r="D292" t="str">
            <v/>
          </cell>
          <cell r="E292" t="str">
            <v/>
          </cell>
          <cell r="F292" t="str">
            <v>Final</v>
          </cell>
          <cell r="G292" t="str">
            <v>Final Collected</v>
          </cell>
          <cell r="H292" t="str">
            <v>No</v>
          </cell>
          <cell r="I292" t="str">
            <v>Tad Shurtleff</v>
          </cell>
          <cell r="J292" t="str">
            <v/>
          </cell>
          <cell r="K292" t="str">
            <v>https://panda-windows-and-doors.monday.com/protected_static/21046287/resources/2034722121/Corrected Signed Q 84241 Windrush Trail - Barber Homes.pdf</v>
          </cell>
          <cell r="L292" t="str">
            <v>https://panda-windows-and-doors.monday.com/protected_static/21046287/resources/2083577175/Q 84241 Signed Backer.pdf, https://panda-windows-and-doors.monday.com/protected_static/21046287/resources/2083577183/Q 84241Windrush Trail - Barber Homes 03072025.xlsx</v>
          </cell>
          <cell r="M292" t="str">
            <v/>
          </cell>
          <cell r="N292" t="str">
            <v>https://panda-windows-and-doors.monday.com/protected_static/21046287/resources/2035954300/84241 Deposit Invoice.pdf</v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>
            <v>20439</v>
          </cell>
          <cell r="V292">
            <v>20439</v>
          </cell>
          <cell r="W292" t="str">
            <v>Annalene Conde Aug 21, 2025 4:23 PM</v>
          </cell>
          <cell r="X292" t="str">
            <v>2025-03-24 07:31</v>
          </cell>
          <cell r="Y292">
            <v>45740</v>
          </cell>
          <cell r="Z292" t="str">
            <v/>
          </cell>
          <cell r="AA292">
            <v>45740</v>
          </cell>
          <cell r="AB292" t="str">
            <v>Jayme Truong Mar 24, 2025 9:45 AM</v>
          </cell>
          <cell r="AC292">
            <v>45740</v>
          </cell>
          <cell r="AD292">
            <v>45743</v>
          </cell>
          <cell r="AE292">
            <v>45818</v>
          </cell>
          <cell r="AF292">
            <v>45818</v>
          </cell>
          <cell r="AG292">
            <v>45824</v>
          </cell>
          <cell r="AH292" t="str">
            <v>Kyle Shook</v>
          </cell>
          <cell r="AI292" t="str">
            <v/>
          </cell>
        </row>
        <row r="293">
          <cell r="C293">
            <v>83558</v>
          </cell>
          <cell r="D293" t="str">
            <v/>
          </cell>
          <cell r="E293" t="str">
            <v/>
          </cell>
          <cell r="F293" t="str">
            <v>Final</v>
          </cell>
          <cell r="G293" t="str">
            <v>Final Collected</v>
          </cell>
          <cell r="H293" t="str">
            <v>⚠️ Expedited</v>
          </cell>
          <cell r="I293" t="str">
            <v>Trevor Benthagen, Efrain Zarate</v>
          </cell>
          <cell r="J293" t="str">
            <v/>
          </cell>
          <cell r="K293" t="str">
            <v>https://panda-windows-and-doors.monday.com/protected_static/21046287/resources/2074654435/smtp.office365.com_20250410_073756.pdf</v>
          </cell>
          <cell r="L293" t="str">
            <v>https://panda-windows-and-doors.monday.com/protected_static/21046287/resources/2083398854/smtp.office365.com_20250410_073809.pdf</v>
          </cell>
          <cell r="M293" t="str">
            <v/>
          </cell>
          <cell r="N293" t="str">
            <v>https://panda-windows-and-doors.monday.com/protected_static/21046287/resources/2069154148/83558 Deposit Invoice.pdf, https://panda-windows-and-doors.monday.com/protected_static/21046287/resources/2074725611/83558 Revised Deposit Invoice Expedited.pdf</v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>
            <v>25176</v>
          </cell>
          <cell r="V293">
            <v>17057.5</v>
          </cell>
          <cell r="W293" t="str">
            <v>Sean Lopez Mar 13, 2026 11:00 AM</v>
          </cell>
          <cell r="X293" t="str">
            <v>2025-02-03 00:00</v>
          </cell>
          <cell r="Y293">
            <v>45755</v>
          </cell>
          <cell r="Z293" t="str">
            <v/>
          </cell>
          <cell r="AA293">
            <v>45755</v>
          </cell>
          <cell r="AB293" t="str">
            <v>Jayme Truong Apr 8, 2025 9:02 AM</v>
          </cell>
          <cell r="AC293">
            <v>45755</v>
          </cell>
          <cell r="AD293">
            <v>45757</v>
          </cell>
          <cell r="AE293">
            <v>45807</v>
          </cell>
          <cell r="AF293">
            <v>45807</v>
          </cell>
          <cell r="AG293">
            <v>45825</v>
          </cell>
          <cell r="AH293" t="str">
            <v>Aurora Metro Center</v>
          </cell>
          <cell r="AI293" t="str">
            <v/>
          </cell>
        </row>
        <row r="294">
          <cell r="C294">
            <v>84464</v>
          </cell>
          <cell r="D294" t="str">
            <v/>
          </cell>
          <cell r="E294" t="str">
            <v/>
          </cell>
          <cell r="F294" t="str">
            <v>Final</v>
          </cell>
          <cell r="G294" t="str">
            <v>Final Collected</v>
          </cell>
          <cell r="H294" t="str">
            <v>No</v>
          </cell>
          <cell r="I294" t="str">
            <v>Sean Torre</v>
          </cell>
          <cell r="J294" t="str">
            <v/>
          </cell>
          <cell r="K294" t="str">
            <v>https://panda-windows-and-doors.monday.com/protected_static/21046287/resources/2111578373/Proposal signed - heeâ__s residence (1).pdf</v>
          </cell>
          <cell r="L294" t="str">
            <v>https://panda-windows-and-doors.monday.com/protected_static/21046287/resources/2083368232/Signed backer - hee residence (1).pdf</v>
          </cell>
          <cell r="M294" t="str">
            <v/>
          </cell>
          <cell r="N294" t="str">
            <v>https://panda-windows-and-doors.monday.com/protected_static/21046287/resources/2053288676/84464 Deposit Invoice.pdf</v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>
            <v>18884</v>
          </cell>
          <cell r="V294">
            <v>22045.98</v>
          </cell>
          <cell r="W294" t="str">
            <v>Jennifer Galindo Aug 21, 2025 3:57 PM</v>
          </cell>
          <cell r="X294" t="str">
            <v>2025-03-17 08:51</v>
          </cell>
          <cell r="Y294">
            <v>45748</v>
          </cell>
          <cell r="Z294" t="str">
            <v/>
          </cell>
          <cell r="AA294">
            <v>45824</v>
          </cell>
          <cell r="AB294" t="str">
            <v>Jayme Truong Apr 1, 2025 8:38 AM</v>
          </cell>
          <cell r="AC294">
            <v>45824</v>
          </cell>
          <cell r="AD294">
            <v>45749</v>
          </cell>
          <cell r="AE294">
            <v>45824</v>
          </cell>
          <cell r="AF294">
            <v>45824</v>
          </cell>
          <cell r="AG294">
            <v>45826</v>
          </cell>
          <cell r="AH294" t="str">
            <v>Hamilton Hee</v>
          </cell>
          <cell r="AI294" t="str">
            <v/>
          </cell>
        </row>
        <row r="295">
          <cell r="C295">
            <v>82567</v>
          </cell>
          <cell r="D295" t="str">
            <v/>
          </cell>
          <cell r="E295" t="str">
            <v/>
          </cell>
          <cell r="F295" t="str">
            <v>Final</v>
          </cell>
          <cell r="G295" t="str">
            <v>Final Collected</v>
          </cell>
          <cell r="H295" t="str">
            <v>No</v>
          </cell>
          <cell r="I295" t="str">
            <v>Troy Kite</v>
          </cell>
          <cell r="J295" t="str">
            <v/>
          </cell>
          <cell r="K295" t="str">
            <v>https://panda-windows-and-doors.monday.com/protected_static/21046287/resources/2037462169/Panda Signed SO.pdf</v>
          </cell>
          <cell r="L295" t="str">
            <v>https://panda-windows-and-doors.monday.com/protected_static/21046287/resources/2083460000/smtp.office365.com_20250325_071852.pdf, https://panda-windows-and-doors.monday.com/protected_static/21046287/resources/2083459975/Royal Golf Club Renovation -02242025.xlsx</v>
          </cell>
          <cell r="M295" t="str">
            <v/>
          </cell>
          <cell r="N295" t="str">
            <v>https://panda-windows-and-doors.monday.com/protected_static/21046287/resources/2037767190/82567 Deposit Invoice.pdf</v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>
            <v>16685</v>
          </cell>
          <cell r="V295">
            <v>16685</v>
          </cell>
          <cell r="W295" t="str">
            <v>Jennifer Galindo Aug 21, 2025 3:57 PM</v>
          </cell>
          <cell r="X295" t="str">
            <v>2025-03-25 00:00</v>
          </cell>
          <cell r="Y295">
            <v>45741</v>
          </cell>
          <cell r="Z295" t="str">
            <v/>
          </cell>
          <cell r="AA295">
            <v>45827</v>
          </cell>
          <cell r="AB295" t="str">
            <v>Jayme Truong Mar 25, 2025 9:47 AM</v>
          </cell>
          <cell r="AC295">
            <v>45827</v>
          </cell>
          <cell r="AD295">
            <v>45747</v>
          </cell>
          <cell r="AE295">
            <v>45827</v>
          </cell>
          <cell r="AF295">
            <v>45827</v>
          </cell>
          <cell r="AG295">
            <v>45828</v>
          </cell>
          <cell r="AH295" t="str">
            <v>JSA Glass Inc.</v>
          </cell>
          <cell r="AI295" t="str">
            <v/>
          </cell>
        </row>
        <row r="296">
          <cell r="C296">
            <v>84545</v>
          </cell>
          <cell r="D296" t="str">
            <v/>
          </cell>
          <cell r="E296" t="str">
            <v/>
          </cell>
          <cell r="F296" t="str">
            <v>Final</v>
          </cell>
          <cell r="G296" t="str">
            <v>Final Collected</v>
          </cell>
          <cell r="H296" t="str">
            <v>No</v>
          </cell>
          <cell r="I296" t="str">
            <v>Sean Torre</v>
          </cell>
          <cell r="J296" t="str">
            <v/>
          </cell>
          <cell r="K296" t="str">
            <v>https://panda-windows-and-doors.monday.com/protected_static/21046287/resources/2053273761/Signed proposal - hilborn.pdf</v>
          </cell>
          <cell r="L296" t="str">
            <v>https://panda-windows-and-doors.monday.com/protected_static/21046287/resources/2083369792/Signed back - hilborn.pdf</v>
          </cell>
          <cell r="M296" t="str">
            <v/>
          </cell>
          <cell r="N296" t="str">
            <v>https://panda-windows-and-doors.monday.com/protected_static/21046287/resources/2053878048/84545 deposit invoice.pdf</v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>
            <v>6686</v>
          </cell>
          <cell r="V296">
            <v>7805.9</v>
          </cell>
          <cell r="W296" t="str">
            <v>Jennifer Galindo Aug 21, 2025 3:57 PM</v>
          </cell>
          <cell r="X296" t="str">
            <v>2025-03-19 23:46</v>
          </cell>
          <cell r="Y296">
            <v>45748</v>
          </cell>
          <cell r="Z296" t="str">
            <v/>
          </cell>
          <cell r="AA296">
            <v>45818</v>
          </cell>
          <cell r="AB296" t="str">
            <v>Jayme Truong Apr 1, 2025 11:02 AM</v>
          </cell>
          <cell r="AC296">
            <v>45818</v>
          </cell>
          <cell r="AD296">
            <v>45748</v>
          </cell>
          <cell r="AE296">
            <v>45818</v>
          </cell>
          <cell r="AF296">
            <v>45818</v>
          </cell>
          <cell r="AG296">
            <v>45831</v>
          </cell>
          <cell r="AH296" t="str">
            <v>Dirk Hilborn</v>
          </cell>
          <cell r="AI296" t="str">
            <v/>
          </cell>
        </row>
        <row r="297">
          <cell r="C297">
            <v>84356</v>
          </cell>
          <cell r="D297" t="str">
            <v/>
          </cell>
          <cell r="E297" t="str">
            <v/>
          </cell>
          <cell r="F297" t="str">
            <v>Final</v>
          </cell>
          <cell r="G297" t="str">
            <v>Final Collected</v>
          </cell>
          <cell r="H297" t="str">
            <v>No</v>
          </cell>
          <cell r="I297" t="str">
            <v>Mary Wursten, Cassandra Gromoll</v>
          </cell>
          <cell r="J297" t="str">
            <v/>
          </cell>
          <cell r="K297" t="str">
            <v>https://panda-windows-and-doors.monday.com/protected_static/21046287/resources/2060217474/Signed Sales Order 040325..pdf</v>
          </cell>
          <cell r="L297" t="str">
            <v>https://panda-windows-and-doors.monday.com/protected_static/21046287/resources/2083385028/Signed Backer 040325. (1).pdf, https://panda-windows-and-doors.monday.com/protected_static/21046287/resources/2083385038/Signed Backer 040325..pdf, https://panda-windows-and-doors.monday.com/protected_static/21046287/resources/2083385032/3183 Danielle 03122025.xlsx, https://panda-windows-and-doors.monday.com/protected_static/21046287/resources/2083385034/3183 Danielle 03182025.xlsx</v>
          </cell>
          <cell r="M297" t="str">
            <v/>
          </cell>
          <cell r="N297" t="str">
            <v>https://panda-windows-and-doors.monday.com/protected_static/21046287/resources/2061802158/84356  DEPOSIT INVOICE.pdf</v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>
            <v>16592</v>
          </cell>
          <cell r="V297">
            <v>16591</v>
          </cell>
          <cell r="W297" t="str">
            <v>Jennifer Galindo Aug 21, 2025 3:57 PM</v>
          </cell>
          <cell r="X297" t="str">
            <v>2025-03-12 00:00</v>
          </cell>
          <cell r="Y297">
            <v>45751</v>
          </cell>
          <cell r="Z297" t="str">
            <v/>
          </cell>
          <cell r="AA297">
            <v>45832</v>
          </cell>
          <cell r="AB297" t="str">
            <v>Jayme Truong Apr 4, 2025 8:52 AM</v>
          </cell>
          <cell r="AC297">
            <v>45832</v>
          </cell>
          <cell r="AD297">
            <v>45756</v>
          </cell>
          <cell r="AE297">
            <v>45832</v>
          </cell>
          <cell r="AF297">
            <v>45832</v>
          </cell>
          <cell r="AG297">
            <v>45832</v>
          </cell>
          <cell r="AH297" t="str">
            <v>Precision Glass</v>
          </cell>
          <cell r="AI297" t="str">
            <v/>
          </cell>
        </row>
        <row r="298">
          <cell r="C298">
            <v>84543</v>
          </cell>
          <cell r="D298" t="str">
            <v/>
          </cell>
          <cell r="E298" t="str">
            <v/>
          </cell>
          <cell r="F298" t="str">
            <v>Final</v>
          </cell>
          <cell r="G298" t="str">
            <v>Final Collected</v>
          </cell>
          <cell r="H298" t="str">
            <v>No</v>
          </cell>
          <cell r="I298" t="str">
            <v>Mary Wursten, Cassandra Gromoll</v>
          </cell>
          <cell r="J298" t="str">
            <v/>
          </cell>
          <cell r="K298" t="str">
            <v>https://panda-windows-and-doors.monday.com/protected_static/21046287/resources/2045645488/Signed Sales Order 03282025.pdf</v>
          </cell>
          <cell r="L298" t="str">
            <v>https://panda-windows-and-doors.monday.com/protected_static/21046287/resources/2083352142/Signed Backer 03282025.pdf, https://panda-windows-and-doors.monday.com/protected_static/21046287/resources/2083352151/35 Grandview 03272025.xlsx, https://panda-windows-and-doors.monday.com/protected_static/21046287/resources/2083352167/35 Grandview 03262025.xlsx</v>
          </cell>
          <cell r="M298" t="str">
            <v/>
          </cell>
          <cell r="N298" t="str">
            <v>https://panda-windows-and-doors.monday.com/protected_static/21046287/resources/2049284489/84543 Deposit Invoice.pdf</v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>
            <v>3228</v>
          </cell>
          <cell r="V298">
            <v>3228</v>
          </cell>
          <cell r="W298" t="str">
            <v>Jennifer Galindo Aug 21, 2025 3:57 PM</v>
          </cell>
          <cell r="X298" t="str">
            <v>2025-03-26 00:00</v>
          </cell>
          <cell r="Y298">
            <v>45744</v>
          </cell>
          <cell r="Z298" t="str">
            <v/>
          </cell>
          <cell r="AA298">
            <v>45828</v>
          </cell>
          <cell r="AB298" t="str">
            <v>Jayme Truong Mar 28, 2025 7:22 AM</v>
          </cell>
          <cell r="AC298">
            <v>45828</v>
          </cell>
          <cell r="AD298">
            <v>45756</v>
          </cell>
          <cell r="AE298">
            <v>45828</v>
          </cell>
          <cell r="AF298">
            <v>45828</v>
          </cell>
          <cell r="AG298">
            <v>45832</v>
          </cell>
          <cell r="AH298" t="str">
            <v>Precision Glass</v>
          </cell>
          <cell r="AI298" t="str">
            <v/>
          </cell>
        </row>
        <row r="299">
          <cell r="C299">
            <v>84577</v>
          </cell>
          <cell r="D299" t="str">
            <v/>
          </cell>
          <cell r="E299" t="str">
            <v/>
          </cell>
          <cell r="F299" t="str">
            <v>Final</v>
          </cell>
          <cell r="G299" t="str">
            <v>Final Collected</v>
          </cell>
          <cell r="H299" t="str">
            <v>No</v>
          </cell>
          <cell r="I299" t="str">
            <v>Stefan Monetta</v>
          </cell>
          <cell r="J299" t="str">
            <v/>
          </cell>
          <cell r="K299" t="str">
            <v>https://panda-windows-and-doors.monday.com/protected_static/21046287/resources/2077173304/Signed Q 84577 AW Folding Door.pdf</v>
          </cell>
          <cell r="L299" t="str">
            <v>https://panda-windows-and-doors.monday.com/protected_static/21046287/resources/2090441427/Signed Backer Q 84577 AW Folding Door.pdf</v>
          </cell>
          <cell r="M299" t="str">
            <v/>
          </cell>
          <cell r="N299" t="str">
            <v>https://panda-windows-and-doors.monday.com/protected_static/21046287/resources/2081184739/84577 Revised Deposit Invoice.pdf</v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>
            <v>6516</v>
          </cell>
          <cell r="V299">
            <v>6515</v>
          </cell>
          <cell r="W299" t="str">
            <v>Jennifer Galindo Aug 21, 2025 3:57 PM</v>
          </cell>
          <cell r="X299" t="str">
            <v>2025-04-11 00:00</v>
          </cell>
          <cell r="Y299">
            <v>45758</v>
          </cell>
          <cell r="Z299" t="str">
            <v/>
          </cell>
          <cell r="AA299">
            <v>45828</v>
          </cell>
          <cell r="AB299" t="str">
            <v>Jayme Truong Apr 11, 2025 3:55 PM</v>
          </cell>
          <cell r="AC299">
            <v>45828</v>
          </cell>
          <cell r="AD299">
            <v>45761</v>
          </cell>
          <cell r="AE299">
            <v>45828</v>
          </cell>
          <cell r="AF299">
            <v>45828</v>
          </cell>
          <cell r="AG299">
            <v>45832</v>
          </cell>
          <cell r="AH299" t="str">
            <v>Reeves Hardware Company</v>
          </cell>
          <cell r="AI299" t="str">
            <v/>
          </cell>
        </row>
        <row r="300">
          <cell r="C300">
            <v>83294</v>
          </cell>
          <cell r="D300" t="str">
            <v/>
          </cell>
          <cell r="E300" t="str">
            <v/>
          </cell>
          <cell r="F300" t="str">
            <v>Final</v>
          </cell>
          <cell r="G300" t="str">
            <v>Final Collected</v>
          </cell>
          <cell r="H300" t="str">
            <v>No</v>
          </cell>
          <cell r="I300" t="str">
            <v>Derrick McCall</v>
          </cell>
          <cell r="J300" t="str">
            <v/>
          </cell>
          <cell r="K300" t="str">
            <v>https://panda-windows-and-doors.monday.com/protected_static/21046287/resources/2083776712/Panda - HWS-TS60 - SO_83294               2-26-25.pdf</v>
          </cell>
          <cell r="L300" t="str">
            <v>https://panda-windows-and-doors.monday.com/protected_static/21046287/resources/2083562452/smtp.office365.com_20250226_122153.pdf</v>
          </cell>
          <cell r="M300" t="str">
            <v/>
          </cell>
          <cell r="N300" t="str">
            <v>https://panda-windows-and-doors.monday.com/protected_static/21046287/resources/1988038886/83294 DEPOSIT INVOICE.pdf</v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>
            <v>23987.5</v>
          </cell>
          <cell r="V300">
            <v>28523.11</v>
          </cell>
          <cell r="W300" t="str">
            <v>Jennifer Galindo Aug 21, 2025 3:57 PM</v>
          </cell>
          <cell r="X300" t="str">
            <v>2025-01-06 00:00</v>
          </cell>
          <cell r="Y300">
            <v>45714</v>
          </cell>
          <cell r="Z300" t="str">
            <v/>
          </cell>
          <cell r="AA300">
            <v>45828</v>
          </cell>
          <cell r="AB300" t="str">
            <v>Jayme Truong Feb 26, 2025 3:06 PM</v>
          </cell>
          <cell r="AC300">
            <v>45828</v>
          </cell>
          <cell r="AD300">
            <v>45716</v>
          </cell>
          <cell r="AE300">
            <v>45828</v>
          </cell>
          <cell r="AF300">
            <v>45828</v>
          </cell>
          <cell r="AG300">
            <v>45832</v>
          </cell>
          <cell r="AH300" t="str">
            <v>Crab Tree Glass</v>
          </cell>
          <cell r="AI300" t="str">
            <v/>
          </cell>
        </row>
        <row r="301">
          <cell r="C301">
            <v>82948</v>
          </cell>
          <cell r="D301">
            <v>45744</v>
          </cell>
          <cell r="E301" t="str">
            <v/>
          </cell>
          <cell r="F301" t="str">
            <v>Final</v>
          </cell>
          <cell r="G301" t="str">
            <v>Final Collected</v>
          </cell>
          <cell r="H301" t="str">
            <v>No</v>
          </cell>
          <cell r="I301" t="str">
            <v>Efrain Zarate, Trevor Benthagen</v>
          </cell>
          <cell r="J301" t="str">
            <v/>
          </cell>
          <cell r="K301" t="str">
            <v>https://panda-windows-and-doors.monday.com/protected_static/21046287/resources/1952988752/smtp.office365.com_20250211_124047.pdf</v>
          </cell>
          <cell r="L301" t="str">
            <v>https://panda-windows-and-doors.monday.com/protected_static/21046287/resources/2083309271/smtp.office365.com_20250211_124107.pdf, https://panda-windows-and-doors.monday.com/protected_static/21046287/resources/2083309270/Q_82948_Backer_smtp.office365.com_20250313_063908.pdf_smtp.office365.com_20250211_124107.pdf</v>
          </cell>
          <cell r="M301" t="str">
            <v/>
          </cell>
          <cell r="N301" t="str">
            <v>https://panda-windows-and-doors.monday.com/protected_static/21046287/resources/2045710831/82948 DEPOSIT INVOICE.pdf, https://panda-windows-and-doors.monday.com/protected_static/21046287/resources/2066456476/82948 Change Order.pdf</v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>
            <v>13000</v>
          </cell>
          <cell r="V301">
            <v>16146.37</v>
          </cell>
          <cell r="W301" t="str">
            <v>Jennifer Galindo Aug 21, 2025 3:57 PM</v>
          </cell>
          <cell r="X301" t="str">
            <v>2025-02-11 15:30</v>
          </cell>
          <cell r="Y301" t="str">
            <v/>
          </cell>
          <cell r="Z301" t="str">
            <v/>
          </cell>
          <cell r="AA301">
            <v>45819</v>
          </cell>
          <cell r="AB301" t="str">
            <v>Jayme Truong Mar 13, 2025 9:02 AM</v>
          </cell>
          <cell r="AC301">
            <v>45820</v>
          </cell>
          <cell r="AD301" t="str">
            <v/>
          </cell>
          <cell r="AE301">
            <v>45820</v>
          </cell>
          <cell r="AF301">
            <v>45820</v>
          </cell>
          <cell r="AG301">
            <v>45835</v>
          </cell>
          <cell r="AH301" t="str">
            <v>SR Development</v>
          </cell>
          <cell r="AI301">
            <v>45744</v>
          </cell>
        </row>
        <row r="302">
          <cell r="C302">
            <v>83350</v>
          </cell>
          <cell r="D302" t="str">
            <v/>
          </cell>
          <cell r="E302" t="str">
            <v/>
          </cell>
          <cell r="F302" t="str">
            <v>Final</v>
          </cell>
          <cell r="G302" t="str">
            <v>Final Collected</v>
          </cell>
          <cell r="H302" t="str">
            <v>No</v>
          </cell>
          <cell r="I302" t="str">
            <v>Tad Shurtleff</v>
          </cell>
          <cell r="J302" t="str">
            <v/>
          </cell>
          <cell r="K302" t="str">
            <v>https://panda-windows-and-doors.monday.com/protected_static/21046287/resources/1950364180/Q 833350 Lopez Pivot Signed Proposal.pdf</v>
          </cell>
          <cell r="L302" t="str">
            <v>https://panda-windows-and-doors.monday.com/protected_static/21046287/resources/2083569039/Q 83350 Lopez Pivot - SIGNED BACKER.pdf, https://panda-windows-and-doors.monday.com/protected_static/21046287/resources/2083569038/Lopez Pivot - 020725.xlsx</v>
          </cell>
          <cell r="M302" t="str">
            <v/>
          </cell>
          <cell r="N302" t="str">
            <v>https://panda-windows-and-doors.monday.com/protected_static/21046287/resources/1952272676/83350 DEPOSIT INVOICE.pdf</v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>
            <v>12700.13</v>
          </cell>
          <cell r="V302">
            <v>12700.13</v>
          </cell>
          <cell r="W302" t="str">
            <v>Jennifer Galindo Aug 21, 2025 3:57 PM</v>
          </cell>
          <cell r="X302" t="str">
            <v>2025-01-08 08:33</v>
          </cell>
          <cell r="Y302">
            <v>45698</v>
          </cell>
          <cell r="Z302" t="str">
            <v/>
          </cell>
          <cell r="AA302">
            <v>45831</v>
          </cell>
          <cell r="AB302" t="str">
            <v>Jayme Truong Feb 10, 2025 3:45 PM</v>
          </cell>
          <cell r="AC302">
            <v>45832</v>
          </cell>
          <cell r="AD302">
            <v>45702</v>
          </cell>
          <cell r="AE302">
            <v>45832</v>
          </cell>
          <cell r="AF302">
            <v>45832</v>
          </cell>
          <cell r="AG302">
            <v>45838</v>
          </cell>
          <cell r="AH302" t="str">
            <v>Miguel Lopez</v>
          </cell>
          <cell r="AI302" t="str">
            <v/>
          </cell>
        </row>
        <row r="303">
          <cell r="C303">
            <v>83377</v>
          </cell>
          <cell r="D303" t="str">
            <v/>
          </cell>
          <cell r="E303" t="str">
            <v/>
          </cell>
          <cell r="F303" t="str">
            <v>Final</v>
          </cell>
          <cell r="G303" t="str">
            <v>Final Collected</v>
          </cell>
          <cell r="H303" t="str">
            <v>No</v>
          </cell>
          <cell r="I303" t="str">
            <v>Derrick McCall</v>
          </cell>
          <cell r="J303" t="str">
            <v/>
          </cell>
          <cell r="K303" t="str">
            <v>https://panda-windows-and-doors.monday.com/protected_static/21046287/resources/2083786561/QQ_83377 Woolf House 01132025 signed.pdf</v>
          </cell>
          <cell r="L303" t="str">
            <v>https://panda-windows-and-doors.monday.com/protected_static/21046287/resources/2083313124/Q83377.pdf</v>
          </cell>
          <cell r="M303" t="str">
            <v/>
          </cell>
          <cell r="N303" t="str">
            <v>https://panda-windows-and-doors.monday.com/protected_static/21046287/resources/1960521797/83377 Deposit Invoice.pdf</v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>
            <v>9087</v>
          </cell>
          <cell r="V303">
            <v>10534.5</v>
          </cell>
          <cell r="W303" t="str">
            <v>Jennifer Galindo Aug 21, 2025 3:57 PM</v>
          </cell>
          <cell r="X303" t="str">
            <v>2025-01-08 14:48</v>
          </cell>
          <cell r="Y303">
            <v>45702</v>
          </cell>
          <cell r="Z303" t="str">
            <v/>
          </cell>
          <cell r="AA303">
            <v>45818</v>
          </cell>
          <cell r="AB303" t="str">
            <v>Jayme Truong Feb 14, 2025 3:01 PM</v>
          </cell>
          <cell r="AC303">
            <v>45818</v>
          </cell>
          <cell r="AD303">
            <v>45735</v>
          </cell>
          <cell r="AE303">
            <v>45818</v>
          </cell>
          <cell r="AF303">
            <v>45818</v>
          </cell>
          <cell r="AG303">
            <v>45839</v>
          </cell>
          <cell r="AH303" t="str">
            <v>NCR Construction</v>
          </cell>
          <cell r="AI303" t="str">
            <v/>
          </cell>
        </row>
        <row r="304">
          <cell r="C304">
            <v>80784</v>
          </cell>
          <cell r="D304" t="str">
            <v/>
          </cell>
          <cell r="E304" t="str">
            <v/>
          </cell>
          <cell r="F304" t="str">
            <v>Final</v>
          </cell>
          <cell r="G304" t="str">
            <v>Final Collected</v>
          </cell>
          <cell r="H304" t="str">
            <v>No</v>
          </cell>
          <cell r="I304" t="str">
            <v>Jaron Krause</v>
          </cell>
          <cell r="J304" t="str">
            <v/>
          </cell>
          <cell r="K304" t="str">
            <v>https://panda-windows-and-doors.monday.com/protected_static/21046287/resources/2083777861/Q80784 - Signed Proposal.pdf</v>
          </cell>
          <cell r="L304" t="str">
            <v>https://panda-windows-and-doors.monday.com/protected_static/21046287/resources/2083329981/Caitlin Kelley - 030425 BACKER.pdf</v>
          </cell>
          <cell r="M304" t="str">
            <v/>
          </cell>
          <cell r="N304" t="str">
            <v>https://panda-windows-and-doors.monday.com/protected_static/21046287/resources/1997169490/80784 Deposit Invoice.pdf</v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>
            <v>20273</v>
          </cell>
          <cell r="V304">
            <v>20273</v>
          </cell>
          <cell r="W304" t="str">
            <v>Jennifer Galindo Aug 21, 2025 3:57 PM</v>
          </cell>
          <cell r="X304" t="str">
            <v>2025-03-05 00:00</v>
          </cell>
          <cell r="Y304">
            <v>45721</v>
          </cell>
          <cell r="Z304" t="str">
            <v/>
          </cell>
          <cell r="AA304">
            <v>45835</v>
          </cell>
          <cell r="AB304" t="str">
            <v>Jayme Truong Mar 5, 2025 8:48 AM</v>
          </cell>
          <cell r="AC304">
            <v>45835</v>
          </cell>
          <cell r="AD304">
            <v>45722</v>
          </cell>
          <cell r="AE304">
            <v>45835</v>
          </cell>
          <cell r="AF304">
            <v>45835</v>
          </cell>
          <cell r="AG304">
            <v>45839</v>
          </cell>
          <cell r="AH304" t="str">
            <v>Dwellings, Inc.</v>
          </cell>
          <cell r="AI304" t="str">
            <v/>
          </cell>
        </row>
        <row r="305">
          <cell r="C305">
            <v>83644</v>
          </cell>
          <cell r="D305">
            <v>45818</v>
          </cell>
          <cell r="E305" t="str">
            <v/>
          </cell>
          <cell r="F305" t="str">
            <v>Final</v>
          </cell>
          <cell r="G305" t="str">
            <v>Final Collected</v>
          </cell>
          <cell r="H305" t="str">
            <v>No</v>
          </cell>
          <cell r="I305" t="str">
            <v>Trevor Benthagen, Efrain Zarate</v>
          </cell>
          <cell r="J305" t="str">
            <v/>
          </cell>
          <cell r="K305" t="str">
            <v>https://panda-windows-and-doors.monday.com/protected_static/21046287/resources/2111694033/smtp.office365.com_20250321_125919.pdf</v>
          </cell>
          <cell r="L305" t="str">
            <v>https://panda-windows-and-doors.monday.com/protected_static/21046287/resources/2083578266/smtp.office365.com_20250321_125932.pdf</v>
          </cell>
          <cell r="M305" t="str">
            <v/>
          </cell>
          <cell r="N305" t="str">
            <v>https://panda-windows-and-doors.monday.com/protected_static/21046287/resources/2032103691/83644 Deposit invoice.pdf, https://panda-windows-and-doors.monday.com/protected_static/21046287/resources/2199267032/83644 Deposit Invoice CO1.pdf</v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>
            <v>19525</v>
          </cell>
          <cell r="V305">
            <v>24500.2</v>
          </cell>
          <cell r="W305" t="str">
            <v>George Bails Jul 2, 2025 8:15 AM</v>
          </cell>
          <cell r="X305" t="str">
            <v>2025-01-29 18:56</v>
          </cell>
          <cell r="Y305">
            <v>45737</v>
          </cell>
          <cell r="Z305" t="str">
            <v/>
          </cell>
          <cell r="AA305">
            <v>45839</v>
          </cell>
          <cell r="AB305" t="str">
            <v>Jayme Truong Mar 21, 2025 3:34 PM</v>
          </cell>
          <cell r="AC305">
            <v>45737</v>
          </cell>
          <cell r="AD305">
            <v>45740</v>
          </cell>
          <cell r="AE305" t="str">
            <v/>
          </cell>
          <cell r="AF305" t="str">
            <v/>
          </cell>
          <cell r="AG305">
            <v>45839</v>
          </cell>
          <cell r="AH305" t="str">
            <v>Wayne Fletcher</v>
          </cell>
          <cell r="AI305">
            <v>45818</v>
          </cell>
        </row>
        <row r="306">
          <cell r="C306" t="str">
            <v>83346-R4</v>
          </cell>
          <cell r="D306" t="str">
            <v/>
          </cell>
          <cell r="E306" t="str">
            <v/>
          </cell>
          <cell r="F306" t="str">
            <v>Final</v>
          </cell>
          <cell r="G306" t="str">
            <v>Final Collected</v>
          </cell>
          <cell r="H306" t="str">
            <v>No</v>
          </cell>
          <cell r="I306" t="str">
            <v>Spencer Anderson</v>
          </cell>
          <cell r="J306" t="str">
            <v/>
          </cell>
          <cell r="K306" t="str">
            <v>https://panda-windows-and-doors.monday.com/protected_static/21046287/resources/2083781579/QQ _83346 - SPW_Big D. - 02272025 Signed.pdf</v>
          </cell>
          <cell r="L306" t="str">
            <v>https://panda-windows-and-doors.monday.com/protected_static/21046287/resources/2083778731/IMG_8389.jpg</v>
          </cell>
          <cell r="M306" t="str">
            <v/>
          </cell>
          <cell r="N306" t="str">
            <v>https://panda-windows-and-doors.monday.com/protected_static/21046287/resources/1994971180/83346-R4 - Deposit Invoice.pdf</v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>
            <v>23291.61</v>
          </cell>
          <cell r="V306">
            <v>22830.39</v>
          </cell>
          <cell r="W306" t="str">
            <v>Jennifer Galindo Aug 21, 2025 3:58 PM</v>
          </cell>
          <cell r="X306" t="str">
            <v/>
          </cell>
          <cell r="Y306">
            <v>45720</v>
          </cell>
          <cell r="Z306" t="str">
            <v/>
          </cell>
          <cell r="AA306">
            <v>45818</v>
          </cell>
          <cell r="AB306" t="str">
            <v>Jayme Truong Mar 4, 2025 8:54 AM</v>
          </cell>
          <cell r="AC306">
            <v>45818</v>
          </cell>
          <cell r="AD306">
            <v>45726</v>
          </cell>
          <cell r="AE306">
            <v>45818</v>
          </cell>
          <cell r="AF306">
            <v>45818</v>
          </cell>
          <cell r="AG306">
            <v>45840</v>
          </cell>
          <cell r="AH306" t="str">
            <v>Lyle Belnap</v>
          </cell>
          <cell r="AI306" t="str">
            <v/>
          </cell>
        </row>
        <row r="307">
          <cell r="C307">
            <v>84958</v>
          </cell>
          <cell r="D307" t="str">
            <v/>
          </cell>
          <cell r="E307" t="str">
            <v/>
          </cell>
          <cell r="F307" t="str">
            <v>Final</v>
          </cell>
          <cell r="G307" t="str">
            <v>Final Collected</v>
          </cell>
          <cell r="H307" t="str">
            <v>No</v>
          </cell>
          <cell r="I307" t="str">
            <v>Efrain Zarate, Trevor Benthagen</v>
          </cell>
          <cell r="J307" t="str">
            <v/>
          </cell>
          <cell r="K307" t="str">
            <v>https://panda-windows-and-doors.monday.com/protected_static/21046287/resources/2097749544/SIGNED SALES ORDER Q84958.pdf</v>
          </cell>
          <cell r="L307" t="str">
            <v>https://panda-windows-and-doors.monday.com/protected_static/21046287/resources/2097749859/SIGNED BACKER Q84958.pdf</v>
          </cell>
          <cell r="M307" t="str">
            <v/>
          </cell>
          <cell r="N307" t="str">
            <v>https://panda-windows-and-doors.monday.com/protected_static/21046287/resources/2098509692/84958 - Deposit Invoice.pdf</v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>
            <v>7233</v>
          </cell>
          <cell r="V307">
            <v>5759</v>
          </cell>
          <cell r="W307" t="str">
            <v>Jennifer Galindo Aug 21, 2025 3:58 PM</v>
          </cell>
          <cell r="X307" t="str">
            <v>2025-04-11 00:00</v>
          </cell>
          <cell r="Y307">
            <v>45770</v>
          </cell>
          <cell r="Z307" t="str">
            <v/>
          </cell>
          <cell r="AA307">
            <v>45833</v>
          </cell>
          <cell r="AB307" t="str">
            <v>Jayme Truong Apr 23, 2025 11:15 AM</v>
          </cell>
          <cell r="AC307">
            <v>45838</v>
          </cell>
          <cell r="AD307">
            <v>45772</v>
          </cell>
          <cell r="AE307">
            <v>45838</v>
          </cell>
          <cell r="AF307">
            <v>45838</v>
          </cell>
          <cell r="AG307">
            <v>45840</v>
          </cell>
          <cell r="AH307" t="str">
            <v>Rocky Mountain Windows and Doors, Inc.</v>
          </cell>
          <cell r="AI307" t="str">
            <v/>
          </cell>
        </row>
        <row r="308">
          <cell r="C308">
            <v>84056</v>
          </cell>
          <cell r="D308" t="str">
            <v/>
          </cell>
          <cell r="E308" t="str">
            <v/>
          </cell>
          <cell r="F308" t="str">
            <v>Final</v>
          </cell>
          <cell r="G308" t="str">
            <v>Final Collected</v>
          </cell>
          <cell r="H308" t="str">
            <v>No</v>
          </cell>
          <cell r="I308" t="str">
            <v>Jaron Krause</v>
          </cell>
          <cell r="J308" t="str">
            <v/>
          </cell>
          <cell r="K308" t="str">
            <v>https://panda-windows-and-doors.monday.com/protected_static/21046287/resources/2034470144/signed copy.pdf, https://panda-windows-and-doors.monday.com/protected_static/21046287/resources/2217241712/signed copy.pdf</v>
          </cell>
          <cell r="L308" t="str">
            <v>https://panda-windows-and-doors.monday.com/protected_static/21046287/resources/2083346961/500 Oakland Ave - 031725 BACKER.pdf, https://panda-windows-and-doors.monday.com/protected_static/21046287/resources/2083347037/Signed Backer.png, https://panda-windows-and-doors.monday.com/protected_static/21046287/resources/2217241755/500 Oakland Ave - 031725 BACKER.pdf, https://panda-windows-and-doors.monday.com/protected_static/21046287/resources/2217241756/Signed Backer.png</v>
          </cell>
          <cell r="M308" t="str">
            <v/>
          </cell>
          <cell r="N308" t="str">
            <v>https://panda-windows-and-doors.monday.com/protected_static/21046287/resources/2034670960/84056 Deposit Invoice.pdf</v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>
            <v>27185</v>
          </cell>
          <cell r="V308">
            <v>28819</v>
          </cell>
          <cell r="W308" t="str">
            <v>Jennifer Galindo Aug 21, 2025 3:58 PM</v>
          </cell>
          <cell r="X308" t="str">
            <v>2025-03-24 00:00, 2025-06-19 09:00</v>
          </cell>
          <cell r="Y308">
            <v>45740</v>
          </cell>
          <cell r="Z308" t="str">
            <v/>
          </cell>
          <cell r="AA308">
            <v>45838</v>
          </cell>
          <cell r="AB308" t="str">
            <v>Jayme Truong Mar 24, 2025 8:20 AM</v>
          </cell>
          <cell r="AC308">
            <v>45838</v>
          </cell>
          <cell r="AD308">
            <v>45743</v>
          </cell>
          <cell r="AE308">
            <v>45838</v>
          </cell>
          <cell r="AF308">
            <v>45838</v>
          </cell>
          <cell r="AG308">
            <v>45840</v>
          </cell>
          <cell r="AH308" t="str">
            <v>Tier One Custom Windows, Tier One Custom Windows</v>
          </cell>
          <cell r="AI308" t="str">
            <v/>
          </cell>
        </row>
        <row r="309">
          <cell r="C309">
            <v>84271</v>
          </cell>
          <cell r="D309" t="str">
            <v/>
          </cell>
          <cell r="E309" t="str">
            <v/>
          </cell>
          <cell r="F309" t="str">
            <v>Final</v>
          </cell>
          <cell r="G309" t="str">
            <v>Final Collected</v>
          </cell>
          <cell r="H309" t="str">
            <v>No</v>
          </cell>
          <cell r="I309" t="str">
            <v>Trevor Benthagen, Efrain Zarate</v>
          </cell>
          <cell r="J309" t="str">
            <v/>
          </cell>
          <cell r="K309" t="str">
            <v>https://panda-windows-and-doors.monday.com/protected_static/21046287/resources/2111558962/smtp.office365.com_20250403_055844.pdf</v>
          </cell>
          <cell r="L309" t="str">
            <v>https://panda-windows-and-doors.monday.com/protected_static/21046287/resources/2083373377/smtp.office365.com_20250403_055857.pdf</v>
          </cell>
          <cell r="M309" t="str">
            <v/>
          </cell>
          <cell r="N309" t="str">
            <v>https://panda-windows-and-doors.monday.com/protected_static/21046287/resources/2059486386/84271 Deposit Invoice Nassar.pdf</v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>
            <v>8128</v>
          </cell>
          <cell r="V309">
            <v>9202.0400000000009</v>
          </cell>
          <cell r="W309" t="str">
            <v>Jennifer Galindo Aug 21, 2025 3:58 PM</v>
          </cell>
          <cell r="X309" t="str">
            <v>2025-02-25 14:19</v>
          </cell>
          <cell r="Y309">
            <v>45749</v>
          </cell>
          <cell r="Z309" t="str">
            <v/>
          </cell>
          <cell r="AA309">
            <v>45838</v>
          </cell>
          <cell r="AB309" t="str">
            <v>Jayme Truong Apr 2, 2025 8:08 AM</v>
          </cell>
          <cell r="AC309">
            <v>45838</v>
          </cell>
          <cell r="AD309">
            <v>45757</v>
          </cell>
          <cell r="AE309">
            <v>45838</v>
          </cell>
          <cell r="AF309">
            <v>45838</v>
          </cell>
          <cell r="AG309">
            <v>45845</v>
          </cell>
          <cell r="AH309" t="str">
            <v>2431 Shortridge Place</v>
          </cell>
          <cell r="AI309" t="str">
            <v/>
          </cell>
        </row>
        <row r="310">
          <cell r="C310">
            <v>82899</v>
          </cell>
          <cell r="D310" t="str">
            <v/>
          </cell>
          <cell r="E310" t="str">
            <v/>
          </cell>
          <cell r="F310" t="str">
            <v>Final</v>
          </cell>
          <cell r="G310" t="str">
            <v>Final Collected</v>
          </cell>
          <cell r="H310" t="str">
            <v>No</v>
          </cell>
          <cell r="I310" t="str">
            <v>Luke Valles</v>
          </cell>
          <cell r="J310" t="str">
            <v/>
          </cell>
          <cell r="K310" t="str">
            <v>https://panda-windows-and-doors.monday.com/protected_static/21046287/resources/1954912316/QQ #82899 - 157 Valley Circle - 012425 - SIGNED.pdf</v>
          </cell>
          <cell r="L310" t="str">
            <v>https://panda-windows-and-doors.monday.com/protected_static/21046287/resources/2083311291/157 Valley Circle - 112624.pdf, https://panda-windows-and-doors.monday.com/protected_static/21046287/resources/2083311294/QQ _82899 - 157 Valley Circle - Backer- SIGNED.pdf, https://panda-windows-and-doors.monday.com/protected_static/21046287/resources/2083311300/157 Valley Circle - 121024.xlsx</v>
          </cell>
          <cell r="M310" t="str">
            <v/>
          </cell>
          <cell r="N310" t="str">
            <v>https://panda-windows-and-doors.monday.com/protected_static/21046287/resources/1958273053/82899 Deposit Invoice.pdf</v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>
            <v>12568</v>
          </cell>
          <cell r="V310">
            <v>12568</v>
          </cell>
          <cell r="W310" t="str">
            <v>Jennifer Galindo Aug 21, 2025 3:58 PM</v>
          </cell>
          <cell r="X310" t="str">
            <v>2024-11-26 05:00</v>
          </cell>
          <cell r="Y310">
            <v>45700</v>
          </cell>
          <cell r="Z310" t="str">
            <v/>
          </cell>
          <cell r="AA310">
            <v>45838</v>
          </cell>
          <cell r="AB310" t="str">
            <v>Jayme Truong Feb 12, 2025 11:50 AM</v>
          </cell>
          <cell r="AC310">
            <v>45838</v>
          </cell>
          <cell r="AD310">
            <v>45706</v>
          </cell>
          <cell r="AE310">
            <v>45838</v>
          </cell>
          <cell r="AF310">
            <v>45838</v>
          </cell>
          <cell r="AG310">
            <v>45845</v>
          </cell>
          <cell r="AH310" t="str">
            <v>Frontier Glass</v>
          </cell>
          <cell r="AI310" t="str">
            <v/>
          </cell>
        </row>
        <row r="311">
          <cell r="C311">
            <v>84120</v>
          </cell>
          <cell r="D311" t="str">
            <v/>
          </cell>
          <cell r="E311" t="str">
            <v/>
          </cell>
          <cell r="F311" t="str">
            <v>Final</v>
          </cell>
          <cell r="G311" t="str">
            <v>Final Collected</v>
          </cell>
          <cell r="H311" t="str">
            <v>No</v>
          </cell>
          <cell r="I311" t="str">
            <v>Trevor Benthagen, Efrain Zarate</v>
          </cell>
          <cell r="J311" t="str">
            <v/>
          </cell>
          <cell r="K311" t="str">
            <v>https://panda-windows-and-doors.monday.com/protected_static/21046287/resources/2060240000/smtp.office365.com_20250403_134416.pdf</v>
          </cell>
          <cell r="L311" t="str">
            <v>https://panda-windows-and-doors.monday.com/protected_static/21046287/resources/2083373428/smtp.office365.com_20250403_134424.pdf</v>
          </cell>
          <cell r="M311" t="str">
            <v/>
          </cell>
          <cell r="N311" t="str">
            <v>https://panda-windows-and-doors.monday.com/protected_static/21046287/resources/2061784791/84120 DEPOSIT INVOICE.pdf</v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>
            <v>8275</v>
          </cell>
          <cell r="V311">
            <v>8853.0400000000009</v>
          </cell>
          <cell r="W311" t="str">
            <v>Jennifer Galindo Aug 21, 2025 3:58 PM</v>
          </cell>
          <cell r="X311" t="str">
            <v>2025-02-28 14:40</v>
          </cell>
          <cell r="Y311">
            <v>45750</v>
          </cell>
          <cell r="Z311" t="str">
            <v/>
          </cell>
          <cell r="AA311">
            <v>45838</v>
          </cell>
          <cell r="AB311" t="str">
            <v>Jayme Truong Apr 3, 2025 4:22 PM</v>
          </cell>
          <cell r="AC311">
            <v>45838</v>
          </cell>
          <cell r="AD311">
            <v>45755</v>
          </cell>
          <cell r="AE311">
            <v>45838</v>
          </cell>
          <cell r="AF311">
            <v>45838</v>
          </cell>
          <cell r="AG311">
            <v>45845</v>
          </cell>
          <cell r="AH311" t="str">
            <v>John Fast</v>
          </cell>
          <cell r="AI311" t="str">
            <v/>
          </cell>
        </row>
        <row r="312">
          <cell r="C312">
            <v>84451</v>
          </cell>
          <cell r="D312" t="str">
            <v/>
          </cell>
          <cell r="E312" t="str">
            <v/>
          </cell>
          <cell r="F312" t="str">
            <v>Final</v>
          </cell>
          <cell r="G312" t="str">
            <v>Final Collected</v>
          </cell>
          <cell r="H312" t="str">
            <v>No</v>
          </cell>
          <cell r="I312" t="str">
            <v>Trevor Benthagen, Efrain Zarate</v>
          </cell>
          <cell r="J312" t="str">
            <v/>
          </cell>
          <cell r="K312" t="str">
            <v>https://panda-windows-and-doors.monday.com/protected_static/21046287/resources/2050210780/smtp.office365.com_20250331_112232.pdf</v>
          </cell>
          <cell r="L312" t="str">
            <v>https://panda-windows-and-doors.monday.com/protected_static/21046287/resources/2083366533/smtp.office365.com_20250331_112223.pdf</v>
          </cell>
          <cell r="M312" t="str">
            <v/>
          </cell>
          <cell r="N312" t="str">
            <v>https://panda-windows-and-doors.monday.com/protected_static/21046287/resources/2050569706/84451 Deposit Invoice.pdf</v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>
            <v>16891</v>
          </cell>
          <cell r="V312">
            <v>15567</v>
          </cell>
          <cell r="W312" t="str">
            <v>Jennifer Galindo Aug 21, 2025 3:58 PM</v>
          </cell>
          <cell r="X312" t="str">
            <v>2025-03-03 00:00</v>
          </cell>
          <cell r="Y312">
            <v>45747</v>
          </cell>
          <cell r="Z312" t="str">
            <v/>
          </cell>
          <cell r="AA312">
            <v>45838</v>
          </cell>
          <cell r="AB312" t="str">
            <v>Jayme Truong Mar 31, 2025 2:08 PM</v>
          </cell>
          <cell r="AC312">
            <v>45838</v>
          </cell>
          <cell r="AD312">
            <v>45765</v>
          </cell>
          <cell r="AE312">
            <v>45838</v>
          </cell>
          <cell r="AF312">
            <v>45838</v>
          </cell>
          <cell r="AG312">
            <v>45846</v>
          </cell>
          <cell r="AH312" t="str">
            <v>Riverwoods Mill</v>
          </cell>
          <cell r="AI312" t="str">
            <v/>
          </cell>
        </row>
        <row r="313">
          <cell r="C313">
            <v>84765</v>
          </cell>
          <cell r="D313">
            <v>45782</v>
          </cell>
          <cell r="E313" t="str">
            <v/>
          </cell>
          <cell r="F313" t="str">
            <v>Final</v>
          </cell>
          <cell r="G313" t="str">
            <v>Final Collected</v>
          </cell>
          <cell r="H313" t="str">
            <v>No</v>
          </cell>
          <cell r="I313" t="str">
            <v>Sean Torre</v>
          </cell>
          <cell r="J313" t="str">
            <v/>
          </cell>
          <cell r="K313" t="str">
            <v>https://panda-windows-and-doors.monday.com/protected_static/21046287/resources/2114156639/6307 Mojave sky - signed proposal.pdf</v>
          </cell>
          <cell r="L313" t="str">
            <v>https://panda-windows-and-doors.monday.com/protected_static/21046287/resources/2114156693/6307 Mojave sky - backer signed.pdf</v>
          </cell>
          <cell r="M313" t="str">
            <v/>
          </cell>
          <cell r="N313" t="str">
            <v>https://panda-windows-and-doors.monday.com/protected_static/21046287/resources/2115145987/84765 DEPOSIT INVOICE.pdf</v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>
            <v>18135</v>
          </cell>
          <cell r="V313">
            <v>13628.63</v>
          </cell>
          <cell r="W313" t="str">
            <v>Jennifer Galindo Aug 21, 2025 3:58 PM</v>
          </cell>
          <cell r="X313" t="str">
            <v>2025-04-02 00:00</v>
          </cell>
          <cell r="Y313">
            <v>45782</v>
          </cell>
          <cell r="Z313" t="str">
            <v/>
          </cell>
          <cell r="AA313">
            <v>45838</v>
          </cell>
          <cell r="AB313" t="str">
            <v>Jayme Truong May 1, 2025 8:25 AM</v>
          </cell>
          <cell r="AC313">
            <v>45838</v>
          </cell>
          <cell r="AD313">
            <v>45778</v>
          </cell>
          <cell r="AE313">
            <v>45838</v>
          </cell>
          <cell r="AF313">
            <v>45838</v>
          </cell>
          <cell r="AG313">
            <v>45846</v>
          </cell>
          <cell r="AH313" t="str">
            <v>Lawrance Chavez &amp; Michelle Maria</v>
          </cell>
          <cell r="AI313">
            <v>45782</v>
          </cell>
        </row>
        <row r="314">
          <cell r="C314">
            <v>84289</v>
          </cell>
          <cell r="D314" t="str">
            <v/>
          </cell>
          <cell r="E314" t="str">
            <v/>
          </cell>
          <cell r="F314" t="str">
            <v>Final</v>
          </cell>
          <cell r="G314" t="str">
            <v>Final Collected</v>
          </cell>
          <cell r="H314" t="str">
            <v>No</v>
          </cell>
          <cell r="I314" t="str">
            <v>Efrain Zarate, Trevor Benthagen</v>
          </cell>
          <cell r="J314" t="str">
            <v/>
          </cell>
          <cell r="K314" t="str">
            <v>https://panda-windows-and-doors.monday.com/protected_static/21046287/resources/2050169038/smtp.office365.com_20250331_112244.pdf</v>
          </cell>
          <cell r="L314" t="str">
            <v>https://panda-windows-and-doors.monday.com/protected_static/21046287/resources/2083358837/smtp.office365.com_20250331_112301.pdf</v>
          </cell>
          <cell r="M314" t="str">
            <v/>
          </cell>
          <cell r="N314" t="str">
            <v>https://panda-windows-and-doors.monday.com/protected_static/21046287/resources/2050453785/84289 Deposit Invoice.pdf</v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>
            <v>27692</v>
          </cell>
          <cell r="V314">
            <v>32329.33</v>
          </cell>
          <cell r="W314" t="str">
            <v>Jennifer Galindo Aug 21, 2025 3:58 PM</v>
          </cell>
          <cell r="X314" t="str">
            <v>2025-03-10 00:00</v>
          </cell>
          <cell r="Y314">
            <v>45747</v>
          </cell>
          <cell r="Z314" t="str">
            <v/>
          </cell>
          <cell r="AA314">
            <v>45838</v>
          </cell>
          <cell r="AB314" t="str">
            <v>Jayme Truong Mar 31, 2025 1:59 PM</v>
          </cell>
          <cell r="AC314">
            <v>45838</v>
          </cell>
          <cell r="AD314">
            <v>45747</v>
          </cell>
          <cell r="AE314">
            <v>45838</v>
          </cell>
          <cell r="AF314">
            <v>45838</v>
          </cell>
          <cell r="AG314">
            <v>45846</v>
          </cell>
          <cell r="AH314" t="str">
            <v>Cal Nelson</v>
          </cell>
          <cell r="AI314" t="str">
            <v/>
          </cell>
        </row>
        <row r="315">
          <cell r="C315">
            <v>83001</v>
          </cell>
          <cell r="D315" t="str">
            <v/>
          </cell>
          <cell r="E315" t="str">
            <v/>
          </cell>
          <cell r="F315" t="str">
            <v>Final</v>
          </cell>
          <cell r="G315" t="str">
            <v>Final Collected</v>
          </cell>
          <cell r="H315" t="str">
            <v>No</v>
          </cell>
          <cell r="I315" t="str">
            <v>Kevin Mann</v>
          </cell>
          <cell r="J315" t="str">
            <v/>
          </cell>
          <cell r="K315" t="str">
            <v>https://panda-windows-and-doors.monday.com/protected_static/21046287/resources/2043844818/Signed Q 83001 Amiss Project 1.jpg, https://panda-windows-and-doors.monday.com/protected_static/21046287/resources/2043844942/Signed Q 83001 Amiss Project 2.jpg</v>
          </cell>
          <cell r="L315" t="str">
            <v>https://panda-windows-and-doors.monday.com/protected_static/21046287/resources/2083350770/Signed Backer Q 83001 Ammiss Project.pdf</v>
          </cell>
          <cell r="M315" t="str">
            <v/>
          </cell>
          <cell r="N315" t="str">
            <v>https://panda-windows-and-doors.monday.com/protected_static/21046287/resources/2044005681/83001 - Deposit Invoice.pdf</v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>
            <v>9000</v>
          </cell>
          <cell r="V315">
            <v>9520.06</v>
          </cell>
          <cell r="W315" t="str">
            <v>Annalene Conde Oct 21, 2025 10:07 AM</v>
          </cell>
          <cell r="X315" t="str">
            <v>2025-03-27 00:00</v>
          </cell>
          <cell r="Y315">
            <v>45743</v>
          </cell>
          <cell r="Z315" t="str">
            <v/>
          </cell>
          <cell r="AA315">
            <v>45845</v>
          </cell>
          <cell r="AB315" t="str">
            <v>Jayme Truong Mar 27, 2025 2:40 PM</v>
          </cell>
          <cell r="AC315">
            <v>45845</v>
          </cell>
          <cell r="AD315">
            <v>45751</v>
          </cell>
          <cell r="AE315">
            <v>45845</v>
          </cell>
          <cell r="AF315">
            <v>45845</v>
          </cell>
          <cell r="AG315">
            <v>45846</v>
          </cell>
          <cell r="AH315" t="str">
            <v>Steve Willmarth</v>
          </cell>
          <cell r="AI315" t="str">
            <v/>
          </cell>
        </row>
        <row r="316">
          <cell r="C316">
            <v>83415</v>
          </cell>
          <cell r="D316" t="str">
            <v/>
          </cell>
          <cell r="E316" t="str">
            <v/>
          </cell>
          <cell r="F316" t="str">
            <v>Final</v>
          </cell>
          <cell r="G316" t="str">
            <v>Final Collected</v>
          </cell>
          <cell r="H316" t="str">
            <v>No</v>
          </cell>
          <cell r="I316" t="str">
            <v>Cassandra Gromoll, Mary Wursten</v>
          </cell>
          <cell r="J316" t="str">
            <v/>
          </cell>
          <cell r="K316" t="str">
            <v>https://panda-windows-and-doors.monday.com/protected_static/21046287/resources/2022210589/Signed_031825.pdf</v>
          </cell>
          <cell r="L316" t="str">
            <v>https://panda-windows-and-doors.monday.com/protected_static/21046287/resources/2083340744/Signed backer_031825.pdf, https://panda-windows-and-doors.monday.com/protected_static/21046287/resources/2083340742/Marino - 03132025.xlsx</v>
          </cell>
          <cell r="M316" t="str">
            <v/>
          </cell>
          <cell r="N316" t="str">
            <v>https://panda-windows-and-doors.monday.com/protected_static/21046287/resources/2031547201/83415 Deposit Invoice.pdf</v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>
            <v>13277</v>
          </cell>
          <cell r="V316">
            <v>13277</v>
          </cell>
          <cell r="W316" t="str">
            <v>Jennifer Galindo Aug 21, 2025 3:58 PM</v>
          </cell>
          <cell r="X316" t="str">
            <v>2025-01-14 00:00</v>
          </cell>
          <cell r="Y316">
            <v>45736</v>
          </cell>
          <cell r="Z316" t="str">
            <v/>
          </cell>
          <cell r="AA316">
            <v>45845</v>
          </cell>
          <cell r="AB316" t="str">
            <v>Jayme Truong Mar 17, 2025 3:16 PM</v>
          </cell>
          <cell r="AC316">
            <v>45845</v>
          </cell>
          <cell r="AD316">
            <v>45744</v>
          </cell>
          <cell r="AE316">
            <v>45845</v>
          </cell>
          <cell r="AF316">
            <v>45845</v>
          </cell>
          <cell r="AG316">
            <v>45848</v>
          </cell>
          <cell r="AH316" t="str">
            <v>J Shuman Door Installation</v>
          </cell>
          <cell r="AI316" t="str">
            <v/>
          </cell>
        </row>
        <row r="317">
          <cell r="C317">
            <v>81638</v>
          </cell>
          <cell r="D317" t="str">
            <v/>
          </cell>
          <cell r="E317" t="str">
            <v/>
          </cell>
          <cell r="F317" t="str">
            <v>Final</v>
          </cell>
          <cell r="G317" t="str">
            <v>Final Collected</v>
          </cell>
          <cell r="H317" t="str">
            <v>No</v>
          </cell>
          <cell r="I317" t="str">
            <v>Luke Valles</v>
          </cell>
          <cell r="J317" t="str">
            <v/>
          </cell>
          <cell r="K317" t="str">
            <v>https://panda-windows-and-doors.monday.com/protected_static/21046287/resources/2090226788/Signed_QQ#81638  Colagiovanni Pivot Door 10152024.pdf</v>
          </cell>
          <cell r="L317" t="str">
            <v>https://panda-windows-and-doors.monday.com/protected_static/21046287/resources/2090227381/Colagiovanni Pivot Door 10152024.xlsx</v>
          </cell>
          <cell r="M317" t="str">
            <v/>
          </cell>
          <cell r="N317" t="str">
            <v>https://panda-windows-and-doors.monday.com/protected_static/21046287/resources/2080987698/81638 - Deposit Invoice.pdf</v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>
            <v>12769</v>
          </cell>
          <cell r="V317">
            <v>12768.68</v>
          </cell>
          <cell r="W317" t="str">
            <v>Jennifer Galindo Aug 21, 2025 3:58 PM</v>
          </cell>
          <cell r="X317" t="str">
            <v>2025-04-14 00:00</v>
          </cell>
          <cell r="Y317" t="str">
            <v/>
          </cell>
          <cell r="Z317" t="str">
            <v/>
          </cell>
          <cell r="AA317">
            <v>45838</v>
          </cell>
          <cell r="AB317" t="str">
            <v>Jayme Truong Apr 14, 2025 2:40 PM</v>
          </cell>
          <cell r="AC317">
            <v>45838</v>
          </cell>
          <cell r="AD317">
            <v>45588</v>
          </cell>
          <cell r="AE317">
            <v>45838</v>
          </cell>
          <cell r="AF317">
            <v>45838</v>
          </cell>
          <cell r="AG317">
            <v>45849</v>
          </cell>
          <cell r="AH317" t="str">
            <v>Paul and Mary Colagiovanni</v>
          </cell>
          <cell r="AI317" t="str">
            <v/>
          </cell>
        </row>
        <row r="318">
          <cell r="C318">
            <v>84699</v>
          </cell>
          <cell r="D318" t="str">
            <v/>
          </cell>
          <cell r="E318" t="str">
            <v/>
          </cell>
          <cell r="F318" t="str">
            <v>Final</v>
          </cell>
          <cell r="G318" t="str">
            <v>Final Collected</v>
          </cell>
          <cell r="H318" t="str">
            <v>No</v>
          </cell>
          <cell r="I318" t="str">
            <v>Troy Kite</v>
          </cell>
          <cell r="J318" t="str">
            <v/>
          </cell>
          <cell r="K318" t="str">
            <v>https://panda-windows-and-doors.monday.com/protected_static/21046287/resources/2111567221/Accounting Copier_20250331_111841.pdf</v>
          </cell>
          <cell r="L318" t="str">
            <v>https://panda-windows-and-doors.monday.com/protected_static/21046287/resources/2083285686/Accounting Copier_20250331_111854.pdf</v>
          </cell>
          <cell r="M318" t="str">
            <v/>
          </cell>
          <cell r="N318" t="str">
            <v>https://panda-windows-and-doors.monday.com/protected_static/21046287/resources/2055974910/84146 Deposit Invoice.pdf</v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>
            <v>9668</v>
          </cell>
          <cell r="V318">
            <v>9667</v>
          </cell>
          <cell r="W318" t="str">
            <v>Jennifer Galindo Aug 21, 2025 3:58 PM</v>
          </cell>
          <cell r="X318" t="str">
            <v>2025-03-31 00:00</v>
          </cell>
          <cell r="Y318">
            <v>45747</v>
          </cell>
          <cell r="Z318" t="str">
            <v/>
          </cell>
          <cell r="AA318">
            <v>45824</v>
          </cell>
          <cell r="AB318" t="str">
            <v>Jayme Truong Mar 31, 2025 12:53 PM</v>
          </cell>
          <cell r="AC318">
            <v>45825</v>
          </cell>
          <cell r="AD318">
            <v>45754</v>
          </cell>
          <cell r="AE318">
            <v>45825</v>
          </cell>
          <cell r="AF318">
            <v>45825</v>
          </cell>
          <cell r="AG318">
            <v>45852</v>
          </cell>
          <cell r="AH318" t="str">
            <v>HMI. Inc.</v>
          </cell>
          <cell r="AI318" t="str">
            <v/>
          </cell>
        </row>
        <row r="319">
          <cell r="C319">
            <v>84476</v>
          </cell>
          <cell r="D319" t="str">
            <v/>
          </cell>
          <cell r="E319" t="str">
            <v/>
          </cell>
          <cell r="F319" t="str">
            <v>Final</v>
          </cell>
          <cell r="G319" t="str">
            <v>Final Collected</v>
          </cell>
          <cell r="H319" t="str">
            <v>No</v>
          </cell>
          <cell r="I319" t="str">
            <v>Trevor Benthagen, Efrain Zarate</v>
          </cell>
          <cell r="J319" t="str">
            <v/>
          </cell>
          <cell r="K319" t="str">
            <v>https://panda-windows-and-doors.monday.com/protected_static/21046287/resources/2031100041/smtp.office365.com_20250321_071342.pdf</v>
          </cell>
          <cell r="L319" t="str">
            <v>https://panda-windows-and-doors.monday.com/protected_static/21046287/resources/2083344479/smtp.office365.com_20250321_071351.pdf</v>
          </cell>
          <cell r="M319" t="str">
            <v/>
          </cell>
          <cell r="N319" t="str">
            <v>https://panda-windows-and-doors.monday.com/protected_static/21046287/resources/2031288434/84476 Deposit Invoice.pdf</v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>
            <v>10635</v>
          </cell>
          <cell r="V319">
            <v>890.68</v>
          </cell>
          <cell r="W319" t="str">
            <v>Jennifer Galindo Aug 21, 2025 3:58 PM</v>
          </cell>
          <cell r="X319" t="str">
            <v>2025-03-19 00:00</v>
          </cell>
          <cell r="Y319">
            <v>45737</v>
          </cell>
          <cell r="Z319" t="str">
            <v/>
          </cell>
          <cell r="AA319">
            <v>45838</v>
          </cell>
          <cell r="AB319" t="str">
            <v>Jayme Truong Mar 21, 2025 9:51 AM</v>
          </cell>
          <cell r="AC319">
            <v>45838</v>
          </cell>
          <cell r="AD319">
            <v>45853</v>
          </cell>
          <cell r="AE319">
            <v>45838</v>
          </cell>
          <cell r="AF319">
            <v>45838</v>
          </cell>
          <cell r="AG319">
            <v>45853</v>
          </cell>
          <cell r="AH319" t="str">
            <v>Skylar Nielsen</v>
          </cell>
          <cell r="AI319" t="str">
            <v/>
          </cell>
        </row>
        <row r="320">
          <cell r="C320">
            <v>83144</v>
          </cell>
          <cell r="D320" t="str">
            <v/>
          </cell>
          <cell r="E320" t="str">
            <v/>
          </cell>
          <cell r="F320" t="str">
            <v>Final</v>
          </cell>
          <cell r="G320" t="str">
            <v>Final Collected</v>
          </cell>
          <cell r="H320" t="str">
            <v>No</v>
          </cell>
          <cell r="I320" t="str">
            <v>Derrick McCall</v>
          </cell>
          <cell r="J320" t="str">
            <v/>
          </cell>
          <cell r="K320" t="str">
            <v>https://panda-windows-and-doors.monday.com/protected_static/21046287/resources/2110233953/QQ#83144 KCS - 848 04162025 Signed.pdf</v>
          </cell>
          <cell r="L320" t="str">
            <v>https://panda-windows-and-doors.monday.com/protected_static/21046287/resources/2110234244/smtp.office365.com_20250429_124454.pdf</v>
          </cell>
          <cell r="M320" t="str">
            <v/>
          </cell>
          <cell r="N320" t="str">
            <v>https://panda-windows-and-doors.monday.com/protected_static/21046287/resources/2111649572/83144 Deposit Invoice.pdf</v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>
            <v>13401</v>
          </cell>
          <cell r="V320">
            <v>15356.72</v>
          </cell>
          <cell r="W320" t="str">
            <v>Jennifer Galindo Aug 21, 2025 3:58 PM</v>
          </cell>
          <cell r="X320" t="str">
            <v>2024-12-26 00:00</v>
          </cell>
          <cell r="Y320">
            <v>45776</v>
          </cell>
          <cell r="Z320" t="str">
            <v/>
          </cell>
          <cell r="AA320">
            <v>45853</v>
          </cell>
          <cell r="AB320" t="str">
            <v>Jayme Truong Apr 29, 2025 3:15 PM</v>
          </cell>
          <cell r="AC320">
            <v>45854</v>
          </cell>
          <cell r="AD320">
            <v>45782</v>
          </cell>
          <cell r="AE320">
            <v>45854</v>
          </cell>
          <cell r="AF320">
            <v>45854</v>
          </cell>
          <cell r="AG320">
            <v>45854</v>
          </cell>
          <cell r="AH320" t="str">
            <v>Long Glazing &amp; Doors</v>
          </cell>
          <cell r="AI320" t="str">
            <v/>
          </cell>
        </row>
        <row r="321">
          <cell r="C321">
            <v>83779</v>
          </cell>
          <cell r="D321" t="str">
            <v/>
          </cell>
          <cell r="E321" t="str">
            <v/>
          </cell>
          <cell r="F321" t="str">
            <v>Final</v>
          </cell>
          <cell r="G321" t="str">
            <v>Final Collected</v>
          </cell>
          <cell r="H321" t="str">
            <v>No</v>
          </cell>
          <cell r="I321" t="str">
            <v>Mary Wursten, Cassandra Gromoll</v>
          </cell>
          <cell r="J321" t="str">
            <v/>
          </cell>
          <cell r="K321" t="str">
            <v>https://panda-windows-and-doors.monday.com/protected_static/21046287/resources/2028655515/Sign Sales Order_031025.pdf</v>
          </cell>
          <cell r="L321" t="str">
            <v>https://panda-windows-and-doors.monday.com/protected_static/21046287/resources/2083332955/Signed Backer_031025.pdf, https://panda-windows-and-doors.monday.com/protected_static/21046287/resources/2083332957/Lin Residence  - 03052025.xlsx</v>
          </cell>
          <cell r="M321" t="str">
            <v/>
          </cell>
          <cell r="N321" t="str">
            <v>https://panda-windows-and-doors.monday.com/protected_static/21046287/resources/2031501157/83779 Deposit Invoice.pdf</v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>
            <v>12872</v>
          </cell>
          <cell r="V321">
            <v>13557</v>
          </cell>
          <cell r="W321" t="str">
            <v>Jennifer Galindo Aug 21, 2025 3:59 PM</v>
          </cell>
          <cell r="X321" t="str">
            <v>2025-02-06 00:00</v>
          </cell>
          <cell r="Y321">
            <v>45727</v>
          </cell>
          <cell r="Z321" t="str">
            <v/>
          </cell>
          <cell r="AA321">
            <v>45852</v>
          </cell>
          <cell r="AB321" t="str">
            <v>Jayme Truong Mar 10, 2025 3:07 PM</v>
          </cell>
          <cell r="AC321">
            <v>45852</v>
          </cell>
          <cell r="AD321">
            <v>45748</v>
          </cell>
          <cell r="AE321">
            <v>45852</v>
          </cell>
          <cell r="AF321">
            <v>45852</v>
          </cell>
          <cell r="AG321">
            <v>45855</v>
          </cell>
          <cell r="AH321" t="str">
            <v>Builder's Direct Supply</v>
          </cell>
          <cell r="AI321" t="str">
            <v/>
          </cell>
        </row>
        <row r="322">
          <cell r="C322">
            <v>83822</v>
          </cell>
          <cell r="D322" t="str">
            <v/>
          </cell>
          <cell r="E322" t="str">
            <v/>
          </cell>
          <cell r="F322" t="str">
            <v>Final</v>
          </cell>
          <cell r="G322" t="str">
            <v>Final Collected</v>
          </cell>
          <cell r="H322" t="str">
            <v>No</v>
          </cell>
          <cell r="I322" t="str">
            <v>Efrain Zarate, Trevor Benthagen</v>
          </cell>
          <cell r="J322" t="str">
            <v/>
          </cell>
          <cell r="K322" t="str">
            <v>https://panda-windows-and-doors.monday.com/protected_static/21046287/resources/2111557520/Q_83822 SIGNED SALES ORDER.jpg</v>
          </cell>
          <cell r="L322" t="str">
            <v>https://panda-windows-and-doors.monday.com/protected_static/21046287/resources/2083358824/Q_83822 SIGNED BACKER.jpg</v>
          </cell>
          <cell r="M322" t="str">
            <v/>
          </cell>
          <cell r="N322" t="str">
            <v>https://panda-windows-and-doors.monday.com/protected_static/21046287/resources/2287434108/83822 Deposit Invoice - REVISED with updated tax.pdf</v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>
            <v>9159</v>
          </cell>
          <cell r="V322">
            <v>10545.4</v>
          </cell>
          <cell r="W322" t="str">
            <v>Jennifer Galindo Aug 21, 2025 3:59 PM</v>
          </cell>
          <cell r="X322" t="str">
            <v>2025-02-11 00:00</v>
          </cell>
          <cell r="Y322">
            <v>45744</v>
          </cell>
          <cell r="Z322" t="str">
            <v/>
          </cell>
          <cell r="AA322">
            <v>45852</v>
          </cell>
          <cell r="AB322" t="str">
            <v>Jayme Truong Mar 28, 2025 11:42 AM</v>
          </cell>
          <cell r="AC322">
            <v>45852</v>
          </cell>
          <cell r="AD322">
            <v>45762</v>
          </cell>
          <cell r="AE322">
            <v>45852</v>
          </cell>
          <cell r="AF322">
            <v>45852</v>
          </cell>
          <cell r="AG322">
            <v>45859</v>
          </cell>
          <cell r="AH322" t="str">
            <v>Fletcher Front Door Remodel</v>
          </cell>
          <cell r="AI322" t="str">
            <v/>
          </cell>
        </row>
        <row r="323">
          <cell r="C323">
            <v>85274</v>
          </cell>
          <cell r="D323" t="str">
            <v/>
          </cell>
          <cell r="E323" t="str">
            <v/>
          </cell>
          <cell r="F323" t="str">
            <v>Final</v>
          </cell>
          <cell r="G323" t="str">
            <v>Final Collected</v>
          </cell>
          <cell r="H323" t="str">
            <v>No</v>
          </cell>
          <cell r="I323" t="str">
            <v>Cassandra Gromoll, Mary Wursten</v>
          </cell>
          <cell r="J323" t="str">
            <v/>
          </cell>
          <cell r="K323" t="str">
            <v>https://panda-windows-and-doors.monday.com/protected_static/21046287/resources/2128611766/Panda Contract.pdf</v>
          </cell>
          <cell r="L323" t="str">
            <v>https://panda-windows-and-doors.monday.com/protected_static/21046287/resources/2128612079/85274_signed backer_050825.pdf</v>
          </cell>
          <cell r="M323" t="str">
            <v/>
          </cell>
          <cell r="N323" t="str">
            <v>https://panda-windows-and-doors.monday.com/protected_static/21046287/resources/2129277707/85274 Deposit Invoice.pdf</v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>
            <v>6935</v>
          </cell>
          <cell r="V323">
            <v>8247.64</v>
          </cell>
          <cell r="W323" t="str">
            <v>Jennifer Galindo Aug 21, 2025 3:59 PM</v>
          </cell>
          <cell r="X323" t="str">
            <v>2025-04-28 17:37</v>
          </cell>
          <cell r="Y323">
            <v>45785</v>
          </cell>
          <cell r="Z323" t="str">
            <v/>
          </cell>
          <cell r="AA323">
            <v>45856</v>
          </cell>
          <cell r="AB323" t="str">
            <v>Jayme Truong May 8, 2025 7:42 AM</v>
          </cell>
          <cell r="AC323">
            <v>45856</v>
          </cell>
          <cell r="AD323">
            <v>45792</v>
          </cell>
          <cell r="AE323">
            <v>45856</v>
          </cell>
          <cell r="AF323">
            <v>45856</v>
          </cell>
          <cell r="AG323">
            <v>45859</v>
          </cell>
          <cell r="AH323" t="str">
            <v>Wayne Larson</v>
          </cell>
          <cell r="AI323" t="str">
            <v/>
          </cell>
        </row>
        <row r="324">
          <cell r="C324">
            <v>82912</v>
          </cell>
          <cell r="D324" t="str">
            <v/>
          </cell>
          <cell r="E324" t="str">
            <v/>
          </cell>
          <cell r="F324" t="str">
            <v>Final</v>
          </cell>
          <cell r="G324" t="str">
            <v>Final Collected</v>
          </cell>
          <cell r="H324" t="str">
            <v>No</v>
          </cell>
          <cell r="I324" t="str">
            <v>Troy Kite</v>
          </cell>
          <cell r="J324" t="str">
            <v/>
          </cell>
          <cell r="K324" t="str">
            <v>https://panda-windows-and-doors.monday.com/protected_static/21046287/resources/2071932646/Worth Panda Door Confirmation.pdf</v>
          </cell>
          <cell r="L324" t="str">
            <v>https://panda-windows-and-doors.monday.com/protected_static/21046287/resources/2083285071/smtp.office365.com_20250409_081051.pdf, https://panda-windows-and-doors.monday.com/protected_static/21046287/resources/2083285070/Worth SD P27-1 - 03202025.xlsx</v>
          </cell>
          <cell r="M324" t="str">
            <v/>
          </cell>
          <cell r="N324" t="str">
            <v>https://panda-windows-and-doors.monday.com/protected_static/21046287/resources/2072141485/82912 Deposit Invoice.pdf</v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>
            <v>14613</v>
          </cell>
          <cell r="V324">
            <v>14613</v>
          </cell>
          <cell r="W324" t="str">
            <v>Jennifer Galindo Aug 21, 2025 3:59 PM</v>
          </cell>
          <cell r="X324" t="str">
            <v>2025-03-27 00:00</v>
          </cell>
          <cell r="Y324">
            <v>45756</v>
          </cell>
          <cell r="Z324" t="str">
            <v/>
          </cell>
          <cell r="AA324">
            <v>45856</v>
          </cell>
          <cell r="AB324" t="str">
            <v>Jayme Truong Apr 9, 2025 11:00 AM</v>
          </cell>
          <cell r="AC324">
            <v>45856</v>
          </cell>
          <cell r="AD324">
            <v>45758</v>
          </cell>
          <cell r="AE324">
            <v>45856</v>
          </cell>
          <cell r="AF324">
            <v>45856</v>
          </cell>
          <cell r="AG324">
            <v>45861</v>
          </cell>
          <cell r="AH324" t="str">
            <v>Drake Pusateri</v>
          </cell>
          <cell r="AI324" t="str">
            <v/>
          </cell>
        </row>
        <row r="325">
          <cell r="C325">
            <v>78491</v>
          </cell>
          <cell r="D325" t="str">
            <v/>
          </cell>
          <cell r="E325" t="str">
            <v/>
          </cell>
          <cell r="F325" t="str">
            <v>Final</v>
          </cell>
          <cell r="G325" t="str">
            <v>Final Collected</v>
          </cell>
          <cell r="H325" t="str">
            <v>No</v>
          </cell>
          <cell r="I325" t="str">
            <v>Efrain Zarate, Trevor Benthagen</v>
          </cell>
          <cell r="J325" t="str">
            <v/>
          </cell>
          <cell r="K325" t="str">
            <v>https://panda-windows-and-doors.monday.com/protected_static/21046287/resources/2083766826/smtp.office365.com_20250130_091515.pdf, https://panda-windows-and-doors.monday.com/protected_static/21046287/resources/2083766824/Q_78491 SIGNED SALES ORDER.pdf</v>
          </cell>
          <cell r="L325" t="str">
            <v>https://panda-windows-and-doors.monday.com/protected_static/21046287/resources/2111687207/smtp.office365.com_20250130_091503.pdf</v>
          </cell>
          <cell r="M325" t="str">
            <v/>
          </cell>
          <cell r="N325" t="str">
            <v>https://panda-windows-and-doors.monday.com/protected_static/21046287/resources/1931063231/78491 DEPOSIT INVOICE.pdf</v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>
            <v>24500</v>
          </cell>
          <cell r="V325">
            <v>21052.19</v>
          </cell>
          <cell r="W325" t="str">
            <v>Jennifer Galindo Aug 21, 2025 3:59 PM</v>
          </cell>
          <cell r="X325" t="str">
            <v>2025-01-30 00:00</v>
          </cell>
          <cell r="Y325">
            <v>45687</v>
          </cell>
          <cell r="Z325" t="str">
            <v/>
          </cell>
          <cell r="AA325">
            <v>45838</v>
          </cell>
          <cell r="AB325" t="str">
            <v>Jayme Truong Jan 30, 2025 11:55 AM</v>
          </cell>
          <cell r="AC325">
            <v>45838</v>
          </cell>
          <cell r="AD325">
            <v>45691</v>
          </cell>
          <cell r="AE325">
            <v>45838</v>
          </cell>
          <cell r="AF325">
            <v>45838</v>
          </cell>
          <cell r="AG325">
            <v>45862</v>
          </cell>
          <cell r="AH325" t="str">
            <v>Christian Medina</v>
          </cell>
          <cell r="AI325" t="str">
            <v/>
          </cell>
        </row>
        <row r="326">
          <cell r="C326">
            <v>83817</v>
          </cell>
          <cell r="D326">
            <v>45761</v>
          </cell>
          <cell r="E326" t="str">
            <v/>
          </cell>
          <cell r="F326" t="str">
            <v>Final</v>
          </cell>
          <cell r="G326" t="str">
            <v>Final Collected</v>
          </cell>
          <cell r="H326" t="str">
            <v>No</v>
          </cell>
          <cell r="I326" t="str">
            <v>Mary Wursten</v>
          </cell>
          <cell r="J326" t="str">
            <v/>
          </cell>
          <cell r="K326" t="str">
            <v>https://panda-windows-and-doors.monday.com/protected_static/21046287/resources/2034378563/Sales Order Signed 032125.pdf</v>
          </cell>
          <cell r="L326" t="str">
            <v>https://panda-windows-and-doors.monday.com/protected_static/21046287/resources/2083345851/Signed Backer 032125 (1).pdf, https://panda-windows-and-doors.monday.com/protected_static/21046287/resources/2083345856/5263 Shore Drive 03212025.xlsx, https://panda-windows-and-doors.monday.com/protected_static/21046287/resources/2083345857/Signed Backer 032125.pdf, https://panda-windows-and-doors.monday.com/protected_static/21046287/resources/2083345857/Signed Backer 032125.pdf, https://panda-windows-and-doors.monday.com/protected_static/21046287/resources/2083345852/Q_83817_Backer_Signed Backer 032125.pdf_Signed Backer_Change Order 041525.pdf</v>
          </cell>
          <cell r="M326" t="str">
            <v/>
          </cell>
          <cell r="N326" t="str">
            <v>https://panda-windows-and-doors.monday.com/protected_static/21046287/resources/2041572484/83817 Revised Deposit Invoice.pdf, https://panda-windows-and-doors.monday.com/protected_static/21046287/resources/2085937170/83817 Change Order 1 Deposit Invoice.pdf</v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>
            <v>89164</v>
          </cell>
          <cell r="V326">
            <v>59711.23</v>
          </cell>
          <cell r="W326" t="str">
            <v>Annalene Conde Aug 21, 2025 3:44 PM</v>
          </cell>
          <cell r="X326" t="str">
            <v>2025-01-31 10:31</v>
          </cell>
          <cell r="Y326">
            <v>45740</v>
          </cell>
          <cell r="Z326" t="str">
            <v/>
          </cell>
          <cell r="AA326">
            <v>45740</v>
          </cell>
          <cell r="AB326" t="str">
            <v>Jayme Truong Mar 24, 2025 7:51 AM</v>
          </cell>
          <cell r="AC326">
            <v>45862</v>
          </cell>
          <cell r="AD326">
            <v>45744</v>
          </cell>
          <cell r="AE326">
            <v>45862</v>
          </cell>
          <cell r="AF326">
            <v>45862</v>
          </cell>
          <cell r="AG326">
            <v>45863</v>
          </cell>
          <cell r="AH326" t="str">
            <v>David Baldwin</v>
          </cell>
          <cell r="AI326">
            <v>45761</v>
          </cell>
        </row>
        <row r="327">
          <cell r="C327">
            <v>83667</v>
          </cell>
          <cell r="D327" t="str">
            <v/>
          </cell>
          <cell r="E327" t="str">
            <v/>
          </cell>
          <cell r="F327" t="str">
            <v>Final</v>
          </cell>
          <cell r="G327" t="str">
            <v>Final Collected</v>
          </cell>
          <cell r="H327" t="str">
            <v>No</v>
          </cell>
          <cell r="I327" t="str">
            <v>Derrick McCall</v>
          </cell>
          <cell r="J327" t="str">
            <v/>
          </cell>
          <cell r="K327" t="str">
            <v>https://panda-windows-and-doors.monday.com/protected_static/21046287/resources/2086070223/QQ#83667 YMCA - Gym 04012025.pdf</v>
          </cell>
          <cell r="L327" t="str">
            <v>https://panda-windows-and-doors.monday.com/protected_static/21046287/resources/2086070608/smtp.office365.com_20250416_075946.pdf</v>
          </cell>
          <cell r="M327" t="str">
            <v/>
          </cell>
          <cell r="N327" t="str">
            <v>https://panda-windows-and-doors.monday.com/protected_static/21046287/resources/2087003676/83667 deposit invoice.pdf</v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>
            <v>17543</v>
          </cell>
          <cell r="V327">
            <v>17542</v>
          </cell>
          <cell r="W327" t="str">
            <v>Annalene Conde Aug 21, 2025 3:43 PM</v>
          </cell>
          <cell r="X327" t="str">
            <v>2025-04-16 00:00</v>
          </cell>
          <cell r="Y327">
            <v>45763</v>
          </cell>
          <cell r="Z327" t="str">
            <v/>
          </cell>
          <cell r="AA327">
            <v>45863</v>
          </cell>
          <cell r="AB327" t="str">
            <v>Jayme Truong Apr 16, 2025 10:48 AM</v>
          </cell>
          <cell r="AC327">
            <v>45763</v>
          </cell>
          <cell r="AD327">
            <v>45772</v>
          </cell>
          <cell r="AE327">
            <v>45863</v>
          </cell>
          <cell r="AF327" t="str">
            <v/>
          </cell>
          <cell r="AG327">
            <v>45863</v>
          </cell>
          <cell r="AH327" t="str">
            <v>La Mesa Glass</v>
          </cell>
          <cell r="AI327" t="str">
            <v/>
          </cell>
        </row>
        <row r="328">
          <cell r="C328">
            <v>81415</v>
          </cell>
          <cell r="D328" t="str">
            <v/>
          </cell>
          <cell r="E328" t="str">
            <v/>
          </cell>
          <cell r="F328" t="str">
            <v>Final</v>
          </cell>
          <cell r="G328" t="str">
            <v>Final Collected</v>
          </cell>
          <cell r="H328" t="str">
            <v>No</v>
          </cell>
          <cell r="I328" t="str">
            <v>Jaron Krause</v>
          </cell>
          <cell r="J328" t="str">
            <v/>
          </cell>
          <cell r="K328" t="str">
            <v>https://panda-windows-and-doors.monday.com/protected_static/21046287/resources/2108795495/Panda-Q81415r2-Bifold Door.pdf</v>
          </cell>
          <cell r="L328" t="str">
            <v>https://panda-windows-and-doors.monday.com/protected_static/21046287/resources/2083347427/Scanned signed backer.pdf</v>
          </cell>
          <cell r="M328" t="str">
            <v/>
          </cell>
          <cell r="N328" t="str">
            <v>https://panda-windows-and-doors.monday.com/protected_static/21046287/resources/2037734667/81415 Deposit Invoice.pdf</v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>
            <v>17373</v>
          </cell>
          <cell r="V328">
            <v>20053.919999999998</v>
          </cell>
          <cell r="W328" t="str">
            <v>Annalene Conde Aug 21, 2025 3:43 PM</v>
          </cell>
          <cell r="X328" t="str">
            <v>2025-03-25 00:00</v>
          </cell>
          <cell r="Y328">
            <v>45741</v>
          </cell>
          <cell r="Z328" t="str">
            <v/>
          </cell>
          <cell r="AA328">
            <v>45862</v>
          </cell>
          <cell r="AB328" t="str">
            <v>Jayme Truong Mar 25, 2025 10:22 AM</v>
          </cell>
          <cell r="AC328">
            <v>45863</v>
          </cell>
          <cell r="AD328">
            <v>45754</v>
          </cell>
          <cell r="AE328">
            <v>45862</v>
          </cell>
          <cell r="AF328">
            <v>45863</v>
          </cell>
          <cell r="AG328">
            <v>45866</v>
          </cell>
          <cell r="AH328" t="str">
            <v>Sunshine Rooms, Inc.</v>
          </cell>
          <cell r="AI328" t="str">
            <v/>
          </cell>
        </row>
        <row r="329">
          <cell r="C329">
            <v>84908</v>
          </cell>
          <cell r="D329" t="str">
            <v/>
          </cell>
          <cell r="E329" t="str">
            <v/>
          </cell>
          <cell r="F329" t="str">
            <v>Final</v>
          </cell>
          <cell r="G329" t="str">
            <v>Final Collected</v>
          </cell>
          <cell r="H329" t="str">
            <v>No</v>
          </cell>
          <cell r="I329" t="str">
            <v>Trevor Benthagen, Efrain Zarate</v>
          </cell>
          <cell r="J329" t="str">
            <v/>
          </cell>
          <cell r="K329" t="str">
            <v>https://panda-windows-and-doors.monday.com/protected_static/21046287/resources/2088518671/smtp.office365.com_20250417_071103.pdf</v>
          </cell>
          <cell r="L329" t="str">
            <v>https://panda-windows-and-doors.monday.com/protected_static/21046287/resources/2088518121/smtp.office365.com_20250417_071116.pdf</v>
          </cell>
          <cell r="M329" t="str">
            <v/>
          </cell>
          <cell r="N329" t="str">
            <v>https://panda-windows-and-doors.monday.com/protected_static/21046287/resources/2089173288/84908 Deposit Invoice.pdf</v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>
            <v>33537</v>
          </cell>
          <cell r="V329">
            <v>33537</v>
          </cell>
          <cell r="W329" t="str">
            <v>Annalene Conde Aug 21, 2025 3:43 PM</v>
          </cell>
          <cell r="X329" t="str">
            <v>2025-04-09 00:00</v>
          </cell>
          <cell r="Y329">
            <v>45763</v>
          </cell>
          <cell r="Z329" t="str">
            <v/>
          </cell>
          <cell r="AA329">
            <v>45860</v>
          </cell>
          <cell r="AB329" t="str">
            <v>Jayme Truong Apr 16, 2025 4:49 PM</v>
          </cell>
          <cell r="AC329">
            <v>45860</v>
          </cell>
          <cell r="AD329">
            <v>45776</v>
          </cell>
          <cell r="AE329">
            <v>45860</v>
          </cell>
          <cell r="AF329">
            <v>45860</v>
          </cell>
          <cell r="AG329">
            <v>45866</v>
          </cell>
          <cell r="AH329" t="str">
            <v>Ruth Brown</v>
          </cell>
          <cell r="AI329" t="str">
            <v/>
          </cell>
        </row>
        <row r="330">
          <cell r="C330">
            <v>84126</v>
          </cell>
          <cell r="D330" t="str">
            <v/>
          </cell>
          <cell r="E330" t="str">
            <v/>
          </cell>
          <cell r="F330" t="str">
            <v>Final</v>
          </cell>
          <cell r="G330" t="str">
            <v>Final Collected</v>
          </cell>
          <cell r="H330" t="str">
            <v>No</v>
          </cell>
          <cell r="I330" t="str">
            <v>Jaron Krause</v>
          </cell>
          <cell r="J330" t="str">
            <v/>
          </cell>
          <cell r="K330" t="str">
            <v>https://panda-windows-and-doors.monday.com/protected_static/21046287/resources/2111577314/JSI Signed_QQ _84126 - SBA - 032625 (2) (1).pdf</v>
          </cell>
          <cell r="L330" t="str">
            <v>https://panda-windows-and-doors.monday.com/protected_static/21046287/resources/2083370990/Signed Backer.pdf, https://panda-windows-and-doors.monday.com/protected_static/21046287/resources/2083370989/SBA - 030325.pdf</v>
          </cell>
          <cell r="M330" t="str">
            <v/>
          </cell>
          <cell r="N330" t="str">
            <v>https://panda-windows-and-doors.monday.com/protected_static/21046287/resources/2056816200/84126 Deposit Invoice.pdf</v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>
            <v>9005</v>
          </cell>
          <cell r="V330">
            <v>9004</v>
          </cell>
          <cell r="W330" t="str">
            <v>Annalene Conde Aug 21, 2025 3:44 PM</v>
          </cell>
          <cell r="X330" t="str">
            <v>2025-02-27 00:00</v>
          </cell>
          <cell r="Y330">
            <v>45748</v>
          </cell>
          <cell r="Z330" t="str">
            <v/>
          </cell>
          <cell r="AA330">
            <v>45748</v>
          </cell>
          <cell r="AB330" t="str">
            <v>Jayme Truong Apr 1, 2025 4:26 PM</v>
          </cell>
          <cell r="AC330">
            <v>45748</v>
          </cell>
          <cell r="AD330">
            <v>45750</v>
          </cell>
          <cell r="AE330">
            <v>45867</v>
          </cell>
          <cell r="AF330">
            <v>45867</v>
          </cell>
          <cell r="AG330">
            <v>45867</v>
          </cell>
          <cell r="AH330" t="str">
            <v>Kacie Thomas</v>
          </cell>
          <cell r="AI330" t="str">
            <v/>
          </cell>
        </row>
        <row r="331">
          <cell r="C331">
            <v>84238</v>
          </cell>
          <cell r="D331" t="str">
            <v/>
          </cell>
          <cell r="E331" t="str">
            <v/>
          </cell>
          <cell r="F331" t="str">
            <v>Final</v>
          </cell>
          <cell r="G331" t="str">
            <v>Final Collected</v>
          </cell>
          <cell r="H331" t="str">
            <v>No</v>
          </cell>
          <cell r="I331" t="str">
            <v>Sean Torre</v>
          </cell>
          <cell r="J331" t="str">
            <v/>
          </cell>
          <cell r="K331" t="str">
            <v>https://panda-windows-and-doors.monday.com/protected_static/21046287/resources/2083755003/QQ _84238 - Lumen Apartments - Signed.pdf</v>
          </cell>
          <cell r="L331" t="str">
            <v>https://panda-windows-and-doors.monday.com/protected_static/21046287/resources/2083421476/Signed Backer.pdf</v>
          </cell>
          <cell r="M331" t="str">
            <v/>
          </cell>
          <cell r="N331" t="str">
            <v>https://panda-windows-and-doors.monday.com/protected_static/21046287/resources/2075368747/84238 Deposit Invoice.pdf</v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>
            <v>9818</v>
          </cell>
          <cell r="V331">
            <v>9817</v>
          </cell>
          <cell r="W331" t="str">
            <v>Annalene Conde Aug 21, 2025 3:43 PM</v>
          </cell>
          <cell r="X331" t="str">
            <v>2025-03-04 16:09</v>
          </cell>
          <cell r="Y331">
            <v>45757</v>
          </cell>
          <cell r="Z331" t="str">
            <v/>
          </cell>
          <cell r="AA331">
            <v>45866</v>
          </cell>
          <cell r="AB331" t="str">
            <v>Jayme Truong Apr 10, 2025 12:45 PM</v>
          </cell>
          <cell r="AC331">
            <v>45866</v>
          </cell>
          <cell r="AD331">
            <v>45768</v>
          </cell>
          <cell r="AE331">
            <v>45866</v>
          </cell>
          <cell r="AF331">
            <v>45866</v>
          </cell>
          <cell r="AG331">
            <v>45868</v>
          </cell>
          <cell r="AH331" t="str">
            <v>Mike Reil</v>
          </cell>
          <cell r="AI331" t="str">
            <v/>
          </cell>
        </row>
        <row r="332">
          <cell r="C332">
            <v>84211</v>
          </cell>
          <cell r="D332" t="str">
            <v/>
          </cell>
          <cell r="E332" t="str">
            <v/>
          </cell>
          <cell r="F332" t="str">
            <v>Final</v>
          </cell>
          <cell r="G332" t="str">
            <v>Final Collected</v>
          </cell>
          <cell r="H332" t="str">
            <v>No</v>
          </cell>
          <cell r="I332" t="str">
            <v>Sean Torre</v>
          </cell>
          <cell r="J332" t="str">
            <v/>
          </cell>
          <cell r="K332" t="str">
            <v>https://panda-windows-and-doors.monday.com/protected_static/21046287/resources/2092123363/Alden - signed proposal.pdf</v>
          </cell>
          <cell r="L332" t="str">
            <v>https://panda-windows-and-doors.monday.com/protected_static/21046287/resources/2092123284/Alden backer.pdf</v>
          </cell>
          <cell r="M332" t="str">
            <v/>
          </cell>
          <cell r="N332" t="str">
            <v>https://panda-windows-and-doors.monday.com/protected_static/21046287/resources/2092256162/84211 - Deposit Invoice.pdf</v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>
            <v>5589</v>
          </cell>
          <cell r="V332">
            <v>6525.16</v>
          </cell>
          <cell r="W332" t="str">
            <v>Sean Lopez Mar 17, 2026 8:35 AM</v>
          </cell>
          <cell r="X332" t="str">
            <v>2025-03-04 16:44</v>
          </cell>
          <cell r="Y332">
            <v>45768</v>
          </cell>
          <cell r="Z332" t="str">
            <v/>
          </cell>
          <cell r="AA332">
            <v>45862</v>
          </cell>
          <cell r="AB332" t="str">
            <v>Jayme Truong Apr 21, 2025 9:24 AM</v>
          </cell>
          <cell r="AC332">
            <v>45862</v>
          </cell>
          <cell r="AD332">
            <v>45769</v>
          </cell>
          <cell r="AE332">
            <v>45862</v>
          </cell>
          <cell r="AF332">
            <v>45862</v>
          </cell>
          <cell r="AG332">
            <v>45868</v>
          </cell>
          <cell r="AH332" t="str">
            <v>Jon Alden</v>
          </cell>
          <cell r="AI332" t="str">
            <v/>
          </cell>
        </row>
        <row r="333">
          <cell r="C333">
            <v>85214</v>
          </cell>
          <cell r="D333" t="str">
            <v/>
          </cell>
          <cell r="E333" t="str">
            <v/>
          </cell>
          <cell r="F333" t="str">
            <v>Final</v>
          </cell>
          <cell r="G333" t="str">
            <v>Final Collected</v>
          </cell>
          <cell r="H333" t="str">
            <v>No</v>
          </cell>
          <cell r="I333" t="str">
            <v>Sean Torre</v>
          </cell>
          <cell r="J333" t="str">
            <v/>
          </cell>
          <cell r="K333" t="str">
            <v>https://panda-windows-and-doors.monday.com/protected_static/21046287/resources/2114178965/Scanned Image.pdf</v>
          </cell>
          <cell r="L333" t="str">
            <v>https://panda-windows-and-doors.monday.com/protected_static/21046287/resources/2114178571/Nelson residence - signed backer.pdf</v>
          </cell>
          <cell r="M333" t="str">
            <v/>
          </cell>
          <cell r="N333" t="str">
            <v>https://panda-windows-and-doors.monday.com/protected_static/21046287/resources/2116517415/85214 - Deposit Invoice.pdf</v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>
            <v>9805</v>
          </cell>
          <cell r="V333">
            <v>10243.290000000001</v>
          </cell>
          <cell r="W333" t="str">
            <v>Annalene Conde Aug 21, 2025 3:47 PM</v>
          </cell>
          <cell r="X333" t="str">
            <v>2025-04-24 10:30</v>
          </cell>
          <cell r="Y333">
            <v>45778</v>
          </cell>
          <cell r="Z333" t="str">
            <v/>
          </cell>
          <cell r="AA333">
            <v>45874</v>
          </cell>
          <cell r="AB333" t="str">
            <v>Jayme Truong May 1, 2025 8:38 AM</v>
          </cell>
          <cell r="AC333">
            <v>45867</v>
          </cell>
          <cell r="AD333">
            <v>45779</v>
          </cell>
          <cell r="AE333">
            <v>45874</v>
          </cell>
          <cell r="AF333">
            <v>45867</v>
          </cell>
          <cell r="AG333">
            <v>45874</v>
          </cell>
          <cell r="AH333" t="str">
            <v>Judy Nelson</v>
          </cell>
          <cell r="AI333" t="str">
            <v/>
          </cell>
        </row>
        <row r="334">
          <cell r="C334">
            <v>78363</v>
          </cell>
          <cell r="D334" t="str">
            <v/>
          </cell>
          <cell r="E334" t="str">
            <v/>
          </cell>
          <cell r="F334" t="str">
            <v>Final</v>
          </cell>
          <cell r="G334" t="str">
            <v>Final Collected</v>
          </cell>
          <cell r="H334" t="str">
            <v>No</v>
          </cell>
          <cell r="I334" t="str">
            <v>Derrick McCall</v>
          </cell>
          <cell r="J334" t="str">
            <v/>
          </cell>
          <cell r="K334" t="str">
            <v>https://panda-windows-and-doors.monday.com/protected_static/21046287/resources/2323782086/Signed_QQ#78363 Middlefield Junction (USGA) 11092023.pdf</v>
          </cell>
          <cell r="L334" t="str">
            <v/>
          </cell>
          <cell r="M334" t="str">
            <v/>
          </cell>
          <cell r="N334" t="str">
            <v>https://panda-windows-and-doors.monday.com/protected_static/21046287/resources/2205710908/78363 Deposit Down.pdf</v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>
            <v>41004</v>
          </cell>
          <cell r="V334">
            <v>49194.26</v>
          </cell>
          <cell r="W334" t="str">
            <v>Annalene Conde Aug 21, 2025 3:46 PM</v>
          </cell>
          <cell r="X334" t="str">
            <v>2025-04-02 00:00</v>
          </cell>
          <cell r="Y334">
            <v>45818</v>
          </cell>
          <cell r="Z334" t="str">
            <v/>
          </cell>
          <cell r="AA334">
            <v>45868</v>
          </cell>
          <cell r="AB334" t="str">
            <v>Jayme Truong Jun 10, 2025 4:50 PM</v>
          </cell>
          <cell r="AC334">
            <v>45869</v>
          </cell>
          <cell r="AD334">
            <v>45818</v>
          </cell>
          <cell r="AE334">
            <v>45868</v>
          </cell>
          <cell r="AF334">
            <v>45869</v>
          </cell>
          <cell r="AG334">
            <v>45874</v>
          </cell>
          <cell r="AH334" t="str">
            <v>USGA Inc</v>
          </cell>
          <cell r="AI334" t="str">
            <v/>
          </cell>
        </row>
        <row r="335">
          <cell r="C335">
            <v>85850</v>
          </cell>
          <cell r="D335" t="str">
            <v/>
          </cell>
          <cell r="E335" t="str">
            <v/>
          </cell>
          <cell r="F335" t="str">
            <v>Final</v>
          </cell>
          <cell r="G335" t="str">
            <v>Final Collected</v>
          </cell>
          <cell r="H335" t="str">
            <v>No</v>
          </cell>
          <cell r="I335" t="str">
            <v>Sean Torre</v>
          </cell>
          <cell r="J335" t="str">
            <v/>
          </cell>
          <cell r="K335" t="str">
            <v>https://panda-windows-and-doors.monday.com/protected_static/21046287/resources/2182793137/QQ_85850_Xuans_Sliding_Door_06032025_(1)_(1).pdf</v>
          </cell>
          <cell r="L335" t="str">
            <v>https://panda-windows-and-doors.monday.com/protected_static/21046287/resources/2182791894/CamScanner 06-02-2025 15.48 (1).pdf</v>
          </cell>
          <cell r="M335" t="str">
            <v/>
          </cell>
          <cell r="N335" t="str">
            <v>https://panda-windows-and-doors.monday.com/protected_static/21046287/resources/2182917896/85850 Deposit Invoice.pdf</v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>
            <v>6311</v>
          </cell>
          <cell r="V335">
            <v>7367</v>
          </cell>
          <cell r="W335" t="str">
            <v>Annalene Conde Aug 22, 2025 3:59 PM</v>
          </cell>
          <cell r="X335" t="str">
            <v>2025-06-03 00:00</v>
          </cell>
          <cell r="Y335">
            <v>45811</v>
          </cell>
          <cell r="Z335" t="str">
            <v/>
          </cell>
          <cell r="AA335">
            <v>45811</v>
          </cell>
          <cell r="AB335" t="str">
            <v>Jayme Truong Jun 3, 2025 3:20 PM</v>
          </cell>
          <cell r="AC335">
            <v>45811</v>
          </cell>
          <cell r="AD335">
            <v>45813</v>
          </cell>
          <cell r="AE335">
            <v>45874</v>
          </cell>
          <cell r="AF335">
            <v>45874</v>
          </cell>
          <cell r="AG335">
            <v>45875</v>
          </cell>
          <cell r="AH335" t="str">
            <v>Xuan's Pham</v>
          </cell>
          <cell r="AI335" t="str">
            <v/>
          </cell>
        </row>
        <row r="336">
          <cell r="C336">
            <v>83017</v>
          </cell>
          <cell r="D336" t="str">
            <v/>
          </cell>
          <cell r="E336" t="str">
            <v/>
          </cell>
          <cell r="F336" t="str">
            <v>Final</v>
          </cell>
          <cell r="G336" t="str">
            <v>Final Collected</v>
          </cell>
          <cell r="H336" t="str">
            <v>No</v>
          </cell>
          <cell r="I336" t="str">
            <v>Trevor Benthagen, Efrain Zarate</v>
          </cell>
          <cell r="J336" t="str">
            <v/>
          </cell>
          <cell r="K336" t="str">
            <v>https://panda-windows-and-doors.monday.com/protected_static/21046287/resources/2097813129/SIGNED SALES ORDER  Q#83017.pdf</v>
          </cell>
          <cell r="L336" t="str">
            <v>https://panda-windows-and-doors.monday.com/protected_static/21046287/resources/2097865934/SIGNED BACKER Q#83017.pdf</v>
          </cell>
          <cell r="M336" t="str">
            <v/>
          </cell>
          <cell r="N336" t="str">
            <v>https://panda-windows-and-doors.monday.com/protected_static/21046287/resources/2098334027/83017 Deposit Invoice.pdf</v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>
            <v>19028</v>
          </cell>
          <cell r="V336">
            <v>19029</v>
          </cell>
          <cell r="W336" t="str">
            <v>Annalene Conde Aug 21, 2025 3:48 PM</v>
          </cell>
          <cell r="X336" t="str">
            <v/>
          </cell>
          <cell r="Y336">
            <v>45770</v>
          </cell>
          <cell r="Z336" t="str">
            <v/>
          </cell>
          <cell r="AA336">
            <v>45869</v>
          </cell>
          <cell r="AB336" t="str">
            <v>Jayme Truong Apr 23, 2025 11:35 AM</v>
          </cell>
          <cell r="AC336">
            <v>45869</v>
          </cell>
          <cell r="AD336">
            <v>45770</v>
          </cell>
          <cell r="AE336">
            <v>45869</v>
          </cell>
          <cell r="AF336">
            <v>45869</v>
          </cell>
          <cell r="AG336">
            <v>45875</v>
          </cell>
          <cell r="AH336" t="str">
            <v>True DevCorp</v>
          </cell>
          <cell r="AI336" t="str">
            <v/>
          </cell>
        </row>
        <row r="337">
          <cell r="C337">
            <v>84698</v>
          </cell>
          <cell r="D337" t="str">
            <v/>
          </cell>
          <cell r="E337" t="str">
            <v/>
          </cell>
          <cell r="F337" t="str">
            <v>Final</v>
          </cell>
          <cell r="G337" t="str">
            <v>Final Collected</v>
          </cell>
          <cell r="H337" t="str">
            <v>No</v>
          </cell>
          <cell r="I337" t="str">
            <v>Mary Wursten</v>
          </cell>
          <cell r="J337" t="str">
            <v/>
          </cell>
          <cell r="K337" t="str">
            <v>https://panda-windows-and-doors.monday.com/protected_static/21046287/resources/2131341880/panda doors signed sales order.pdf</v>
          </cell>
          <cell r="L337" t="str">
            <v>https://panda-windows-and-doors.monday.com/protected_static/21046287/resources/2131344234/Campbell Res Signed Backer 050925.pdf</v>
          </cell>
          <cell r="M337" t="str">
            <v/>
          </cell>
          <cell r="N337" t="str">
            <v>https://panda-windows-and-doors.monday.com/protected_static/21046287/resources/2131926083/84698 Deposit Invoice.pdf</v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>
            <v>13736</v>
          </cell>
          <cell r="V337">
            <v>15876.68</v>
          </cell>
          <cell r="W337" t="str">
            <v>Annalene Conde Aug 21, 2025 2:46 PM</v>
          </cell>
          <cell r="X337" t="str">
            <v>2025-03-28 00:00</v>
          </cell>
          <cell r="Y337">
            <v>45786</v>
          </cell>
          <cell r="Z337" t="str">
            <v/>
          </cell>
          <cell r="AA337">
            <v>45786</v>
          </cell>
          <cell r="AB337" t="str">
            <v>Jayme Truong May 9, 2025 12:29 PM</v>
          </cell>
          <cell r="AC337">
            <v>45786</v>
          </cell>
          <cell r="AD337">
            <v>45791</v>
          </cell>
          <cell r="AE337">
            <v>45869</v>
          </cell>
          <cell r="AF337">
            <v>45869</v>
          </cell>
          <cell r="AG337">
            <v>45875</v>
          </cell>
          <cell r="AH337" t="str">
            <v>Tyler Miller</v>
          </cell>
          <cell r="AI337" t="str">
            <v/>
          </cell>
        </row>
        <row r="338">
          <cell r="C338">
            <v>85529</v>
          </cell>
          <cell r="D338" t="str">
            <v/>
          </cell>
          <cell r="E338" t="str">
            <v/>
          </cell>
          <cell r="F338" t="str">
            <v>Final</v>
          </cell>
          <cell r="G338" t="str">
            <v>Final Collected</v>
          </cell>
          <cell r="H338" t="str">
            <v>No</v>
          </cell>
          <cell r="I338" t="str">
            <v>Efrain Zarate, Trevor Benthagen</v>
          </cell>
          <cell r="J338" t="str">
            <v/>
          </cell>
          <cell r="K338" t="str">
            <v>https://panda-windows-and-doors.monday.com/protected_static/21046287/resources/2158313268/smtp.office365.com_20250522_054250.pdf</v>
          </cell>
          <cell r="L338" t="str">
            <v>https://panda-windows-and-doors.monday.com/protected_static/21046287/resources/2158313161/smtp.office365.com_20250522_054259.pdf</v>
          </cell>
          <cell r="M338" t="str">
            <v/>
          </cell>
          <cell r="N338" t="str">
            <v>https://panda-windows-and-doors.monday.com/protected_static/21046287/resources/2205666153/85529 Deposit Invoice.pdf</v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>
            <v>31666</v>
          </cell>
          <cell r="V338">
            <v>0</v>
          </cell>
          <cell r="W338" t="str">
            <v>Annalene Conde Aug 21, 2025 2:44 PM</v>
          </cell>
          <cell r="X338" t="str">
            <v>2025-05-22 00:00</v>
          </cell>
          <cell r="Y338">
            <v>45799</v>
          </cell>
          <cell r="Z338" t="str">
            <v/>
          </cell>
          <cell r="AA338">
            <v>45799</v>
          </cell>
          <cell r="AB338" t="str">
            <v>Jayme Truong May 22, 2025 8:32 AM</v>
          </cell>
          <cell r="AC338">
            <v>45799</v>
          </cell>
          <cell r="AD338">
            <v>45799</v>
          </cell>
          <cell r="AE338">
            <v>45877</v>
          </cell>
          <cell r="AF338">
            <v>45877</v>
          </cell>
          <cell r="AG338">
            <v>45877</v>
          </cell>
          <cell r="AH338" t="str">
            <v>GVS Construction</v>
          </cell>
          <cell r="AI338" t="str">
            <v/>
          </cell>
        </row>
        <row r="339">
          <cell r="C339">
            <v>83483</v>
          </cell>
          <cell r="D339" t="str">
            <v/>
          </cell>
          <cell r="E339" t="str">
            <v/>
          </cell>
          <cell r="F339" t="str">
            <v>Final</v>
          </cell>
          <cell r="G339" t="str">
            <v>Final Collected</v>
          </cell>
          <cell r="H339" t="str">
            <v>No</v>
          </cell>
          <cell r="I339" t="str">
            <v>Derrick McCall</v>
          </cell>
          <cell r="J339" t="str">
            <v/>
          </cell>
          <cell r="K339" t="str">
            <v>https://panda-windows-and-doors.monday.com/protected_static/21046287/resources/2111693803/QQ_83483 Conference Center 01212025.pdf</v>
          </cell>
          <cell r="L339" t="str">
            <v>https://panda-windows-and-doors.monday.com/protected_static/21046287/resources/2083341749/Q83483_signed.pdf</v>
          </cell>
          <cell r="M339" t="str">
            <v/>
          </cell>
          <cell r="N339" t="str">
            <v>https://panda-windows-and-doors.monday.com/protected_static/21046287/resources/2028983542/83483 Deposit Invoice.pdf</v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>
            <v>24662</v>
          </cell>
          <cell r="V339">
            <v>29309.24</v>
          </cell>
          <cell r="W339" t="str">
            <v>Annalene Conde Aug 21, 2025 3:42 PM</v>
          </cell>
          <cell r="X339" t="str">
            <v>2025-01-21 00:00</v>
          </cell>
          <cell r="Y339">
            <v>45736</v>
          </cell>
          <cell r="Z339" t="str">
            <v/>
          </cell>
          <cell r="AA339">
            <v>45736</v>
          </cell>
          <cell r="AB339" t="str">
            <v>Jayme Truong Mar 20, 2025 11:19 AM</v>
          </cell>
          <cell r="AC339">
            <v>45736</v>
          </cell>
          <cell r="AD339">
            <v>45740</v>
          </cell>
          <cell r="AE339">
            <v>45876</v>
          </cell>
          <cell r="AF339">
            <v>45876</v>
          </cell>
          <cell r="AG339">
            <v>45877</v>
          </cell>
          <cell r="AH339" t="str">
            <v>Pacific Glass Works</v>
          </cell>
          <cell r="AI339" t="str">
            <v/>
          </cell>
        </row>
        <row r="340">
          <cell r="C340">
            <v>83640</v>
          </cell>
          <cell r="D340" t="str">
            <v/>
          </cell>
          <cell r="E340" t="str">
            <v/>
          </cell>
          <cell r="F340" t="str">
            <v>Final</v>
          </cell>
          <cell r="G340" t="str">
            <v>Final Collected</v>
          </cell>
          <cell r="H340" t="str">
            <v>No</v>
          </cell>
          <cell r="I340" t="str">
            <v>Efrain Zarate, Trevor Benthagen</v>
          </cell>
          <cell r="J340" t="str">
            <v/>
          </cell>
          <cell r="K340" t="str">
            <v>https://panda-windows-and-doors.monday.com/protected_static/21046287/resources/2083769365/Q_83640 SIGNED SALES ORDER.pdf</v>
          </cell>
          <cell r="L340" t="str">
            <v>https://panda-windows-and-doors.monday.com/protected_static/21046287/resources/2083300674/Q_83640 SIGNED BACKER.pdf</v>
          </cell>
          <cell r="M340" t="str">
            <v/>
          </cell>
          <cell r="N340" t="str">
            <v>https://panda-windows-and-doors.monday.com/protected_static/21046287/resources/1935301923/83640 DEPOSIT INVOICE.pdf</v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>
            <v>10811</v>
          </cell>
          <cell r="V340">
            <v>12855.71</v>
          </cell>
          <cell r="W340" t="str">
            <v>Annalene Conde Aug 22, 2025 4:00 PM</v>
          </cell>
          <cell r="X340" t="str">
            <v>2025-01-31 00:00</v>
          </cell>
          <cell r="Y340">
            <v>45688</v>
          </cell>
          <cell r="Z340" t="str">
            <v/>
          </cell>
          <cell r="AA340">
            <v>45688</v>
          </cell>
          <cell r="AB340" t="str">
            <v>Jayme Truong Jan 31, 2025 3:43 PM</v>
          </cell>
          <cell r="AC340">
            <v>45688</v>
          </cell>
          <cell r="AD340">
            <v>45706</v>
          </cell>
          <cell r="AE340">
            <v>45854</v>
          </cell>
          <cell r="AF340">
            <v>45854</v>
          </cell>
          <cell r="AG340">
            <v>45877</v>
          </cell>
          <cell r="AH340" t="str">
            <v>AB Holdco, LLC</v>
          </cell>
          <cell r="AI340" t="str">
            <v/>
          </cell>
        </row>
        <row r="341">
          <cell r="C341">
            <v>81943</v>
          </cell>
          <cell r="D341" t="str">
            <v/>
          </cell>
          <cell r="E341" t="str">
            <v/>
          </cell>
          <cell r="F341" t="str">
            <v>Final</v>
          </cell>
          <cell r="G341" t="str">
            <v>Final Collected</v>
          </cell>
          <cell r="H341" t="str">
            <v>No</v>
          </cell>
          <cell r="I341" t="str">
            <v>Stefan Monetta</v>
          </cell>
          <cell r="J341" t="str">
            <v/>
          </cell>
          <cell r="K341" t="str">
            <v>https://panda-windows-and-doors.monday.com/protected_static/21046287/resources/1897975015/Panda Windows and Doors - Tucker Family - 010825 sales order.pdf</v>
          </cell>
          <cell r="L341" t="str">
            <v>https://panda-windows-and-doors.monday.com/protected_static/21046287/resources/2083541426/Accounting Copier_20250115_082133.pdf, https://panda-windows-and-doors.monday.com/protected_static/21046287/resources/2083541428/Accounting Copier_20250115_082133.pdf_Accounting Copier_20250115_082133.pdf</v>
          </cell>
          <cell r="M341" t="str">
            <v/>
          </cell>
          <cell r="N341" t="str">
            <v>https://panda-windows-and-doors.monday.com/protected_static/21046287/resources/1923805960/81943 DEPOSIT INVOICE.pdf</v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>
            <v>127252.5</v>
          </cell>
          <cell r="V341">
            <v>127252.5</v>
          </cell>
          <cell r="W341" t="str">
            <v>Annalene Conde Aug 21, 2025 3:40 PM</v>
          </cell>
          <cell r="X341" t="str">
            <v>2025-01-14 00:00</v>
          </cell>
          <cell r="Y341">
            <v>45672</v>
          </cell>
          <cell r="Z341" t="str">
            <v/>
          </cell>
          <cell r="AA341">
            <v>45684</v>
          </cell>
          <cell r="AB341" t="str">
            <v>Jayme Truong Jan 15, 2025 9:25 AM</v>
          </cell>
          <cell r="AC341">
            <v>45685</v>
          </cell>
          <cell r="AD341">
            <v>45691</v>
          </cell>
          <cell r="AE341">
            <v>45868</v>
          </cell>
          <cell r="AF341">
            <v>45868</v>
          </cell>
          <cell r="AG341">
            <v>45881</v>
          </cell>
          <cell r="AH341" t="str">
            <v>Heidi DeVerteuil</v>
          </cell>
          <cell r="AI341" t="str">
            <v/>
          </cell>
        </row>
        <row r="342">
          <cell r="C342">
            <v>85474</v>
          </cell>
          <cell r="D342">
            <v>45797</v>
          </cell>
          <cell r="E342" t="str">
            <v/>
          </cell>
          <cell r="F342" t="str">
            <v>Final</v>
          </cell>
          <cell r="G342" t="str">
            <v>Final Collected</v>
          </cell>
          <cell r="H342" t="str">
            <v>No</v>
          </cell>
          <cell r="I342" t="str">
            <v>Sean Torre</v>
          </cell>
          <cell r="J342" t="str">
            <v/>
          </cell>
          <cell r="K342" t="str">
            <v>https://panda-windows-and-doors.monday.com/protected_static/21046287/resources/2161195289/QQ#85474 (Sons Room ) 37 Painted Feather Way 05202025 (1) (1) (1).pdf</v>
          </cell>
          <cell r="L342" t="str">
            <v>https://panda-windows-and-doors.monday.com/protected_static/21046287/resources/2161195419/CamScanner 05-23-2025 10.38.pdf</v>
          </cell>
          <cell r="M342" t="str">
            <v/>
          </cell>
          <cell r="N342" t="str">
            <v>https://panda-windows-and-doors.monday.com/protected_static/21046287/resources/2161300339/85474 Revised Deposit Invoice.pdf</v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>
            <v>2665</v>
          </cell>
          <cell r="V342">
            <v>3111.39</v>
          </cell>
          <cell r="W342" t="str">
            <v>Annalene Conde Aug 22, 2025 3:59 PM</v>
          </cell>
          <cell r="X342" t="str">
            <v>2025-05-19 00:00</v>
          </cell>
          <cell r="Y342">
            <v>45797</v>
          </cell>
          <cell r="Z342" t="str">
            <v/>
          </cell>
          <cell r="AA342">
            <v>45797</v>
          </cell>
          <cell r="AB342" t="str">
            <v>Jayme Truong May 19, 2025 10:23 AM</v>
          </cell>
          <cell r="AC342">
            <v>45797</v>
          </cell>
          <cell r="AD342">
            <v>45807</v>
          </cell>
          <cell r="AE342">
            <v>45874</v>
          </cell>
          <cell r="AF342">
            <v>45874</v>
          </cell>
          <cell r="AG342">
            <v>45881</v>
          </cell>
          <cell r="AH342" t="str">
            <v>MP Service</v>
          </cell>
          <cell r="AI342">
            <v>45797</v>
          </cell>
        </row>
        <row r="343">
          <cell r="C343">
            <v>85745</v>
          </cell>
          <cell r="D343">
            <v>45821</v>
          </cell>
          <cell r="E343" t="str">
            <v/>
          </cell>
          <cell r="F343" t="str">
            <v>Final</v>
          </cell>
          <cell r="G343" t="str">
            <v>Final Collected</v>
          </cell>
          <cell r="H343" t="str">
            <v>No</v>
          </cell>
          <cell r="I343" t="str">
            <v>Sean Torre</v>
          </cell>
          <cell r="J343" t="str">
            <v/>
          </cell>
          <cell r="K343" t="str">
            <v>https://panda-windows-and-doors.monday.com/protected_static/21046287/resources/2166863353/Q85745 Signed Sales Order.docx</v>
          </cell>
          <cell r="L343" t="str">
            <v>https://panda-windows-and-doors.monday.com/protected_static/21046287/resources/2165868809/Signed Backer.pdf</v>
          </cell>
          <cell r="M343" t="str">
            <v/>
          </cell>
          <cell r="N343" t="str">
            <v>https://panda-windows-and-doors.monday.com/protected_static/21046287/resources/2211180929/85745 Deposit invoice Change order1.pdf</v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>
            <v>8000</v>
          </cell>
          <cell r="V343">
            <v>9763</v>
          </cell>
          <cell r="W343" t="str">
            <v>Annalene Conde Aug 21, 2025 3:49 PM</v>
          </cell>
          <cell r="X343" t="str">
            <v>2025-05-23 12:21</v>
          </cell>
          <cell r="Y343">
            <v>45818</v>
          </cell>
          <cell r="Z343" t="str">
            <v/>
          </cell>
          <cell r="AA343">
            <v>45818</v>
          </cell>
          <cell r="AB343" t="str">
            <v>Jayme Truong Jun 10, 2025 3:50 PM</v>
          </cell>
          <cell r="AC343">
            <v>45818</v>
          </cell>
          <cell r="AD343" t="str">
            <v/>
          </cell>
          <cell r="AE343">
            <v>45877</v>
          </cell>
          <cell r="AF343">
            <v>45880</v>
          </cell>
          <cell r="AG343">
            <v>45882</v>
          </cell>
          <cell r="AH343" t="str">
            <v>Jeff Johnson</v>
          </cell>
          <cell r="AI343">
            <v>45821</v>
          </cell>
        </row>
        <row r="344">
          <cell r="C344">
            <v>83537</v>
          </cell>
          <cell r="D344" t="str">
            <v/>
          </cell>
          <cell r="E344" t="str">
            <v/>
          </cell>
          <cell r="F344" t="str">
            <v>Final</v>
          </cell>
          <cell r="G344" t="str">
            <v>Final Collected</v>
          </cell>
          <cell r="H344" t="str">
            <v>No</v>
          </cell>
          <cell r="I344" t="str">
            <v>Efrain Zarate, Trevor Benthagen</v>
          </cell>
          <cell r="J344" t="str">
            <v/>
          </cell>
          <cell r="K344" t="str">
            <v>https://panda-windows-and-doors.monday.com/protected_static/21046287/resources/1991737046/Q#83537 SIGNED PROPOSAL.pdf</v>
          </cell>
          <cell r="L344" t="str">
            <v>https://panda-windows-and-doors.monday.com/protected_static/21046287/resources/2083327789/Q_83537 SIGNED BACKER.pdf</v>
          </cell>
          <cell r="M344" t="str">
            <v/>
          </cell>
          <cell r="N344" t="str">
            <v>https://panda-windows-and-doors.monday.com/protected_static/21046287/resources/1992493732/83537 Deposit Invoice.pdf</v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>
            <v>6444</v>
          </cell>
          <cell r="V344">
            <v>7570.62</v>
          </cell>
          <cell r="W344" t="str">
            <v>Annalene Conde Aug 22, 2025 3:59 PM</v>
          </cell>
          <cell r="X344" t="str">
            <v>2025-01-23 00:00</v>
          </cell>
          <cell r="Y344">
            <v>45719</v>
          </cell>
          <cell r="Z344" t="str">
            <v/>
          </cell>
          <cell r="AA344">
            <v>45719</v>
          </cell>
          <cell r="AB344" t="str">
            <v>Jayme Truong Mar 3, 2025 12:26 PM</v>
          </cell>
          <cell r="AC344">
            <v>45719</v>
          </cell>
          <cell r="AD344">
            <v>45719</v>
          </cell>
          <cell r="AE344">
            <v>45874</v>
          </cell>
          <cell r="AF344">
            <v>45874</v>
          </cell>
          <cell r="AG344">
            <v>45883</v>
          </cell>
          <cell r="AH344" t="str">
            <v>Covenant Group/Pacific Dental Services</v>
          </cell>
          <cell r="AI344" t="str">
            <v/>
          </cell>
        </row>
        <row r="345">
          <cell r="C345">
            <v>84564</v>
          </cell>
          <cell r="D345" t="str">
            <v/>
          </cell>
          <cell r="E345" t="str">
            <v/>
          </cell>
          <cell r="F345" t="str">
            <v>Final</v>
          </cell>
          <cell r="G345" t="str">
            <v>Final Collected</v>
          </cell>
          <cell r="H345" t="str">
            <v>No</v>
          </cell>
          <cell r="I345" t="str">
            <v>Sean Torre</v>
          </cell>
          <cell r="J345" t="str">
            <v/>
          </cell>
          <cell r="K345" t="str">
            <v>https://panda-windows-and-doors.monday.com/protected_static/21046287/resources/2179589812/McGee residence.pdf</v>
          </cell>
          <cell r="L345" t="str">
            <v>https://panda-windows-and-doors.monday.com/protected_static/21046287/resources/2179951835/CamScanner 06-02-2025 15.48.pdf</v>
          </cell>
          <cell r="M345" t="str">
            <v/>
          </cell>
          <cell r="N345" t="str">
            <v>https://panda-windows-and-doors.monday.com/protected_static/21046287/resources/2182222550/84564 deposit invoice.pdf</v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>
            <v>6519.5</v>
          </cell>
          <cell r="V345">
            <v>7947.47</v>
          </cell>
          <cell r="W345" t="str">
            <v>Annalene Conde Aug 22, 2025 4:00 PM</v>
          </cell>
          <cell r="X345" t="str">
            <v>2025-03-24 00:00</v>
          </cell>
          <cell r="Y345">
            <v>45810</v>
          </cell>
          <cell r="Z345" t="str">
            <v/>
          </cell>
          <cell r="AA345">
            <v>45810</v>
          </cell>
          <cell r="AB345" t="str">
            <v>Jayme Truong Jun 2, 2025 2:21 PM</v>
          </cell>
          <cell r="AC345">
            <v>45810</v>
          </cell>
          <cell r="AD345">
            <v>45811</v>
          </cell>
          <cell r="AE345">
            <v>45882</v>
          </cell>
          <cell r="AF345">
            <v>45882</v>
          </cell>
          <cell r="AG345">
            <v>45884</v>
          </cell>
          <cell r="AH345" t="str">
            <v>Raymond and Nopawan McGee</v>
          </cell>
          <cell r="AI345" t="str">
            <v/>
          </cell>
        </row>
        <row r="346">
          <cell r="C346" t="str">
            <v>Q 84933 Miller Res.</v>
          </cell>
          <cell r="D346" t="str">
            <v/>
          </cell>
          <cell r="E346" t="str">
            <v/>
          </cell>
          <cell r="F346" t="str">
            <v>Final</v>
          </cell>
          <cell r="G346" t="str">
            <v>Final Collected</v>
          </cell>
          <cell r="H346" t="str">
            <v>No</v>
          </cell>
          <cell r="I346" t="str">
            <v>Kevin Mann</v>
          </cell>
          <cell r="J346" t="str">
            <v/>
          </cell>
          <cell r="K346" t="str">
            <v>https://panda-windows-and-doors.monday.com/protected_static/21046287/resources/2089166371/Signed SO Q 84933 Miller Res page 1.PNG, https://panda-windows-and-doors.monday.com/protected_static/21046287/resources/2089166484/Signed SO Q 84933Miller Res page 2.PNG</v>
          </cell>
          <cell r="L346" t="str">
            <v>https://panda-windows-and-doors.monday.com/protected_static/21046287/resources/2089165904/Signed Backer Q 84933 Noah Miller.pdf</v>
          </cell>
          <cell r="M346" t="str">
            <v/>
          </cell>
          <cell r="N346" t="str">
            <v>https://panda-windows-and-doors.monday.com/protected_static/21046287/resources/2089305533/84933 Deposit Invoice.pdf</v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>
            <v>7281</v>
          </cell>
          <cell r="V346">
            <v>8206.25</v>
          </cell>
          <cell r="W346" t="str">
            <v>Annalene Conde Aug 22, 2025 3:58 PM</v>
          </cell>
          <cell r="X346" t="str">
            <v>2025-03-27 10:30</v>
          </cell>
          <cell r="Y346">
            <v>45762</v>
          </cell>
          <cell r="Z346" t="str">
            <v/>
          </cell>
          <cell r="AA346">
            <v>45761</v>
          </cell>
          <cell r="AB346" t="str">
            <v>Jayme Truong Apr 15, 2025 4:46 PM</v>
          </cell>
          <cell r="AC346">
            <v>45761</v>
          </cell>
          <cell r="AD346">
            <v>45764</v>
          </cell>
          <cell r="AE346">
            <v>45883</v>
          </cell>
          <cell r="AF346">
            <v>45883</v>
          </cell>
          <cell r="AG346">
            <v>45884</v>
          </cell>
          <cell r="AH346" t="str">
            <v>Noah Miller</v>
          </cell>
          <cell r="AI346" t="str">
            <v/>
          </cell>
        </row>
        <row r="347">
          <cell r="C347">
            <v>83878</v>
          </cell>
          <cell r="D347" t="str">
            <v/>
          </cell>
          <cell r="E347" t="str">
            <v/>
          </cell>
          <cell r="F347" t="str">
            <v>Final</v>
          </cell>
          <cell r="G347" t="str">
            <v>Final Collected</v>
          </cell>
          <cell r="H347" t="str">
            <v>No</v>
          </cell>
          <cell r="I347" t="str">
            <v>Derrick McCall</v>
          </cell>
          <cell r="J347" t="str">
            <v>Elizabet Lopez</v>
          </cell>
          <cell r="K347" t="str">
            <v>https://panda-windows-and-doors.monday.com/protected_static/21046287/resources/2083777939/QQ_83878 oft Bank 02202025.pdf</v>
          </cell>
          <cell r="L347" t="str">
            <v>https://panda-windows-and-doors.monday.com/protected_static/21046287/resources/2083326538/smtp.office365.com_20250226_124809.pdf</v>
          </cell>
          <cell r="M347" t="str">
            <v/>
          </cell>
          <cell r="N347" t="str">
            <v>https://panda-windows-and-doors.monday.com/protected_static/21046287/resources/1983631157/95337 DEPOSIT INVOICE.pdf</v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>
            <v>18743</v>
          </cell>
          <cell r="V347">
            <v>22348.23</v>
          </cell>
          <cell r="W347" t="str">
            <v>Annalene Conde Aug 22, 2025 3:59 PM</v>
          </cell>
          <cell r="X347" t="str">
            <v>2025-02-26 00:00</v>
          </cell>
          <cell r="Y347">
            <v>45714</v>
          </cell>
          <cell r="Z347" t="str">
            <v/>
          </cell>
          <cell r="AA347">
            <v>45714</v>
          </cell>
          <cell r="AB347" t="str">
            <v>Jayme Truong Feb 26, 2025 3:46 PM</v>
          </cell>
          <cell r="AC347">
            <v>45714</v>
          </cell>
          <cell r="AD347">
            <v>45723</v>
          </cell>
          <cell r="AE347">
            <v>45882</v>
          </cell>
          <cell r="AF347">
            <v>45882</v>
          </cell>
          <cell r="AG347">
            <v>45884</v>
          </cell>
          <cell r="AH347" t="str">
            <v>Valley Glazing Systems, Inc</v>
          </cell>
          <cell r="AI347" t="str">
            <v/>
          </cell>
        </row>
        <row r="348">
          <cell r="C348" t="str">
            <v>85742-R1</v>
          </cell>
          <cell r="D348" t="str">
            <v/>
          </cell>
          <cell r="E348" t="str">
            <v/>
          </cell>
          <cell r="F348" t="str">
            <v>Final</v>
          </cell>
          <cell r="G348" t="str">
            <v>Final Collected</v>
          </cell>
          <cell r="H348" t="str">
            <v>No</v>
          </cell>
          <cell r="I348" t="str">
            <v>Spencer Anderson</v>
          </cell>
          <cell r="J348" t="str">
            <v/>
          </cell>
          <cell r="K348" t="str">
            <v>https://panda-windows-and-doors.monday.com/protected_static/21046287/resources/2172516932/Q85742 signed sales order.pdf</v>
          </cell>
          <cell r="L348" t="str">
            <v>https://panda-windows-and-doors.monday.com/protected_static/21046287/resources/2172521161/Backer.pdf</v>
          </cell>
          <cell r="M348" t="str">
            <v/>
          </cell>
          <cell r="N348" t="str">
            <v>https://panda-windows-and-doors.monday.com/protected_static/21046287/resources/2174300000/85742-R1 deposit Invoice.pdf</v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>
            <v>10491</v>
          </cell>
          <cell r="V348">
            <v>10491</v>
          </cell>
          <cell r="W348" t="str">
            <v>Annalene Conde Aug 22, 2025 3:59 PM</v>
          </cell>
          <cell r="X348" t="str">
            <v/>
          </cell>
          <cell r="Y348">
            <v>45806</v>
          </cell>
          <cell r="Z348" t="str">
            <v/>
          </cell>
          <cell r="AA348">
            <v>45806</v>
          </cell>
          <cell r="AB348" t="str">
            <v>Jayme Truong May 29, 2025 2:50 PM</v>
          </cell>
          <cell r="AC348">
            <v>45806</v>
          </cell>
          <cell r="AD348">
            <v>45887</v>
          </cell>
          <cell r="AE348">
            <v>45876</v>
          </cell>
          <cell r="AF348">
            <v>45876</v>
          </cell>
          <cell r="AG348">
            <v>45887</v>
          </cell>
          <cell r="AH348" t="str">
            <v>Deana Wulf</v>
          </cell>
          <cell r="AI348" t="str">
            <v/>
          </cell>
        </row>
        <row r="349">
          <cell r="C349">
            <v>83836</v>
          </cell>
          <cell r="D349">
            <v>45761</v>
          </cell>
          <cell r="E349" t="str">
            <v/>
          </cell>
          <cell r="F349" t="str">
            <v>Final</v>
          </cell>
          <cell r="G349" t="str">
            <v>Final Collected</v>
          </cell>
          <cell r="H349" t="str">
            <v>No</v>
          </cell>
          <cell r="I349" t="str">
            <v>Sean Torre</v>
          </cell>
          <cell r="J349" t="str">
            <v/>
          </cell>
          <cell r="K349" t="str">
            <v>https://panda-windows-and-doors.monday.com/protected_static/21046287/resources/2038133463/original-2EC7A155-953D-4994-9D3B-8BD39557DD66.jpeg</v>
          </cell>
          <cell r="L349" t="str">
            <v>https://panda-windows-and-doors.monday.com/protected_static/21046287/resources/2083348687/Q_83836_Backer_CamScanner 03-25-2025 11.13 (1).pdf, https://panda-windows-and-doors.monday.com/protected_static/21046287/resources/2083348698/CamScanner 03-25-2025 11.13.pdf</v>
          </cell>
          <cell r="M349" t="str">
            <v/>
          </cell>
          <cell r="N349" t="str">
            <v>https://panda-windows-and-doors.monday.com/protected_static/21046287/resources/2038309263/83836 Deposit Invoice.pdf, https://panda-windows-and-doors.monday.com/protected_static/21046287/resources/2083423789/83836 Deposit Invoice CO 1.pdf</v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>
            <v>7345</v>
          </cell>
          <cell r="V349">
            <v>11237.61</v>
          </cell>
          <cell r="W349" t="str">
            <v>Annalene Conde Aug 22, 2025 3:58 PM</v>
          </cell>
          <cell r="X349" t="str">
            <v>2025-02-10 23:53</v>
          </cell>
          <cell r="Y349">
            <v>45762</v>
          </cell>
          <cell r="Z349" t="str">
            <v/>
          </cell>
          <cell r="AA349">
            <v>45761</v>
          </cell>
          <cell r="AB349" t="str">
            <v>Jayme Truong Mar 25, 2025 12:20 PM</v>
          </cell>
          <cell r="AC349">
            <v>45761</v>
          </cell>
          <cell r="AD349">
            <v>45755</v>
          </cell>
          <cell r="AE349">
            <v>45882</v>
          </cell>
          <cell r="AF349">
            <v>45882</v>
          </cell>
          <cell r="AG349">
            <v>45887</v>
          </cell>
          <cell r="AH349" t="str">
            <v>Thomas Barcia</v>
          </cell>
          <cell r="AI349">
            <v>45761</v>
          </cell>
        </row>
        <row r="350">
          <cell r="C350">
            <v>84584</v>
          </cell>
          <cell r="D350" t="str">
            <v/>
          </cell>
          <cell r="E350" t="str">
            <v/>
          </cell>
          <cell r="F350" t="str">
            <v>Final</v>
          </cell>
          <cell r="G350" t="str">
            <v>Final Collected</v>
          </cell>
          <cell r="H350" t="str">
            <v>No</v>
          </cell>
          <cell r="I350" t="str">
            <v>Stefan Monetta</v>
          </cell>
          <cell r="J350" t="str">
            <v/>
          </cell>
          <cell r="K350" t="str">
            <v>https://panda-windows-and-doors.monday.com/protected_static/21046287/resources/2066706515/Signed SO 84584 RI Navarre.pdf</v>
          </cell>
          <cell r="L350" t="str">
            <v>https://panda-windows-and-doors.monday.com/protected_static/21046287/resources/2083397942/Signed BRK 84584 RI Navarre - FlexCounter.pdf</v>
          </cell>
          <cell r="M350" t="str">
            <v/>
          </cell>
          <cell r="N350" t="str">
            <v>https://panda-windows-and-doors.monday.com/protected_static/21046287/resources/2068764978/84584 Deposit Invoice.pdf</v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>
            <v>10307</v>
          </cell>
          <cell r="V350">
            <v>10307</v>
          </cell>
          <cell r="W350" t="str">
            <v>Annalene Conde Aug 22, 2025 8:08 AM</v>
          </cell>
          <cell r="X350" t="str">
            <v>2025-04-07 14:20</v>
          </cell>
          <cell r="Y350">
            <v>45754</v>
          </cell>
          <cell r="Z350" t="str">
            <v/>
          </cell>
          <cell r="AA350">
            <v>45754</v>
          </cell>
          <cell r="AB350" t="str">
            <v>Jayme Truong Apr 7, 2025 3:29 PM</v>
          </cell>
          <cell r="AC350">
            <v>45755</v>
          </cell>
          <cell r="AD350">
            <v>45755</v>
          </cell>
          <cell r="AE350">
            <v>45884</v>
          </cell>
          <cell r="AF350">
            <v>45884</v>
          </cell>
          <cell r="AG350">
            <v>45887</v>
          </cell>
          <cell r="AH350" t="str">
            <v>Magic Glass Co.  - Joe Robertson</v>
          </cell>
          <cell r="AI350" t="str">
            <v/>
          </cell>
        </row>
        <row r="351">
          <cell r="C351">
            <v>83602</v>
          </cell>
          <cell r="D351" t="str">
            <v/>
          </cell>
          <cell r="E351" t="str">
            <v/>
          </cell>
          <cell r="F351" t="str">
            <v>Final</v>
          </cell>
          <cell r="G351" t="str">
            <v>Final Collected</v>
          </cell>
          <cell r="H351" t="str">
            <v>No</v>
          </cell>
          <cell r="I351" t="str">
            <v>Derrick McCall</v>
          </cell>
          <cell r="J351" t="str">
            <v/>
          </cell>
          <cell r="K351" t="str">
            <v>https://panda-windows-and-doors.monday.com/protected_static/21046287/resources/2014858412/smtp.office365.com_20250310_045526.pdf</v>
          </cell>
          <cell r="L351" t="str">
            <v>https://panda-windows-and-doors.monday.com/protected_static/21046287/resources/2083571498/smtp.office365.com_20250310_045505.pdf</v>
          </cell>
          <cell r="M351" t="str">
            <v/>
          </cell>
          <cell r="N351" t="str">
            <v>https://panda-windows-and-doors.monday.com/protected_static/21046287/resources/2059051653/83602 Deposit Invoice.pdf</v>
          </cell>
          <cell r="O351" t="str">
            <v/>
          </cell>
          <cell r="P351" t="str">
            <v/>
          </cell>
          <cell r="Q351" t="str">
            <v>https://panda-windows-and-doors.monday.com/protected_static/21046287/resources/2700692052/Service Form (70).pdf</v>
          </cell>
          <cell r="R351" t="str">
            <v/>
          </cell>
          <cell r="S351" t="str">
            <v/>
          </cell>
          <cell r="T351" t="str">
            <v/>
          </cell>
          <cell r="U351">
            <v>94005</v>
          </cell>
          <cell r="V351">
            <v>110832.71</v>
          </cell>
          <cell r="W351" t="str">
            <v>Jennifer Galindo Jan 21, 2026 4:03 PM</v>
          </cell>
          <cell r="X351" t="str">
            <v>2025-02-03 00:00</v>
          </cell>
          <cell r="Y351">
            <v>45726</v>
          </cell>
          <cell r="Z351" t="str">
            <v/>
          </cell>
          <cell r="AA351">
            <v>45869</v>
          </cell>
          <cell r="AB351" t="str">
            <v>Jayme Truong Mar 10, 2025 7:30 AM</v>
          </cell>
          <cell r="AC351">
            <v>45869</v>
          </cell>
          <cell r="AD351">
            <v>45729</v>
          </cell>
          <cell r="AE351">
            <v>45869</v>
          </cell>
          <cell r="AF351">
            <v>45869</v>
          </cell>
          <cell r="AG351">
            <v>45889</v>
          </cell>
          <cell r="AH351" t="str">
            <v>Diamond Glass and Aluminum</v>
          </cell>
          <cell r="AI351" t="str">
            <v/>
          </cell>
        </row>
        <row r="352">
          <cell r="C352">
            <v>85462</v>
          </cell>
          <cell r="D352" t="str">
            <v/>
          </cell>
          <cell r="E352" t="str">
            <v/>
          </cell>
          <cell r="F352" t="str">
            <v>Final</v>
          </cell>
          <cell r="G352" t="str">
            <v>Final Collected</v>
          </cell>
          <cell r="H352" t="str">
            <v>⚠️ Expedited</v>
          </cell>
          <cell r="I352" t="str">
            <v>Trevor Benthagen, Efrain Zarate</v>
          </cell>
          <cell r="J352" t="str">
            <v/>
          </cell>
          <cell r="K352" t="str">
            <v>https://panda-windows-and-doors.monday.com/protected_static/21046287/resources/2229279895/smtp.office365.com_20250625_124341.pdf, https://panda-windows-and-doors.monday.com/protected_static/21046287/resources/2229280881/Q_85462.jpg</v>
          </cell>
          <cell r="L352" t="str">
            <v>https://panda-windows-and-doors.monday.com/protected_static/21046287/resources/2233316602/smtp.office365.com_20250626_053816.pdf</v>
          </cell>
          <cell r="M352" t="str">
            <v/>
          </cell>
          <cell r="N352" t="str">
            <v>https://panda-windows-and-doors.monday.com/protected_static/21046287/resources/2235778952/85462 Deposit Invoice.pdf</v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>
            <v>2645</v>
          </cell>
          <cell r="V352">
            <v>3086.95</v>
          </cell>
          <cell r="W352" t="str">
            <v>Jennifer Galindo Aug 21, 2025 3:59 PM</v>
          </cell>
          <cell r="X352" t="str">
            <v>2025-05-08 09:00</v>
          </cell>
          <cell r="Y352">
            <v>45834</v>
          </cell>
          <cell r="Z352" t="str">
            <v/>
          </cell>
          <cell r="AA352">
            <v>45834</v>
          </cell>
          <cell r="AB352" t="str">
            <v>Jayme Truong Jun 26, 2025 8:18 AM</v>
          </cell>
          <cell r="AC352">
            <v>45834</v>
          </cell>
          <cell r="AD352">
            <v>45835</v>
          </cell>
          <cell r="AE352">
            <v>45889</v>
          </cell>
          <cell r="AF352">
            <v>45889</v>
          </cell>
          <cell r="AG352">
            <v>45889</v>
          </cell>
          <cell r="AH352" t="str">
            <v>Brandons Handyman's Services</v>
          </cell>
          <cell r="AI352" t="str">
            <v/>
          </cell>
        </row>
        <row r="353">
          <cell r="C353">
            <v>82115</v>
          </cell>
          <cell r="D353">
            <v>45811</v>
          </cell>
          <cell r="E353" t="str">
            <v/>
          </cell>
          <cell r="F353" t="str">
            <v>Final</v>
          </cell>
          <cell r="G353" t="str">
            <v>Final Collected</v>
          </cell>
          <cell r="H353" t="str">
            <v>No</v>
          </cell>
          <cell r="I353" t="str">
            <v>Sean Torre</v>
          </cell>
          <cell r="J353" t="str">
            <v/>
          </cell>
          <cell r="K353" t="str">
            <v>https://panda-windows-and-doors.monday.com/protected_static/21046287/resources/2108750135/QQ _82115 - Tanory Residence - 031825.pdf</v>
          </cell>
          <cell r="L353" t="str">
            <v>https://panda-windows-and-doors.monday.com/protected_static/21046287/resources/2083350336/Signed Backer.pdf</v>
          </cell>
          <cell r="M353" t="str">
            <v/>
          </cell>
          <cell r="N353" t="str">
            <v>https://panda-windows-and-doors.monday.com/protected_static/21046287/resources/2041468291/82115 Deposit Invoice.pdf, https://panda-windows-and-doors.monday.com/protected_static/21046287/resources/2185892680/82115 Deposit Invoice CO 1.pdf</v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>
            <v>12189</v>
          </cell>
          <cell r="V353">
            <v>16896.18</v>
          </cell>
          <cell r="W353" t="str">
            <v>Jennifer Galindo Aug 21, 2025 3:59 PM</v>
          </cell>
          <cell r="X353" t="str">
            <v>2025-03-26 00:00</v>
          </cell>
          <cell r="Y353">
            <v>45742</v>
          </cell>
          <cell r="Z353" t="str">
            <v/>
          </cell>
          <cell r="AA353">
            <v>45863</v>
          </cell>
          <cell r="AB353" t="str">
            <v>Jayme Truong Mar 26, 2025 1:33 PM</v>
          </cell>
          <cell r="AC353">
            <v>45863</v>
          </cell>
          <cell r="AD353">
            <v>45754</v>
          </cell>
          <cell r="AE353">
            <v>45863</v>
          </cell>
          <cell r="AF353">
            <v>45863</v>
          </cell>
          <cell r="AG353">
            <v>45889</v>
          </cell>
          <cell r="AH353" t="str">
            <v>Andrea Tanory</v>
          </cell>
          <cell r="AI353">
            <v>45811</v>
          </cell>
        </row>
        <row r="354">
          <cell r="C354">
            <v>84858</v>
          </cell>
          <cell r="D354" t="str">
            <v/>
          </cell>
          <cell r="E354" t="str">
            <v/>
          </cell>
          <cell r="F354" t="str">
            <v>Final</v>
          </cell>
          <cell r="G354" t="str">
            <v>Final Collected</v>
          </cell>
          <cell r="H354" t="str">
            <v>No</v>
          </cell>
          <cell r="I354" t="str">
            <v>Trevor Benthagen, Efrain Zarate</v>
          </cell>
          <cell r="J354" t="str">
            <v/>
          </cell>
          <cell r="K354" t="str">
            <v>https://panda-windows-and-doors.monday.com/protected_static/21046287/resources/2226238908/smtp.office365.com_20250623_142354.pdf</v>
          </cell>
          <cell r="L354" t="str">
            <v>https://panda-windows-and-doors.monday.com/protected_static/21046287/resources/2226239533/smtp.office365.com_20250623_142405.pdf</v>
          </cell>
          <cell r="M354" t="str">
            <v/>
          </cell>
          <cell r="N354" t="str">
            <v>https://panda-windows-and-doors.monday.com/protected_static/21046287/resources/2228632850/84858 Deposit Invoice.pdf</v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>
            <v>9933</v>
          </cell>
          <cell r="V354">
            <v>11595.7</v>
          </cell>
          <cell r="W354" t="str">
            <v>Annalene Conde Aug 22, 2025 3:57 PM</v>
          </cell>
          <cell r="X354" t="str">
            <v>2025-04-07 00:00</v>
          </cell>
          <cell r="Y354">
            <v>45831</v>
          </cell>
          <cell r="Z354" t="str">
            <v/>
          </cell>
          <cell r="AA354">
            <v>45831</v>
          </cell>
          <cell r="AB354" t="str">
            <v>Jayme Truong Jun 23, 2025 4:59 PM</v>
          </cell>
          <cell r="AC354">
            <v>45831</v>
          </cell>
          <cell r="AD354">
            <v>45833</v>
          </cell>
          <cell r="AE354">
            <v>45888</v>
          </cell>
          <cell r="AF354">
            <v>45888</v>
          </cell>
          <cell r="AG354">
            <v>45890</v>
          </cell>
          <cell r="AH354" t="str">
            <v>Art and Sue Nicholl</v>
          </cell>
          <cell r="AI354" t="str">
            <v/>
          </cell>
        </row>
        <row r="355">
          <cell r="C355">
            <v>85458</v>
          </cell>
          <cell r="D355" t="str">
            <v/>
          </cell>
          <cell r="E355" t="str">
            <v/>
          </cell>
          <cell r="F355" t="str">
            <v>Final</v>
          </cell>
          <cell r="G355" t="str">
            <v>Final Collected</v>
          </cell>
          <cell r="H355" t="str">
            <v>No</v>
          </cell>
          <cell r="I355" t="str">
            <v>Mary Wursten</v>
          </cell>
          <cell r="J355" t="str">
            <v/>
          </cell>
          <cell r="K355" t="str">
            <v>https://panda-windows-and-doors.monday.com/protected_static/21046287/resources/2145809243/3183 Danielle 5-16.pdf</v>
          </cell>
          <cell r="L355" t="str">
            <v>https://panda-windows-and-doors.monday.com/protected_static/21046287/resources/2145911226/3183 Danielle Folding Door Signed Backer 051625.pdf</v>
          </cell>
          <cell r="M355" t="str">
            <v/>
          </cell>
          <cell r="N355" t="str">
            <v>https://panda-windows-and-doors.monday.com/protected_static/21046287/resources/2146494498/85458 Deposit Invoice.pdf</v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>
            <v>5273</v>
          </cell>
          <cell r="V355">
            <v>5272</v>
          </cell>
          <cell r="W355" t="str">
            <v>Annalene Conde Aug 21, 2025 3:41 PM</v>
          </cell>
          <cell r="X355" t="str">
            <v>2025-05-08 00:00</v>
          </cell>
          <cell r="Y355">
            <v>45793</v>
          </cell>
          <cell r="Z355" t="str">
            <v/>
          </cell>
          <cell r="AA355">
            <v>45793</v>
          </cell>
          <cell r="AB355" t="str">
            <v>Jayme Truong May 16, 2025 7:18 AM</v>
          </cell>
          <cell r="AC355">
            <v>45793</v>
          </cell>
          <cell r="AD355">
            <v>45810</v>
          </cell>
          <cell r="AE355">
            <v>45883</v>
          </cell>
          <cell r="AF355">
            <v>45883</v>
          </cell>
          <cell r="AG355">
            <v>45890</v>
          </cell>
          <cell r="AH355" t="str">
            <v>Precision Glass</v>
          </cell>
          <cell r="AI355" t="str">
            <v/>
          </cell>
        </row>
        <row r="356">
          <cell r="C356">
            <v>84542</v>
          </cell>
          <cell r="D356" t="str">
            <v/>
          </cell>
          <cell r="E356" t="str">
            <v/>
          </cell>
          <cell r="F356" t="str">
            <v>Final</v>
          </cell>
          <cell r="G356" t="str">
            <v>Final Collected</v>
          </cell>
          <cell r="H356" t="str">
            <v>No</v>
          </cell>
          <cell r="I356" t="str">
            <v>Mary Wursten</v>
          </cell>
          <cell r="J356" t="str">
            <v/>
          </cell>
          <cell r="K356" t="str">
            <v>https://panda-windows-and-doors.monday.com/protected_static/21046287/resources/2045667655/Signed Sales Order 032825.pdf, https://panda-windows-and-doors.monday.com/protected_static/21046287/resources/2060234512/Signed Sales Order 040325.pdf</v>
          </cell>
          <cell r="L356" t="str">
            <v>https://panda-windows-and-doors.monday.com/protected_static/21046287/resources/2083354571/Signed Backer 032825.pdf, https://panda-windows-and-doors.monday.com/protected_static/21046287/resources/2083354577/Signed Backer 040325.pdf, https://panda-windows-and-doors.monday.com/protected_static/21046287/resources/2083354577/Signed Backer 040325.pdf, https://panda-windows-and-doors.monday.com/protected_static/21046287/resources/2083354573/#656 Starling 03272025.xlsx, https://panda-windows-and-doors.monday.com/protected_static/21046287/resources/2083354574/#656 Starling 03262025.xlsx</v>
          </cell>
          <cell r="M356" t="str">
            <v/>
          </cell>
          <cell r="N356" t="str">
            <v>https://panda-windows-and-doors.monday.com/protected_static/21046287/resources/2061814535/84542 Revised Deposit Invoice.pdf</v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>
            <v>5376</v>
          </cell>
          <cell r="V356">
            <v>5376</v>
          </cell>
          <cell r="W356" t="str">
            <v>Annalene Conde Aug 21, 2025 2:30 PM</v>
          </cell>
          <cell r="X356" t="str">
            <v/>
          </cell>
          <cell r="Y356">
            <v>45744</v>
          </cell>
          <cell r="Z356" t="str">
            <v/>
          </cell>
          <cell r="AA356">
            <v>45751</v>
          </cell>
          <cell r="AB356" t="str">
            <v>Jayme Truong Mar 28, 2025 7:23 AM</v>
          </cell>
          <cell r="AC356">
            <v>45751</v>
          </cell>
          <cell r="AD356">
            <v>45756</v>
          </cell>
          <cell r="AE356">
            <v>45883</v>
          </cell>
          <cell r="AF356">
            <v>45884</v>
          </cell>
          <cell r="AG356">
            <v>45890</v>
          </cell>
          <cell r="AH356" t="str">
            <v>Precision Glass Co.</v>
          </cell>
          <cell r="AI356" t="str">
            <v/>
          </cell>
        </row>
        <row r="357">
          <cell r="C357">
            <v>83629</v>
          </cell>
          <cell r="D357" t="str">
            <v/>
          </cell>
          <cell r="E357" t="str">
            <v/>
          </cell>
          <cell r="F357" t="str">
            <v>Final</v>
          </cell>
          <cell r="G357" t="str">
            <v>Final Collected</v>
          </cell>
          <cell r="H357" t="str">
            <v>No</v>
          </cell>
          <cell r="I357" t="str">
            <v>Trevor Benthagen, Efrain Zarate</v>
          </cell>
          <cell r="J357" t="str">
            <v/>
          </cell>
          <cell r="K357" t="str">
            <v>https://panda-windows-and-doors.monday.com/protected_static/21046287/resources/2184636771/smtp.office365.com_20250604_063458.pdf</v>
          </cell>
          <cell r="L357" t="str">
            <v>https://panda-windows-and-doors.monday.com/protected_static/21046287/resources/2184637005/smtp.office365.com_20250604_063507.pdf</v>
          </cell>
          <cell r="M357" t="str">
            <v/>
          </cell>
          <cell r="N357" t="str">
            <v>https://panda-windows-and-doors.monday.com/protected_static/21046287/resources/2185312697/83629 dEPOSIT INVOICE.pdf</v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>
            <v>19144</v>
          </cell>
          <cell r="V357">
            <v>22349.54</v>
          </cell>
          <cell r="W357" t="str">
            <v>George Bails Aug 26, 2025 1:00 PM</v>
          </cell>
          <cell r="X357" t="str">
            <v>2025-06-04 00:00</v>
          </cell>
          <cell r="Y357">
            <v>45812</v>
          </cell>
          <cell r="Z357" t="str">
            <v/>
          </cell>
          <cell r="AA357">
            <v>45812</v>
          </cell>
          <cell r="AB357" t="str">
            <v>Jayme Truong Jun 4, 2025 8:20 AM</v>
          </cell>
          <cell r="AC357">
            <v>45812</v>
          </cell>
          <cell r="AD357">
            <v>45814</v>
          </cell>
          <cell r="AE357">
            <v>45887</v>
          </cell>
          <cell r="AF357">
            <v>45887</v>
          </cell>
          <cell r="AG357">
            <v>45894</v>
          </cell>
          <cell r="AH357" t="str">
            <v>S &amp; K Glass and Metal Works</v>
          </cell>
          <cell r="AI357" t="str">
            <v/>
          </cell>
        </row>
        <row r="358">
          <cell r="C358">
            <v>85722</v>
          </cell>
          <cell r="D358" t="str">
            <v/>
          </cell>
          <cell r="E358" t="str">
            <v/>
          </cell>
          <cell r="F358" t="str">
            <v>Final</v>
          </cell>
          <cell r="G358" t="str">
            <v>Final Collected</v>
          </cell>
          <cell r="H358" t="str">
            <v>No</v>
          </cell>
          <cell r="I358" t="str">
            <v>Trevor Benthagen, Efrain Zarate</v>
          </cell>
          <cell r="J358" t="str">
            <v/>
          </cell>
          <cell r="K358" t="str">
            <v>https://panda-windows-and-doors.monday.com/protected_static/21046287/resources/2196144260/2587 Panda door order - Signed.pdf</v>
          </cell>
          <cell r="L358" t="str">
            <v>https://panda-windows-and-doors.monday.com/protected_static/21046287/resources/2198713060/smtp.office365.com_20250611_062348.pdf</v>
          </cell>
          <cell r="M358" t="str">
            <v/>
          </cell>
          <cell r="N358" t="str">
            <v>https://panda-windows-and-doors.monday.com/protected_static/21046287/resources/2196957215/85722 Deposit Invoice.pdf</v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>
            <v>12512</v>
          </cell>
          <cell r="V358">
            <v>14550.76</v>
          </cell>
          <cell r="W358" t="str">
            <v>George Bails Aug 26, 2025 12:53 PM</v>
          </cell>
          <cell r="X358" t="str">
            <v>2025-06-10 00:00</v>
          </cell>
          <cell r="Y358">
            <v>45818</v>
          </cell>
          <cell r="Z358" t="str">
            <v/>
          </cell>
          <cell r="AA358">
            <v>45818</v>
          </cell>
          <cell r="AB358" t="str">
            <v>Jayme Truong Jun 10, 2025 9:52 AM</v>
          </cell>
          <cell r="AC358">
            <v>45818</v>
          </cell>
          <cell r="AD358">
            <v>45818</v>
          </cell>
          <cell r="AE358">
            <v>45884</v>
          </cell>
          <cell r="AF358">
            <v>45884</v>
          </cell>
          <cell r="AG358">
            <v>45894</v>
          </cell>
          <cell r="AH358" t="str">
            <v>LifeStyle Custom Homes</v>
          </cell>
          <cell r="AI358" t="str">
            <v/>
          </cell>
        </row>
        <row r="359">
          <cell r="C359">
            <v>83914</v>
          </cell>
          <cell r="D359" t="str">
            <v/>
          </cell>
          <cell r="E359" t="str">
            <v/>
          </cell>
          <cell r="F359" t="str">
            <v>Final</v>
          </cell>
          <cell r="G359" t="str">
            <v>Final Collected</v>
          </cell>
          <cell r="H359" t="str">
            <v>No</v>
          </cell>
          <cell r="I359" t="str">
            <v>Derrick McCall</v>
          </cell>
          <cell r="J359" t="str">
            <v/>
          </cell>
          <cell r="K359" t="str">
            <v>https://panda-windows-and-doors.monday.com/protected_static/21046287/resources/2083785049/QQ_ 83914 - Law Office - 03122025.pdf</v>
          </cell>
          <cell r="L359" t="str">
            <v>https://panda-windows-and-doors.monday.com/protected_static/21046287/resources/2083335259/smtp.office365.com_20250312_135733.pdf</v>
          </cell>
          <cell r="M359" t="str">
            <v/>
          </cell>
          <cell r="N359" t="str">
            <v>https://panda-windows-and-doors.monday.com/protected_static/21046287/resources/2013801621/Deposit Invoice.pdf</v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>
            <v>16836</v>
          </cell>
          <cell r="V359">
            <v>19346.38</v>
          </cell>
          <cell r="W359" t="str">
            <v>George Bails Aug 26, 2025 1:04 PM</v>
          </cell>
          <cell r="X359" t="str">
            <v>2025-02-17 00:00</v>
          </cell>
          <cell r="Y359">
            <v>45728</v>
          </cell>
          <cell r="Z359" t="str">
            <v/>
          </cell>
          <cell r="AA359">
            <v>45728</v>
          </cell>
          <cell r="AB359" t="str">
            <v>Jayme Truong Mar 12, 2025 4:26 PM</v>
          </cell>
          <cell r="AC359">
            <v>45729</v>
          </cell>
          <cell r="AD359">
            <v>45733</v>
          </cell>
          <cell r="AE359">
            <v>45894</v>
          </cell>
          <cell r="AF359">
            <v>45894</v>
          </cell>
          <cell r="AG359">
            <v>45894</v>
          </cell>
          <cell r="AH359" t="str">
            <v>Shoreline Glazing</v>
          </cell>
          <cell r="AI359" t="str">
            <v/>
          </cell>
        </row>
        <row r="360">
          <cell r="C360">
            <v>84429</v>
          </cell>
          <cell r="D360">
            <v>45826</v>
          </cell>
          <cell r="E360" t="str">
            <v/>
          </cell>
          <cell r="F360" t="str">
            <v>Final</v>
          </cell>
          <cell r="G360" t="str">
            <v>Final Collected</v>
          </cell>
          <cell r="H360" t="str">
            <v>No</v>
          </cell>
          <cell r="I360" t="str">
            <v>Mary Wursten</v>
          </cell>
          <cell r="J360" t="str">
            <v/>
          </cell>
          <cell r="K360" t="str">
            <v>https://panda-windows-and-doors.monday.com/protected_static/21046287/resources/2122874282/QQ#84429 Smith 5-2-2025.pdf</v>
          </cell>
          <cell r="L360" t="str">
            <v>https://panda-windows-and-doors.monday.com/protected_static/21046287/resources/2123196638/Backer Smith 050625.pdf</v>
          </cell>
          <cell r="M360" t="str">
            <v/>
          </cell>
          <cell r="N360" t="str">
            <v>https://panda-windows-and-doors.monday.com/protected_static/21046287/resources/2123582258/84429 Deposit Invoice.pdf, https://panda-windows-and-doors.monday.com/protected_static/21046287/resources/2216525026/84429 Deposit Invoice CO 1.pdf</v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>
            <v>7151</v>
          </cell>
          <cell r="V360">
            <v>8350.25</v>
          </cell>
          <cell r="W360" t="str">
            <v>Annalene Conde Aug 26, 2025 8:52 AM</v>
          </cell>
          <cell r="X360" t="str">
            <v>2025-03-17 00:00</v>
          </cell>
          <cell r="Y360">
            <v>45783</v>
          </cell>
          <cell r="Z360" t="str">
            <v/>
          </cell>
          <cell r="AA360">
            <v>45783</v>
          </cell>
          <cell r="AB360" t="str">
            <v>Jayme Truong May 6, 2025 9:57 AM</v>
          </cell>
          <cell r="AC360">
            <v>45783</v>
          </cell>
          <cell r="AD360">
            <v>45784</v>
          </cell>
          <cell r="AE360">
            <v>45887</v>
          </cell>
          <cell r="AF360">
            <v>45887</v>
          </cell>
          <cell r="AG360">
            <v>45895</v>
          </cell>
          <cell r="AH360" t="str">
            <v>J Shuman Door Installation</v>
          </cell>
          <cell r="AI360">
            <v>45826</v>
          </cell>
        </row>
        <row r="361">
          <cell r="C361">
            <v>83055</v>
          </cell>
          <cell r="D361" t="str">
            <v/>
          </cell>
          <cell r="E361" t="str">
            <v/>
          </cell>
          <cell r="F361" t="str">
            <v>Final</v>
          </cell>
          <cell r="G361" t="str">
            <v>Final Collected</v>
          </cell>
          <cell r="H361" t="str">
            <v>No</v>
          </cell>
          <cell r="I361" t="str">
            <v>Sean Torre</v>
          </cell>
          <cell r="J361" t="str">
            <v/>
          </cell>
          <cell r="K361" t="str">
            <v>https://panda-windows-and-doors.monday.com/protected_static/21046287/resources/2150649570/Signed proposal &amp; Letter of Intent - 5.9.25.pdf, https://panda-windows-and-doors.monday.com/protected_static/21046287/resources/2371152592/Signed proposal &amp; Letter of Intent - 5.9.25.pdf</v>
          </cell>
          <cell r="L361" t="str">
            <v>https://panda-windows-and-doors.monday.com/protected_static/21046287/resources/2150650107/smtp.office365.com_20250508_132042.pdf, https://panda-windows-and-doors.monday.com/protected_static/21046287/resources/2371152781/smtp.office365.com_20250508_132042.pdf</v>
          </cell>
          <cell r="M361" t="str">
            <v/>
          </cell>
          <cell r="N361" t="str">
            <v>https://panda-windows-and-doors.monday.com/protected_static/21046287/resources/2152655609/83055 Deposit Invoice.pdf</v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>
            <v>53737.78</v>
          </cell>
          <cell r="V361">
            <v>57905.35</v>
          </cell>
          <cell r="W361" t="str">
            <v>George Bails Aug 26, 2025 12:21 PM</v>
          </cell>
          <cell r="X361" t="str">
            <v>2025-05-19 00:00, 2025-05-19 00:00</v>
          </cell>
          <cell r="Y361">
            <v>45796</v>
          </cell>
          <cell r="Z361" t="str">
            <v/>
          </cell>
          <cell r="AA361">
            <v>45796</v>
          </cell>
          <cell r="AB361" t="str">
            <v>Jayme Truong May 19, 2025 2:37 PM</v>
          </cell>
          <cell r="AC361">
            <v>45797</v>
          </cell>
          <cell r="AD361">
            <v>45852</v>
          </cell>
          <cell r="AE361">
            <v>45889</v>
          </cell>
          <cell r="AF361">
            <v>45889</v>
          </cell>
          <cell r="AG361">
            <v>45895</v>
          </cell>
          <cell r="AH361" t="str">
            <v>Haley-Greer, Inc., Haley-Greer, Inc.</v>
          </cell>
          <cell r="AI361" t="str">
            <v/>
          </cell>
        </row>
        <row r="362">
          <cell r="C362">
            <v>85356</v>
          </cell>
          <cell r="D362" t="str">
            <v/>
          </cell>
          <cell r="E362" t="str">
            <v/>
          </cell>
          <cell r="F362" t="str">
            <v>Final</v>
          </cell>
          <cell r="G362" t="str">
            <v>Final Collected</v>
          </cell>
          <cell r="H362" t="str">
            <v>No</v>
          </cell>
          <cell r="I362" t="str">
            <v>Mary Wursten</v>
          </cell>
          <cell r="J362" t="str">
            <v/>
          </cell>
          <cell r="K362" t="str">
            <v>https://panda-windows-and-doors.monday.com/protected_static/21046287/resources/2128229219/85356_Signed Sales Order.pdf</v>
          </cell>
          <cell r="L362" t="str">
            <v>https://panda-windows-and-doors.monday.com/protected_static/21046287/resources/2128253901/85356_signed backer_050825.pdf</v>
          </cell>
          <cell r="M362" t="str">
            <v/>
          </cell>
          <cell r="N362" t="str">
            <v>https://panda-windows-and-doors.monday.com/protected_static/21046287/resources/2359412572/85356 Deposit Invoice 001.pdf</v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>
            <v>9273</v>
          </cell>
          <cell r="V362">
            <v>10833.46</v>
          </cell>
          <cell r="W362" t="str">
            <v>George Bails Aug 26, 2025 4:33 PM</v>
          </cell>
          <cell r="X362" t="str">
            <v>2024-11-21 12:53</v>
          </cell>
          <cell r="Y362">
            <v>45785</v>
          </cell>
          <cell r="Z362" t="str">
            <v/>
          </cell>
          <cell r="AA362">
            <v>45785</v>
          </cell>
          <cell r="AB362" t="str">
            <v>Jayme Truong May 8, 2025 7:50 AM</v>
          </cell>
          <cell r="AC362">
            <v>45785</v>
          </cell>
          <cell r="AD362">
            <v>45895</v>
          </cell>
          <cell r="AE362">
            <v>45884</v>
          </cell>
          <cell r="AF362">
            <v>45887</v>
          </cell>
          <cell r="AG362">
            <v>45895</v>
          </cell>
          <cell r="AH362" t="str">
            <v>Dennis Lemmons</v>
          </cell>
          <cell r="AI362" t="str">
            <v/>
          </cell>
        </row>
        <row r="363">
          <cell r="C363">
            <v>83707</v>
          </cell>
          <cell r="D363" t="str">
            <v/>
          </cell>
          <cell r="E363" t="str">
            <v/>
          </cell>
          <cell r="F363" t="str">
            <v>Final</v>
          </cell>
          <cell r="G363" t="str">
            <v>Final Collected</v>
          </cell>
          <cell r="H363" t="str">
            <v>No</v>
          </cell>
          <cell r="I363" t="str">
            <v>Stefan Monetta</v>
          </cell>
          <cell r="J363" t="str">
            <v/>
          </cell>
          <cell r="K363" t="str">
            <v>https://panda-windows-and-doors.monday.com/protected_static/21046287/resources/2111558058/QQ _83707 - 24 Cardinal - 031425.pdf</v>
          </cell>
          <cell r="L363" t="str">
            <v>https://panda-windows-and-doors.monday.com/protected_static/21046287/resources/2083422087/Image (90).jpg</v>
          </cell>
          <cell r="M363" t="str">
            <v/>
          </cell>
          <cell r="N363" t="str">
            <v>https://panda-windows-and-doors.monday.com/protected_static/21046287/resources/2077916269/83707 Deposit Invoice.pdf</v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>
            <v>54045</v>
          </cell>
          <cell r="V363">
            <v>49346</v>
          </cell>
          <cell r="W363" t="str">
            <v>George Bails Aug 29, 2025 9:32 AM</v>
          </cell>
          <cell r="X363" t="str">
            <v>2025-04-11 00:00</v>
          </cell>
          <cell r="Y363">
            <v>45758</v>
          </cell>
          <cell r="Z363" t="str">
            <v/>
          </cell>
          <cell r="AA363">
            <v>45758</v>
          </cell>
          <cell r="AB363" t="str">
            <v>Jayme Truong Apr 11, 2025 8:16 AM</v>
          </cell>
          <cell r="AC363">
            <v>45758</v>
          </cell>
          <cell r="AD363">
            <v>45762</v>
          </cell>
          <cell r="AE363">
            <v>45889</v>
          </cell>
          <cell r="AF363">
            <v>45889</v>
          </cell>
          <cell r="AG363">
            <v>45896</v>
          </cell>
          <cell r="AH363" t="str">
            <v>E &amp; D Quality Install, Inc.</v>
          </cell>
          <cell r="AI363" t="str">
            <v/>
          </cell>
        </row>
        <row r="364">
          <cell r="C364">
            <v>85384</v>
          </cell>
          <cell r="D364" t="str">
            <v/>
          </cell>
          <cell r="E364" t="str">
            <v/>
          </cell>
          <cell r="F364" t="str">
            <v>Final</v>
          </cell>
          <cell r="G364" t="str">
            <v>Final Collected</v>
          </cell>
          <cell r="H364" t="str">
            <v>No</v>
          </cell>
          <cell r="I364" t="str">
            <v>Mary Wursten</v>
          </cell>
          <cell r="J364" t="str">
            <v/>
          </cell>
          <cell r="K364" t="str">
            <v>https://panda-windows-and-doors.monday.com/protected_static/21046287/resources/2141587531/2025-05-14_115630.pdf</v>
          </cell>
          <cell r="L364" t="str">
            <v>https://panda-windows-and-doors.monday.com/protected_static/21046287/resources/2141587656/Karadeniz Door_Signed Backer_051425.pdf</v>
          </cell>
          <cell r="M364" t="str">
            <v/>
          </cell>
          <cell r="N364" t="str">
            <v>https://panda-windows-and-doors.monday.com/protected_static/21046287/resources/2144173815/85384 deposit invoice.pdf</v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>
            <v>12188</v>
          </cell>
          <cell r="V364">
            <v>14316.23</v>
          </cell>
          <cell r="W364" t="str">
            <v>George Bails Aug 29, 2025 9:28 AM</v>
          </cell>
          <cell r="X364" t="str">
            <v>2025-04-15 08:46</v>
          </cell>
          <cell r="Y364">
            <v>45791</v>
          </cell>
          <cell r="Z364" t="str">
            <v/>
          </cell>
          <cell r="AA364">
            <v>45791</v>
          </cell>
          <cell r="AB364" t="str">
            <v>Jayme Truong May 14, 2025 3:30 PM</v>
          </cell>
          <cell r="AC364">
            <v>45792</v>
          </cell>
          <cell r="AD364">
            <v>45793</v>
          </cell>
          <cell r="AE364" t="str">
            <v/>
          </cell>
          <cell r="AF364">
            <v>45895</v>
          </cell>
          <cell r="AG364">
            <v>45896</v>
          </cell>
          <cell r="AH364" t="str">
            <v>AYDIN KARADENIZ</v>
          </cell>
          <cell r="AI364" t="str">
            <v/>
          </cell>
        </row>
        <row r="365">
          <cell r="C365">
            <v>86206</v>
          </cell>
          <cell r="D365" t="str">
            <v/>
          </cell>
          <cell r="E365" t="str">
            <v/>
          </cell>
          <cell r="F365" t="str">
            <v>Final</v>
          </cell>
          <cell r="G365" t="str">
            <v>Final Collected</v>
          </cell>
          <cell r="H365" t="str">
            <v>No</v>
          </cell>
          <cell r="I365" t="str">
            <v>Trevor Benthagen, Efrain Zarate</v>
          </cell>
          <cell r="J365" t="str">
            <v/>
          </cell>
          <cell r="K365" t="str">
            <v>https://panda-windows-and-doors.monday.com/protected_static/21046287/resources/2240477948/smtp.office365.com_20250626_125450.pdf</v>
          </cell>
          <cell r="L365" t="str">
            <v>https://panda-windows-and-doors.monday.com/protected_static/21046287/resources/2240483900/smtp.office365.com_20250626_125438.pdf</v>
          </cell>
          <cell r="M365" t="str">
            <v/>
          </cell>
          <cell r="N365" t="str">
            <v>https://panda-windows-and-doors.monday.com/protected_static/21046287/resources/2241342241/86206 Deposit Invoice.pdf</v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>
            <v>21750</v>
          </cell>
          <cell r="V365">
            <v>25393.11</v>
          </cell>
          <cell r="W365" t="str">
            <v>George Bails Aug 29, 2025 9:05 AM</v>
          </cell>
          <cell r="X365" t="str">
            <v>2025-06-21 04:58</v>
          </cell>
          <cell r="Y365">
            <v>45834</v>
          </cell>
          <cell r="Z365" t="str">
            <v/>
          </cell>
          <cell r="AA365">
            <v>45834</v>
          </cell>
          <cell r="AB365" t="str">
            <v>Jayme Truong Jun 26, 2025 3:28 PM</v>
          </cell>
          <cell r="AC365">
            <v>45834</v>
          </cell>
          <cell r="AD365">
            <v>45835</v>
          </cell>
          <cell r="AE365">
            <v>45895</v>
          </cell>
          <cell r="AF365">
            <v>45895</v>
          </cell>
          <cell r="AG365">
            <v>45896</v>
          </cell>
          <cell r="AH365" t="str">
            <v>Amir Merikhian</v>
          </cell>
          <cell r="AI365" t="str">
            <v/>
          </cell>
        </row>
        <row r="366">
          <cell r="C366">
            <v>85809</v>
          </cell>
          <cell r="D366" t="str">
            <v/>
          </cell>
          <cell r="E366" t="str">
            <v/>
          </cell>
          <cell r="F366" t="str">
            <v>Final</v>
          </cell>
          <cell r="G366" t="str">
            <v>Final Collected</v>
          </cell>
          <cell r="H366" t="str">
            <v>No</v>
          </cell>
          <cell r="I366" t="str">
            <v>Spencer Anderson</v>
          </cell>
          <cell r="J366" t="str">
            <v/>
          </cell>
          <cell r="K366" t="str">
            <v>https://panda-windows-and-doors.monday.com/protected_static/21046287/resources/2181530337/QQ #85809 - SPW_Liebler 2 - 05292025 signed.pdf</v>
          </cell>
          <cell r="L366" t="str">
            <v>https://panda-windows-and-doors.monday.com/protected_static/21046287/resources/2181541285/Liebler 2 Backer.pdf</v>
          </cell>
          <cell r="M366" t="str">
            <v/>
          </cell>
          <cell r="N366" t="str">
            <v>https://panda-windows-and-doors.monday.com/protected_static/21046287/resources/2182872742/85809 DEPOSIT INVOICE.pdf</v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>
            <v>5571.72</v>
          </cell>
          <cell r="V366">
            <v>5684.28</v>
          </cell>
          <cell r="W366" t="str">
            <v>George Bails Aug 29, 2025 9:25 AM</v>
          </cell>
          <cell r="X366" t="str">
            <v/>
          </cell>
          <cell r="Y366">
            <v>45811</v>
          </cell>
          <cell r="Z366" t="str">
            <v/>
          </cell>
          <cell r="AA366">
            <v>45811</v>
          </cell>
          <cell r="AB366" t="str">
            <v>Jayme Truong Jun 3, 2025 8:32 AM</v>
          </cell>
          <cell r="AC366">
            <v>45811</v>
          </cell>
          <cell r="AD366">
            <v>45840</v>
          </cell>
          <cell r="AE366">
            <v>45888</v>
          </cell>
          <cell r="AF366">
            <v>45888</v>
          </cell>
          <cell r="AG366">
            <v>45896</v>
          </cell>
          <cell r="AH366" t="str">
            <v>Lyle Belnap</v>
          </cell>
          <cell r="AI366" t="str">
            <v/>
          </cell>
        </row>
        <row r="367">
          <cell r="C367">
            <v>85322</v>
          </cell>
          <cell r="D367" t="str">
            <v/>
          </cell>
          <cell r="E367" t="str">
            <v/>
          </cell>
          <cell r="F367" t="str">
            <v>Final</v>
          </cell>
          <cell r="G367" t="str">
            <v>Final Collected</v>
          </cell>
          <cell r="H367" t="str">
            <v>No</v>
          </cell>
          <cell r="I367" t="str">
            <v>Efrain Zarate, Trevor Benthagen</v>
          </cell>
          <cell r="J367" t="str">
            <v/>
          </cell>
          <cell r="K367" t="str">
            <v>https://panda-windows-and-doors.monday.com/protected_static/21046287/resources/2191104237/smtp.office365.com_20250606_125744.pdf</v>
          </cell>
          <cell r="L367" t="str">
            <v>https://panda-windows-and-doors.monday.com/protected_static/21046287/resources/2191104147/Q#85322 SIGNED BACKER.pdf</v>
          </cell>
          <cell r="M367" t="str">
            <v/>
          </cell>
          <cell r="N367" t="str">
            <v>https://panda-windows-and-doors.monday.com/protected_static/21046287/resources/2191139453/85322 Deposit Invoice.pdf</v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>
            <v>16107.78</v>
          </cell>
          <cell r="V367">
            <v>0</v>
          </cell>
          <cell r="W367" t="str">
            <v>George Bails Aug 29, 2025 4:43 PM</v>
          </cell>
          <cell r="X367" t="str">
            <v>2025-04-30 00:00</v>
          </cell>
          <cell r="Y367">
            <v>45814</v>
          </cell>
          <cell r="Z367" t="str">
            <v/>
          </cell>
          <cell r="AA367">
            <v>45814</v>
          </cell>
          <cell r="AB367" t="str">
            <v>Jayme Truong Jun 6, 2025 3:30 PM</v>
          </cell>
          <cell r="AC367">
            <v>45814</v>
          </cell>
          <cell r="AD367">
            <v>45819</v>
          </cell>
          <cell r="AE367" t="str">
            <v/>
          </cell>
          <cell r="AF367" t="str">
            <v/>
          </cell>
          <cell r="AG367">
            <v>45897</v>
          </cell>
          <cell r="AH367" t="str">
            <v>Glass House LLC</v>
          </cell>
          <cell r="AI367" t="str">
            <v/>
          </cell>
        </row>
        <row r="368">
          <cell r="C368">
            <v>83885</v>
          </cell>
          <cell r="D368" t="str">
            <v/>
          </cell>
          <cell r="E368" t="str">
            <v/>
          </cell>
          <cell r="F368" t="str">
            <v>Final</v>
          </cell>
          <cell r="G368" t="str">
            <v>Final Collected</v>
          </cell>
          <cell r="H368" t="str">
            <v>No</v>
          </cell>
          <cell r="I368" t="str">
            <v>Luke Valles</v>
          </cell>
          <cell r="J368" t="str">
            <v/>
          </cell>
          <cell r="K368" t="str">
            <v>https://panda-windows-and-doors.monday.com/protected_static/21046287/resources/2083785103/Panda Door Quote _83885 3-13-25.pdf</v>
          </cell>
          <cell r="L368" t="str">
            <v>https://panda-windows-and-doors.monday.com/protected_static/21046287/resources/2083338921/83885 Julie Constable Swing - Signed Backer.pdf</v>
          </cell>
          <cell r="M368" t="str">
            <v/>
          </cell>
          <cell r="N368" t="str">
            <v>https://panda-windows-and-doors.monday.com/protected_static/21046287/resources/2019663813/Deposit Invoice.pdf</v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>
            <v>10627</v>
          </cell>
          <cell r="V368">
            <v>11886.02</v>
          </cell>
          <cell r="W368" t="str">
            <v>George Bails Aug 29, 2025 8:28 AM</v>
          </cell>
          <cell r="X368" t="str">
            <v>2025-03-17 00:00</v>
          </cell>
          <cell r="Y368">
            <v>45733</v>
          </cell>
          <cell r="Z368" t="str">
            <v/>
          </cell>
          <cell r="AA368">
            <v>45733</v>
          </cell>
          <cell r="AB368" t="str">
            <v>Jayme Truong Mar 17, 2025 9:01 AM</v>
          </cell>
          <cell r="AC368">
            <v>45733</v>
          </cell>
          <cell r="AD368">
            <v>45734</v>
          </cell>
          <cell r="AE368" t="str">
            <v/>
          </cell>
          <cell r="AF368">
            <v>45896</v>
          </cell>
          <cell r="AG368">
            <v>45897</v>
          </cell>
          <cell r="AH368" t="str">
            <v>Julie Constable</v>
          </cell>
          <cell r="AI368" t="str">
            <v/>
          </cell>
        </row>
        <row r="369">
          <cell r="C369">
            <v>85723</v>
          </cell>
          <cell r="D369" t="str">
            <v/>
          </cell>
          <cell r="E369" t="str">
            <v/>
          </cell>
          <cell r="F369" t="str">
            <v>Final</v>
          </cell>
          <cell r="G369" t="str">
            <v>Final Collected</v>
          </cell>
          <cell r="H369" t="str">
            <v>No</v>
          </cell>
          <cell r="I369" t="str">
            <v>Efrain Zarate, Trevor Benthagen</v>
          </cell>
          <cell r="J369" t="str">
            <v/>
          </cell>
          <cell r="K369" t="str">
            <v>https://panda-windows-and-doors.monday.com/protected_static/21046287/resources/2178711939/smtp.office365.com_20250602_071948.pdf</v>
          </cell>
          <cell r="L369" t="str">
            <v>https://panda-windows-and-doors.monday.com/protected_static/21046287/resources/2178711611/smtp.office365.com_20250602_071956.pdf</v>
          </cell>
          <cell r="M369" t="str">
            <v/>
          </cell>
          <cell r="N369" t="str">
            <v>https://panda-windows-and-doors.monday.com/protected_static/21046287/resources/2178919485/Estimate 9714.pdf</v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>
            <v>14970</v>
          </cell>
          <cell r="V369">
            <v>17218.47</v>
          </cell>
          <cell r="W369" t="str">
            <v>George Bails Aug 29, 2025 8:33 AM</v>
          </cell>
          <cell r="X369" t="str">
            <v>2025-06-02 00:00</v>
          </cell>
          <cell r="Y369">
            <v>45810</v>
          </cell>
          <cell r="Z369" t="str">
            <v/>
          </cell>
          <cell r="AA369">
            <v>45810</v>
          </cell>
          <cell r="AB369" t="str">
            <v>Jayme Truong Jun 2, 2025 9:51 AM</v>
          </cell>
          <cell r="AC369">
            <v>45810</v>
          </cell>
          <cell r="AD369">
            <v>45817</v>
          </cell>
          <cell r="AE369">
            <v>45897</v>
          </cell>
          <cell r="AF369">
            <v>45897</v>
          </cell>
          <cell r="AG369">
            <v>45897</v>
          </cell>
          <cell r="AH369" t="str">
            <v>New Freedom Properties</v>
          </cell>
          <cell r="AI369" t="str">
            <v/>
          </cell>
        </row>
        <row r="370">
          <cell r="C370">
            <v>83688</v>
          </cell>
          <cell r="D370" t="str">
            <v/>
          </cell>
          <cell r="E370" t="str">
            <v/>
          </cell>
          <cell r="F370" t="str">
            <v>Final</v>
          </cell>
          <cell r="G370" t="str">
            <v>Final Collected</v>
          </cell>
          <cell r="H370" t="str">
            <v>No</v>
          </cell>
          <cell r="I370" t="str">
            <v>Luke Valles</v>
          </cell>
          <cell r="J370" t="str">
            <v/>
          </cell>
          <cell r="K370" t="str">
            <v>https://panda-windows-and-doors.monday.com/protected_static/21046287/resources/2083787057/83688 - 711 7th Ave - 33rd Floor - SIGNED PROPOSAL.pdf</v>
          </cell>
          <cell r="L370" t="str">
            <v>https://panda-windows-and-doors.monday.com/protected_static/21046287/resources/2083326873/83688 - 711 7th Ave - 33rd Floor - SIGNED BACKER.pdf</v>
          </cell>
          <cell r="M370" t="str">
            <v/>
          </cell>
          <cell r="N370" t="str">
            <v>https://panda-windows-and-doors.monday.com/protected_static/21046287/resources/1992454058/83688 Deposit Invoice.pdf</v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>
            <v>10374</v>
          </cell>
          <cell r="V370">
            <v>11935.83</v>
          </cell>
          <cell r="W370" t="str">
            <v>George Bails Aug 29, 2025 3:39 PM</v>
          </cell>
          <cell r="X370" t="str">
            <v>2025-03-03 00:00</v>
          </cell>
          <cell r="Y370">
            <v>45719</v>
          </cell>
          <cell r="Z370" t="str">
            <v/>
          </cell>
          <cell r="AA370">
            <v>45719</v>
          </cell>
          <cell r="AB370" t="str">
            <v>Jayme Truong Mar 3, 2025 11:04 AM</v>
          </cell>
          <cell r="AC370">
            <v>45719</v>
          </cell>
          <cell r="AD370">
            <v>45737</v>
          </cell>
          <cell r="AE370">
            <v>45889</v>
          </cell>
          <cell r="AF370">
            <v>45889</v>
          </cell>
          <cell r="AG370">
            <v>45898</v>
          </cell>
          <cell r="AH370" t="str">
            <v>Vista Skywall Systems LTD</v>
          </cell>
          <cell r="AI370" t="str">
            <v/>
          </cell>
        </row>
        <row r="371">
          <cell r="C371">
            <v>81973</v>
          </cell>
          <cell r="D371">
            <v>45824</v>
          </cell>
          <cell r="E371" t="str">
            <v/>
          </cell>
          <cell r="F371" t="str">
            <v>Final</v>
          </cell>
          <cell r="G371" t="str">
            <v>Final Collected</v>
          </cell>
          <cell r="H371" t="str">
            <v>No</v>
          </cell>
          <cell r="I371" t="str">
            <v>Luke Valles</v>
          </cell>
          <cell r="J371" t="str">
            <v/>
          </cell>
          <cell r="K371" t="str">
            <v>https://panda-windows-and-doors.monday.com/protected_static/21046287/resources/2083762625/Q_81973 - Lift and Slide - Signed 12.10.24.pdf</v>
          </cell>
          <cell r="L371" t="str">
            <v>https://panda-windows-and-doors.monday.com/protected_static/21046287/resources/2083287657/711 7th Ave - 11192024.pdf</v>
          </cell>
          <cell r="M371" t="str">
            <v/>
          </cell>
          <cell r="N371" t="str">
            <v>https://panda-windows-and-doors.monday.com/protected_static/21046287/resources/1907263716/81973 Deposit Invoice.pdf, https://panda-windows-and-doors.monday.com/protected_static/21046287/resources/2210766461/81973 Deposit Invoice CO 1.pdf</v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>
            <v>19335</v>
          </cell>
          <cell r="V371">
            <v>20311.34</v>
          </cell>
          <cell r="W371" t="str">
            <v>Sean Lopez Mar 13, 2026 11:26 AM</v>
          </cell>
          <cell r="X371" t="str">
            <v>2025-01-17 00:00</v>
          </cell>
          <cell r="Y371">
            <v>45674</v>
          </cell>
          <cell r="Z371" t="str">
            <v/>
          </cell>
          <cell r="AA371">
            <v>45674</v>
          </cell>
          <cell r="AB371" t="str">
            <v>Jayme Truong Jan 17, 2025 4:03 PM</v>
          </cell>
          <cell r="AC371">
            <v>45674</v>
          </cell>
          <cell r="AD371">
            <v>45677</v>
          </cell>
          <cell r="AE371">
            <v>45889</v>
          </cell>
          <cell r="AF371">
            <v>45889</v>
          </cell>
          <cell r="AG371">
            <v>45898</v>
          </cell>
          <cell r="AH371" t="str">
            <v>Vista Skywall Systems LTD</v>
          </cell>
          <cell r="AI371">
            <v>45824</v>
          </cell>
        </row>
        <row r="372">
          <cell r="C372">
            <v>85880</v>
          </cell>
          <cell r="D372" t="str">
            <v/>
          </cell>
          <cell r="E372" t="str">
            <v/>
          </cell>
          <cell r="F372" t="str">
            <v>Final</v>
          </cell>
          <cell r="G372" t="str">
            <v>Final Collected</v>
          </cell>
          <cell r="H372" t="str">
            <v>No</v>
          </cell>
          <cell r="I372" t="str">
            <v>Trevor Benthagen, Efrain Zarate</v>
          </cell>
          <cell r="J372" t="str">
            <v/>
          </cell>
          <cell r="K372" t="str">
            <v>https://panda-windows-and-doors.monday.com/protected_static/21046287/resources/2205499690/smtp.office365.com_20250613_121448.pdf, https://panda-windows-and-doors.monday.com/protected_static/21046287/resources/2205501426/smtp.office365.com_20250613_121448.pdf</v>
          </cell>
          <cell r="L372" t="str">
            <v>https://panda-windows-and-doors.monday.com/protected_static/21046287/resources/2205499029/smtp.office365.com_20250613_121500.pdf</v>
          </cell>
          <cell r="M372" t="str">
            <v/>
          </cell>
          <cell r="N372" t="str">
            <v>https://panda-windows-and-doors.monday.com/protected_static/21046287/resources/2205561861/85880 - Deposit Invoice.pdf</v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>
            <v>7490</v>
          </cell>
          <cell r="V372">
            <v>8744.58</v>
          </cell>
          <cell r="W372" t="str">
            <v>George Bails Sep 4, 2025 8:15 AM</v>
          </cell>
          <cell r="X372" t="str">
            <v>2025-06-02 13:18</v>
          </cell>
          <cell r="Y372">
            <v>45821</v>
          </cell>
          <cell r="Z372" t="str">
            <v/>
          </cell>
          <cell r="AA372">
            <v>45821</v>
          </cell>
          <cell r="AB372" t="str">
            <v>Jayme Truong Jun 13, 2025 2:56 PM</v>
          </cell>
          <cell r="AC372">
            <v>45821</v>
          </cell>
          <cell r="AD372">
            <v>45825</v>
          </cell>
          <cell r="AE372">
            <v>45896</v>
          </cell>
          <cell r="AF372">
            <v>45896</v>
          </cell>
          <cell r="AG372">
            <v>45902</v>
          </cell>
          <cell r="AH372" t="str">
            <v>Caesar Espinosa</v>
          </cell>
          <cell r="AI372" t="str">
            <v/>
          </cell>
        </row>
        <row r="373">
          <cell r="C373">
            <v>83887</v>
          </cell>
          <cell r="D373" t="str">
            <v/>
          </cell>
          <cell r="E373" t="str">
            <v/>
          </cell>
          <cell r="F373" t="str">
            <v>Final</v>
          </cell>
          <cell r="G373" t="str">
            <v>Final Collected</v>
          </cell>
          <cell r="H373" t="str">
            <v>No</v>
          </cell>
          <cell r="I373" t="str">
            <v>Derrick McCall</v>
          </cell>
          <cell r="J373" t="str">
            <v/>
          </cell>
          <cell r="K373" t="str">
            <v>https://panda-windows-and-doors.monday.com/protected_static/21046287/resources/2083753095/Chesterton Panda Booking PO 12407-875.pdf</v>
          </cell>
          <cell r="L373" t="str">
            <v>https://panda-windows-and-doors.monday.com/protected_static/21046287/resources/2083367580/smtp.office365.com_20250331_124822.pdf, https://panda-windows-and-doors.monday.com/protected_static/21046287/resources/2083367575/San Diego Elementary   02142025.xlsx</v>
          </cell>
          <cell r="M373" t="str">
            <v/>
          </cell>
          <cell r="N373" t="str">
            <v>https://panda-windows-and-doors.monday.com/protected_static/21046287/resources/2050619596/83887 Deposit invoice.pdf</v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>
            <v>124344</v>
          </cell>
          <cell r="V373">
            <v>143031.9</v>
          </cell>
          <cell r="W373" t="str">
            <v>Sean Lopez Mar 11, 2026 1:19 PM</v>
          </cell>
          <cell r="X373" t="str">
            <v>2025-03-31 00:00</v>
          </cell>
          <cell r="Y373">
            <v>45747</v>
          </cell>
          <cell r="Z373" t="str">
            <v/>
          </cell>
          <cell r="AA373">
            <v>45747</v>
          </cell>
          <cell r="AB373" t="str">
            <v>Jayme Truong Mar 31, 2025 3:42 PM</v>
          </cell>
          <cell r="AC373">
            <v>45747</v>
          </cell>
          <cell r="AD373">
            <v>45762</v>
          </cell>
          <cell r="AE373">
            <v>45896</v>
          </cell>
          <cell r="AF373">
            <v>45896</v>
          </cell>
          <cell r="AG373">
            <v>45903</v>
          </cell>
          <cell r="AH373" t="str">
            <v>Centex Glazing</v>
          </cell>
          <cell r="AI373" t="str">
            <v/>
          </cell>
        </row>
        <row r="374">
          <cell r="C374">
            <v>85161</v>
          </cell>
          <cell r="D374" t="str">
            <v/>
          </cell>
          <cell r="E374" t="str">
            <v/>
          </cell>
          <cell r="F374" t="str">
            <v>Final</v>
          </cell>
          <cell r="G374" t="str">
            <v>Final Collected</v>
          </cell>
          <cell r="H374" t="str">
            <v>No</v>
          </cell>
          <cell r="I374" t="str">
            <v>Mary Wursten</v>
          </cell>
          <cell r="J374" t="str">
            <v/>
          </cell>
          <cell r="K374" t="str">
            <v>https://panda-windows-and-doors.monday.com/protected_static/21046287/resources/2219254756/375 Orchard VIew.pdf</v>
          </cell>
          <cell r="L374" t="str">
            <v>https://panda-windows-and-doors.monday.com/protected_static/21046287/resources/2219254638/Signed Backer 062025.pdf</v>
          </cell>
          <cell r="M374" t="str">
            <v/>
          </cell>
          <cell r="N374" t="str">
            <v>https://panda-windows-and-doors.monday.com/protected_static/21046287/resources/2219404052/85161 Deposit Invoice.pdf</v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>
            <v>16591</v>
          </cell>
          <cell r="V374">
            <v>116</v>
          </cell>
          <cell r="W374" t="str">
            <v>George Bails Sep 4, 2025 8:35 AM</v>
          </cell>
          <cell r="X374" t="str">
            <v>2025-04-22 00:00</v>
          </cell>
          <cell r="Y374">
            <v>45828</v>
          </cell>
          <cell r="Z374" t="str">
            <v/>
          </cell>
          <cell r="AA374">
            <v>45828</v>
          </cell>
          <cell r="AB374" t="str">
            <v>Jayme Truong Jun 20, 2025 3:58 PM</v>
          </cell>
          <cell r="AC374">
            <v>45828</v>
          </cell>
          <cell r="AD374">
            <v>45832</v>
          </cell>
          <cell r="AE374" t="str">
            <v/>
          </cell>
          <cell r="AF374">
            <v>45903</v>
          </cell>
          <cell r="AG374">
            <v>45903</v>
          </cell>
          <cell r="AH374" t="str">
            <v>Precision Glass</v>
          </cell>
          <cell r="AI374" t="str">
            <v/>
          </cell>
        </row>
        <row r="375">
          <cell r="C375">
            <v>84375</v>
          </cell>
          <cell r="D375" t="str">
            <v/>
          </cell>
          <cell r="E375" t="str">
            <v/>
          </cell>
          <cell r="F375" t="str">
            <v>Final</v>
          </cell>
          <cell r="G375" t="str">
            <v>Final Collected</v>
          </cell>
          <cell r="H375" t="str">
            <v>No</v>
          </cell>
          <cell r="I375" t="str">
            <v>Mary Wursten</v>
          </cell>
          <cell r="J375" t="str">
            <v/>
          </cell>
          <cell r="K375" t="str">
            <v>https://panda-windows-and-doors.monday.com/protected_static/21046287/resources/2086729978/QQ_84375 3204 NW 95th Place 04142025 signed.pdf</v>
          </cell>
          <cell r="L375" t="str">
            <v>https://panda-windows-and-doors.monday.com/protected_static/21046287/resources/2090581035/Signed backer 041425.pdf</v>
          </cell>
          <cell r="M375" t="str">
            <v/>
          </cell>
          <cell r="N375" t="str">
            <v>https://panda-windows-and-doors.monday.com/protected_static/21046287/resources/2084303310/84375 deposit invoice.pdf</v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>
            <v>50000</v>
          </cell>
          <cell r="V375">
            <v>52727</v>
          </cell>
          <cell r="W375" t="str">
            <v>George Bails Sep 4, 2025 8:30 AM</v>
          </cell>
          <cell r="X375" t="str">
            <v>2025-04-10 00:00</v>
          </cell>
          <cell r="Y375">
            <v>45762</v>
          </cell>
          <cell r="Z375" t="str">
            <v/>
          </cell>
          <cell r="AA375">
            <v>45762</v>
          </cell>
          <cell r="AB375" t="str">
            <v>Jayme Truong Apr 14, 2025 12:18 PM</v>
          </cell>
          <cell r="AC375">
            <v>45762</v>
          </cell>
          <cell r="AD375">
            <v>45765</v>
          </cell>
          <cell r="AE375">
            <v>45868</v>
          </cell>
          <cell r="AF375">
            <v>45868</v>
          </cell>
          <cell r="AG375">
            <v>45903</v>
          </cell>
          <cell r="AH375" t="str">
            <v>Loudwar Studios</v>
          </cell>
          <cell r="AI375" t="str">
            <v/>
          </cell>
        </row>
        <row r="376">
          <cell r="C376">
            <v>85354</v>
          </cell>
          <cell r="D376">
            <v>45898</v>
          </cell>
          <cell r="E376" t="str">
            <v/>
          </cell>
          <cell r="F376" t="str">
            <v>Final</v>
          </cell>
          <cell r="G376" t="str">
            <v>Final Collected</v>
          </cell>
          <cell r="H376" t="str">
            <v>No</v>
          </cell>
          <cell r="I376" t="str">
            <v>Stefan Monetta</v>
          </cell>
          <cell r="J376" t="str">
            <v/>
          </cell>
          <cell r="K376" t="str">
            <v>https://panda-windows-and-doors.monday.com/protected_static/21046287/resources/2149754523/QQ #85354 Victor Pacheco 2 050225 (signed).pdf</v>
          </cell>
          <cell r="L376" t="str">
            <v>https://panda-windows-and-doors.monday.com/protected_static/21046287/resources/2149950681/smtp.office365.com_20250519_064310.pdf</v>
          </cell>
          <cell r="M376" t="str">
            <v/>
          </cell>
          <cell r="N376" t="str">
            <v>https://panda-windows-and-doors.monday.com/protected_static/21046287/resources/2150742910/85354 Deposit Invoice.pdf, https://panda-windows-and-doors.monday.com/protected_static/21046287/resources/2197283276/85354 DEPOSIT INVOICE CO 1.pdf</v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>
            <v>13665</v>
          </cell>
          <cell r="V376">
            <v>14491.9</v>
          </cell>
          <cell r="W376" t="str">
            <v>Elizabet Lopez Sep 19, 2025 11:06 AM</v>
          </cell>
          <cell r="X376" t="str">
            <v>2025-05-19 00:00</v>
          </cell>
          <cell r="Y376">
            <v>45818</v>
          </cell>
          <cell r="Z376" t="str">
            <v/>
          </cell>
          <cell r="AA376">
            <v>45818</v>
          </cell>
          <cell r="AB376" t="str">
            <v>Jayme Truong May 19, 2025 10:22 AM</v>
          </cell>
          <cell r="AC376">
            <v>45796</v>
          </cell>
          <cell r="AD376">
            <v>45846</v>
          </cell>
          <cell r="AE376">
            <v>45897</v>
          </cell>
          <cell r="AF376">
            <v>45897</v>
          </cell>
          <cell r="AG376">
            <v>45904</v>
          </cell>
          <cell r="AH376" t="str">
            <v>EDEM LLC</v>
          </cell>
          <cell r="AI376">
            <v>45898</v>
          </cell>
        </row>
        <row r="377">
          <cell r="C377">
            <v>85632</v>
          </cell>
          <cell r="D377" t="str">
            <v/>
          </cell>
          <cell r="E377" t="str">
            <v/>
          </cell>
          <cell r="F377" t="str">
            <v>Final</v>
          </cell>
          <cell r="G377" t="str">
            <v>Final Collected</v>
          </cell>
          <cell r="H377" t="str">
            <v>No</v>
          </cell>
          <cell r="I377" t="str">
            <v>Trevor Benthagen, Efrain Zarate</v>
          </cell>
          <cell r="J377" t="str">
            <v/>
          </cell>
          <cell r="K377" t="str">
            <v>https://panda-windows-and-doors.monday.com/protected_static/21046287/resources/2194095567/QQ#85632 Kings Court 05292025- SOTO - Panda Door.pdf</v>
          </cell>
          <cell r="L377" t="str">
            <v>https://panda-windows-and-doors.monday.com/protected_static/21046287/resources/2194098845/smtp.office365.com_20250609_115931.pdf</v>
          </cell>
          <cell r="M377" t="str">
            <v/>
          </cell>
          <cell r="N377" t="str">
            <v>https://panda-windows-and-doors.monday.com/protected_static/21046287/resources/2194331397/85632 - Deposit Invoice.pdf</v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>
            <v>7380</v>
          </cell>
          <cell r="V377">
            <v>8664.91</v>
          </cell>
          <cell r="W377" t="str">
            <v>Annalene Conde Sep 5, 2025 8:52 AM</v>
          </cell>
          <cell r="X377" t="str">
            <v>2025-06-09 00:00</v>
          </cell>
          <cell r="Y377">
            <v>45817</v>
          </cell>
          <cell r="Z377" t="str">
            <v/>
          </cell>
          <cell r="AA377">
            <v>45817</v>
          </cell>
          <cell r="AB377" t="str">
            <v>Jayme Truong Jun 9, 2025 1:12 PM</v>
          </cell>
          <cell r="AC377">
            <v>45817</v>
          </cell>
          <cell r="AD377">
            <v>45818</v>
          </cell>
          <cell r="AE377">
            <v>45902</v>
          </cell>
          <cell r="AF377">
            <v>45903</v>
          </cell>
          <cell r="AG377">
            <v>45905</v>
          </cell>
          <cell r="AH377" t="str">
            <v>Echo Builders</v>
          </cell>
          <cell r="AI377" t="str">
            <v/>
          </cell>
        </row>
        <row r="378">
          <cell r="C378">
            <v>85486</v>
          </cell>
          <cell r="D378" t="str">
            <v/>
          </cell>
          <cell r="E378" t="str">
            <v/>
          </cell>
          <cell r="F378" t="str">
            <v>Final</v>
          </cell>
          <cell r="G378" t="str">
            <v>Final Collected</v>
          </cell>
          <cell r="H378" t="str">
            <v>No</v>
          </cell>
          <cell r="I378" t="str">
            <v>Trevor Benthagen, Efrain Zarate</v>
          </cell>
          <cell r="J378" t="str">
            <v/>
          </cell>
          <cell r="K378" t="str">
            <v>https://panda-windows-and-doors.monday.com/protected_static/21046287/resources/2149860016/QQ#85486 Rainbow Drive 05152025.pdf</v>
          </cell>
          <cell r="L378" t="str">
            <v>https://panda-windows-and-doors.monday.com/protected_static/21046287/resources/2166042624/smtp.office365.com_20250519_071143.pdf</v>
          </cell>
          <cell r="M378" t="str">
            <v/>
          </cell>
          <cell r="N378" t="str">
            <v>https://panda-windows-and-doors.monday.com/protected_static/21046287/resources/2150910005/85486 Deposit Invoice.pdf</v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>
            <v>9106</v>
          </cell>
          <cell r="V378">
            <v>9106</v>
          </cell>
          <cell r="W378" t="str">
            <v>George Bails Sep 8, 2025 8:19 AM</v>
          </cell>
          <cell r="X378" t="str">
            <v>2025-02-26 00:00</v>
          </cell>
          <cell r="Y378">
            <v>45796</v>
          </cell>
          <cell r="Z378" t="str">
            <v/>
          </cell>
          <cell r="AA378">
            <v>45796</v>
          </cell>
          <cell r="AB378" t="str">
            <v>Jayme Truong May 19, 2025 9:52 AM</v>
          </cell>
          <cell r="AC378">
            <v>45796</v>
          </cell>
          <cell r="AD378">
            <v>45797</v>
          </cell>
          <cell r="AE378" t="str">
            <v/>
          </cell>
          <cell r="AF378">
            <v>45904</v>
          </cell>
          <cell r="AG378">
            <v>45905</v>
          </cell>
          <cell r="AH378" t="str">
            <v>Snowflake Factory LLC</v>
          </cell>
          <cell r="AI378" t="str">
            <v/>
          </cell>
        </row>
        <row r="379">
          <cell r="C379">
            <v>84610</v>
          </cell>
          <cell r="D379" t="str">
            <v/>
          </cell>
          <cell r="E379" t="str">
            <v/>
          </cell>
          <cell r="F379" t="str">
            <v>Final</v>
          </cell>
          <cell r="G379" t="str">
            <v>Final Collected</v>
          </cell>
          <cell r="H379" t="str">
            <v>No</v>
          </cell>
          <cell r="I379" t="str">
            <v>Efrain Zarate, Trevor Benthagen</v>
          </cell>
          <cell r="J379" t="str">
            <v/>
          </cell>
          <cell r="K379" t="str">
            <v>https://panda-windows-and-doors.monday.com/protected_static/21046287/resources/2135544390/QQ#84610  Wadsworth Junction 04302025.pdf</v>
          </cell>
          <cell r="L379" t="str">
            <v>https://panda-windows-and-doors.monday.com/protected_static/21046287/resources/2135565939/Q#84610 SIGNED BACKER.pdf</v>
          </cell>
          <cell r="M379" t="str">
            <v/>
          </cell>
          <cell r="N379" t="str">
            <v>https://panda-windows-and-doors.monday.com/protected_static/21046287/resources/2138552596/84610 Deposit Invoice.pdf</v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>
            <v>11034</v>
          </cell>
          <cell r="V379">
            <v>471.6</v>
          </cell>
          <cell r="W379" t="str">
            <v>George Bails Sep 9, 2025 8:29 AM</v>
          </cell>
          <cell r="X379" t="str">
            <v>2025-05-12 00:00</v>
          </cell>
          <cell r="Y379">
            <v>45789</v>
          </cell>
          <cell r="Z379" t="str">
            <v/>
          </cell>
          <cell r="AA379">
            <v>45789</v>
          </cell>
          <cell r="AB379" t="str">
            <v>Jayme Truong May 12, 2025 2:36 PM</v>
          </cell>
          <cell r="AC379">
            <v>45790</v>
          </cell>
          <cell r="AD379">
            <v>45811</v>
          </cell>
          <cell r="AE379" t="str">
            <v/>
          </cell>
          <cell r="AF379">
            <v>45905</v>
          </cell>
          <cell r="AG379">
            <v>45908</v>
          </cell>
          <cell r="AH379" t="str">
            <v>Bronson Glass</v>
          </cell>
          <cell r="AI379" t="str">
            <v/>
          </cell>
        </row>
        <row r="380">
          <cell r="C380">
            <v>83771</v>
          </cell>
          <cell r="D380" t="str">
            <v/>
          </cell>
          <cell r="E380" t="str">
            <v/>
          </cell>
          <cell r="F380" t="str">
            <v>Final</v>
          </cell>
          <cell r="G380" t="str">
            <v>Final Collected</v>
          </cell>
          <cell r="H380" t="str">
            <v>No</v>
          </cell>
          <cell r="I380" t="str">
            <v>Stefan Monetta</v>
          </cell>
          <cell r="J380" t="str">
            <v/>
          </cell>
          <cell r="K380" t="str">
            <v>https://panda-windows-and-doors.monday.com/protected_static/21046287/resources/2090618529/QQ  #83771 Forest Ave - Odyssey 041725.pdf</v>
          </cell>
          <cell r="L380" t="str">
            <v>https://panda-windows-and-doors.monday.com/protected_static/21046287/resources/2092213361/Signed Backer Q 83771 Forest Ave - Odyseey.pdf</v>
          </cell>
          <cell r="M380" t="str">
            <v/>
          </cell>
          <cell r="N380" t="str">
            <v>https://panda-windows-and-doors.monday.com/protected_static/21046287/resources/2092287923/83771 - Deposit Invoice.pdf</v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>
            <v>6794</v>
          </cell>
          <cell r="V380">
            <v>7615.46</v>
          </cell>
          <cell r="W380" t="str">
            <v>George Bails Sep 9, 2025 8:18 AM</v>
          </cell>
          <cell r="X380" t="str">
            <v>2025-02-07 00:00</v>
          </cell>
          <cell r="Y380">
            <v>45768</v>
          </cell>
          <cell r="Z380" t="str">
            <v/>
          </cell>
          <cell r="AA380">
            <v>45768</v>
          </cell>
          <cell r="AB380" t="str">
            <v>Jayme Truong Apr 21, 2025 10:00 AM</v>
          </cell>
          <cell r="AC380">
            <v>45768</v>
          </cell>
          <cell r="AD380">
            <v>45798</v>
          </cell>
          <cell r="AE380">
            <v>45890</v>
          </cell>
          <cell r="AF380">
            <v>45890</v>
          </cell>
          <cell r="AG380">
            <v>45908</v>
          </cell>
          <cell r="AH380" t="str">
            <v>Core Construction</v>
          </cell>
          <cell r="AI380" t="str">
            <v/>
          </cell>
        </row>
        <row r="381">
          <cell r="C381">
            <v>85140</v>
          </cell>
          <cell r="D381" t="str">
            <v/>
          </cell>
          <cell r="E381" t="str">
            <v/>
          </cell>
          <cell r="F381" t="str">
            <v>Final</v>
          </cell>
          <cell r="G381" t="str">
            <v>Final Collected</v>
          </cell>
          <cell r="H381" t="str">
            <v>No</v>
          </cell>
          <cell r="I381" t="str">
            <v>Sean Torre</v>
          </cell>
          <cell r="J381" t="str">
            <v/>
          </cell>
          <cell r="K381" t="str">
            <v>https://panda-windows-and-doors.monday.com/protected_static/21046287/resources/2095841483/QQ#85140 - Gilden Residence - 042225 Signed.pdf</v>
          </cell>
          <cell r="L381" t="str">
            <v>https://panda-windows-and-doors.monday.com/protected_static/21046287/resources/2095841429/Golden Residence - 85140 - signed backer.pdf</v>
          </cell>
          <cell r="M381" t="str">
            <v/>
          </cell>
          <cell r="N381" t="str">
            <v>https://panda-windows-and-doors.monday.com/protected_static/21046287/resources/2098556237/85140 Deposit Invoice.pdf</v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>
            <v>11500</v>
          </cell>
          <cell r="V381">
            <v>11500</v>
          </cell>
          <cell r="W381" t="str">
            <v>George Bails Sep 9, 2025 8:35 AM</v>
          </cell>
          <cell r="X381" t="str">
            <v>2025-04-22 00:00</v>
          </cell>
          <cell r="Y381">
            <v>45769</v>
          </cell>
          <cell r="Z381" t="str">
            <v/>
          </cell>
          <cell r="AA381">
            <v>45852</v>
          </cell>
          <cell r="AB381" t="str">
            <v>Jayme Truong Apr 22, 2025 4:23 PM</v>
          </cell>
          <cell r="AC381">
            <v>45852</v>
          </cell>
          <cell r="AD381">
            <v>45800</v>
          </cell>
          <cell r="AE381">
            <v>45852</v>
          </cell>
          <cell r="AF381">
            <v>45852</v>
          </cell>
          <cell r="AG381">
            <v>45908</v>
          </cell>
          <cell r="AH381" t="str">
            <v>Aaron Gilden</v>
          </cell>
          <cell r="AI381" t="str">
            <v/>
          </cell>
        </row>
        <row r="382">
          <cell r="C382">
            <v>85598</v>
          </cell>
          <cell r="D382" t="str">
            <v/>
          </cell>
          <cell r="E382" t="str">
            <v/>
          </cell>
          <cell r="F382" t="str">
            <v>Final</v>
          </cell>
          <cell r="G382" t="str">
            <v>Final Collected</v>
          </cell>
          <cell r="H382" t="str">
            <v>No</v>
          </cell>
          <cell r="I382" t="str">
            <v>Mary Wursten</v>
          </cell>
          <cell r="J382" t="str">
            <v/>
          </cell>
          <cell r="K382" t="str">
            <v>https://panda-windows-and-doors.monday.com/protected_static/21046287/resources/2159406801/Purchase Order N3520 - Ward Job.pdf</v>
          </cell>
          <cell r="L382" t="str">
            <v>https://panda-windows-and-doors.monday.com/protected_static/21046287/resources/2159406956/Signed Backer Russel Folding Door 052225.pdf</v>
          </cell>
          <cell r="M382" t="str">
            <v/>
          </cell>
          <cell r="N382" t="str">
            <v>https://panda-windows-and-doors.monday.com/protected_static/21046287/resources/2160700421/85598 Deposit Invoice.pdf</v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>
            <v>7254</v>
          </cell>
          <cell r="V382">
            <v>7254</v>
          </cell>
          <cell r="W382" t="str">
            <v>George Bails Sep 9, 2025 8:02 AM</v>
          </cell>
          <cell r="X382" t="str">
            <v>2025-05-15 10:53</v>
          </cell>
          <cell r="Y382">
            <v>45799</v>
          </cell>
          <cell r="Z382" t="str">
            <v/>
          </cell>
          <cell r="AA382">
            <v>45799</v>
          </cell>
          <cell r="AB382" t="str">
            <v>Jayme Truong May 22, 2025 3:15 PM</v>
          </cell>
          <cell r="AC382">
            <v>45800</v>
          </cell>
          <cell r="AD382">
            <v>45806</v>
          </cell>
          <cell r="AE382" t="str">
            <v/>
          </cell>
          <cell r="AF382">
            <v>45908</v>
          </cell>
          <cell r="AG382">
            <v>45908</v>
          </cell>
          <cell r="AH382" t="str">
            <v>Alan Russell</v>
          </cell>
          <cell r="AI382" t="str">
            <v/>
          </cell>
        </row>
        <row r="383">
          <cell r="C383">
            <v>82495</v>
          </cell>
          <cell r="D383" t="str">
            <v/>
          </cell>
          <cell r="E383" t="str">
            <v/>
          </cell>
          <cell r="F383" t="str">
            <v>Final</v>
          </cell>
          <cell r="G383" t="str">
            <v>Final Collected</v>
          </cell>
          <cell r="H383" t="str">
            <v>No</v>
          </cell>
          <cell r="I383" t="str">
            <v>Troy Kite</v>
          </cell>
          <cell r="J383" t="str">
            <v/>
          </cell>
          <cell r="K383" t="str">
            <v>https://panda-windows-and-doors.monday.com/protected_static/21046287/resources/2169798399/smtp.office365.com_20250528_133756.pdf</v>
          </cell>
          <cell r="L383" t="str">
            <v>https://panda-windows-and-doors.monday.com/protected_static/21046287/resources/2169813247/smtp.office365.com_20250528_135014.pdf</v>
          </cell>
          <cell r="M383" t="str">
            <v/>
          </cell>
          <cell r="N383" t="str">
            <v>https://panda-windows-and-doors.monday.com/protected_static/21046287/resources/2169852559/82495 Deposit invoice.pdf</v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>
            <v>5722</v>
          </cell>
          <cell r="V383">
            <v>5722</v>
          </cell>
          <cell r="W383" t="str">
            <v>George Bails Sep 9, 2025 8:07 AM</v>
          </cell>
          <cell r="X383" t="str">
            <v>2025-05-28 15:14</v>
          </cell>
          <cell r="Y383">
            <v>45805</v>
          </cell>
          <cell r="Z383" t="str">
            <v/>
          </cell>
          <cell r="AA383">
            <v>45805</v>
          </cell>
          <cell r="AB383" t="str">
            <v>Jayme Truong May 28, 2025 4:34 PM</v>
          </cell>
          <cell r="AC383">
            <v>45805</v>
          </cell>
          <cell r="AD383">
            <v>45813</v>
          </cell>
          <cell r="AE383">
            <v>45897</v>
          </cell>
          <cell r="AF383">
            <v>45897</v>
          </cell>
          <cell r="AG383">
            <v>45908</v>
          </cell>
          <cell r="AH383" t="str">
            <v>Chris Lester</v>
          </cell>
          <cell r="AI383" t="str">
            <v/>
          </cell>
        </row>
        <row r="384">
          <cell r="C384">
            <v>84441</v>
          </cell>
          <cell r="D384" t="str">
            <v/>
          </cell>
          <cell r="E384" t="str">
            <v/>
          </cell>
          <cell r="F384" t="str">
            <v>Final</v>
          </cell>
          <cell r="G384" t="str">
            <v>Final Collected</v>
          </cell>
          <cell r="H384" t="str">
            <v>No</v>
          </cell>
          <cell r="I384" t="str">
            <v>Trevor Benthagen, Efrain Zarate</v>
          </cell>
          <cell r="J384" t="str">
            <v/>
          </cell>
          <cell r="K384" t="str">
            <v>https://panda-windows-and-doors.monday.com/protected_static/21046287/resources/2081257837/QQ#84441 Park City 03182025.pdf</v>
          </cell>
          <cell r="L384" t="str">
            <v>https://panda-windows-and-doors.monday.com/protected_static/21046287/resources/2083436913/smtp.office365.com_20250414_132746.pdf, https://panda-windows-and-doors.monday.com/protected_static/21046287/resources/2083436909/Park City S  03182025.xlsx</v>
          </cell>
          <cell r="M384" t="str">
            <v/>
          </cell>
          <cell r="N384" t="str">
            <v>https://panda-windows-and-doors.monday.com/protected_static/21046287/resources/2083367148/84441 Deposit Invoice.pdf</v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>
            <v>50597</v>
          </cell>
          <cell r="V384">
            <v>57970.76</v>
          </cell>
          <cell r="W384" t="str">
            <v>George Bails Sep 9, 2025 8:24 AM</v>
          </cell>
          <cell r="X384" t="str">
            <v>2025-04-14 00:00</v>
          </cell>
          <cell r="Y384">
            <v>45762</v>
          </cell>
          <cell r="Z384" t="str">
            <v/>
          </cell>
          <cell r="AA384">
            <v>45762</v>
          </cell>
          <cell r="AB384" t="str">
            <v>Jayme Truong Apr 15, 2025 9:16 AM</v>
          </cell>
          <cell r="AC384">
            <v>45762</v>
          </cell>
          <cell r="AD384">
            <v>45769</v>
          </cell>
          <cell r="AE384" t="str">
            <v/>
          </cell>
          <cell r="AF384">
            <v>45894</v>
          </cell>
          <cell r="AG384">
            <v>45908</v>
          </cell>
          <cell r="AH384" t="str">
            <v>Stacy Kincaid</v>
          </cell>
          <cell r="AI384" t="str">
            <v/>
          </cell>
        </row>
        <row r="385">
          <cell r="C385">
            <v>84486</v>
          </cell>
          <cell r="D385" t="str">
            <v/>
          </cell>
          <cell r="E385" t="str">
            <v/>
          </cell>
          <cell r="F385" t="str">
            <v>Final</v>
          </cell>
          <cell r="G385" t="str">
            <v>Final Collected</v>
          </cell>
          <cell r="H385" t="str">
            <v>No</v>
          </cell>
          <cell r="I385" t="str">
            <v>Efrain Zarate, Trevor Benthagen</v>
          </cell>
          <cell r="J385" t="str">
            <v/>
          </cell>
          <cell r="K385" t="str">
            <v>https://panda-windows-and-doors.monday.com/protected_static/21046287/resources/2077176214/smtp.office365.com_20250411_072434.pdf, https://panda-windows-and-doors.monday.com/protected_static/21046287/resources/2077176512/smtp.office365.com_20250411_072422.pdf</v>
          </cell>
          <cell r="L385" t="str">
            <v>https://panda-windows-and-doors.monday.com/protected_static/21046287/resources/2083422708/smtp.office365.com_20250411_072422.pdf</v>
          </cell>
          <cell r="M385" t="str">
            <v/>
          </cell>
          <cell r="N385" t="str">
            <v>https://panda-windows-and-doors.monday.com/protected_static/21046287/resources/2077440433/84486 DEPOSIT INVOICE.pdf</v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>
            <v>7000</v>
          </cell>
          <cell r="V385">
            <v>8589.75</v>
          </cell>
          <cell r="W385" t="str">
            <v>George Bails Sep 11, 2025 9:27 AM</v>
          </cell>
          <cell r="X385" t="str">
            <v>2025-04-11 00:00</v>
          </cell>
          <cell r="Y385">
            <v>45758</v>
          </cell>
          <cell r="Z385" t="str">
            <v/>
          </cell>
          <cell r="AA385">
            <v>45867</v>
          </cell>
          <cell r="AB385" t="str">
            <v>Jayme Truong Apr 11, 2025 10:07 AM</v>
          </cell>
          <cell r="AC385">
            <v>45867</v>
          </cell>
          <cell r="AD385">
            <v>45786</v>
          </cell>
          <cell r="AE385">
            <v>45867</v>
          </cell>
          <cell r="AF385">
            <v>45867</v>
          </cell>
          <cell r="AG385">
            <v>45910</v>
          </cell>
          <cell r="AH385" t="str">
            <v>Epsilon</v>
          </cell>
          <cell r="AI385" t="str">
            <v/>
          </cell>
        </row>
        <row r="386">
          <cell r="C386">
            <v>86491</v>
          </cell>
          <cell r="D386" t="str">
            <v/>
          </cell>
          <cell r="E386" t="str">
            <v/>
          </cell>
          <cell r="F386" t="str">
            <v>Final</v>
          </cell>
          <cell r="G386" t="str">
            <v>Final Collected</v>
          </cell>
          <cell r="H386" t="str">
            <v>No</v>
          </cell>
          <cell r="I386" t="str">
            <v>Troy Kite</v>
          </cell>
          <cell r="J386" t="str">
            <v/>
          </cell>
          <cell r="K386" t="str">
            <v>https://panda-windows-and-doors.monday.com/protected_static/21046287/resources/2297600023/QQ#86491 Highland - Replacement Window 7-17-2025.pdf</v>
          </cell>
          <cell r="L386" t="str">
            <v>https://panda-windows-and-doors.monday.com/protected_static/21046287/resources/2297901336/smtp.office365.com_20250718_094813.pdf</v>
          </cell>
          <cell r="M386" t="str">
            <v/>
          </cell>
          <cell r="N386" t="str">
            <v>https://panda-windows-and-doors.monday.com/protected_static/21046287/resources/2297906357/86491 Deposit Invoice.pdf</v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>
            <v>10076.42</v>
          </cell>
          <cell r="V386">
            <v>0</v>
          </cell>
          <cell r="W386" t="str">
            <v>Annalene Conde Sep 10, 2025 12:22 PM</v>
          </cell>
          <cell r="X386" t="str">
            <v>2025-07-18 00:00</v>
          </cell>
          <cell r="Y386">
            <v>45856</v>
          </cell>
          <cell r="Z386" t="str">
            <v/>
          </cell>
          <cell r="AA386">
            <v>45856</v>
          </cell>
          <cell r="AB386" t="str">
            <v>Jayme Truong Jul 18, 2025 12:41 PM</v>
          </cell>
          <cell r="AC386">
            <v>45856</v>
          </cell>
          <cell r="AD386">
            <v>45859</v>
          </cell>
          <cell r="AE386">
            <v>45910</v>
          </cell>
          <cell r="AF386" t="str">
            <v/>
          </cell>
          <cell r="AG386">
            <v>45910</v>
          </cell>
          <cell r="AH386" t="str">
            <v>Danny Georges</v>
          </cell>
          <cell r="AI386" t="str">
            <v/>
          </cell>
        </row>
        <row r="387">
          <cell r="C387">
            <v>83921</v>
          </cell>
          <cell r="D387" t="str">
            <v/>
          </cell>
          <cell r="E387" t="str">
            <v/>
          </cell>
          <cell r="F387" t="str">
            <v>Final</v>
          </cell>
          <cell r="G387" t="str">
            <v>Final Collected</v>
          </cell>
          <cell r="H387" t="str">
            <v>No</v>
          </cell>
          <cell r="I387" t="str">
            <v>Mary Wursten</v>
          </cell>
          <cell r="J387" t="str">
            <v/>
          </cell>
          <cell r="K387" t="str">
            <v>https://panda-windows-and-doors.monday.com/protected_static/21046287/resources/2128599875/Trolese Signed Sales Order.pdf</v>
          </cell>
          <cell r="L387" t="str">
            <v>https://panda-windows-and-doors.monday.com/protected_static/21046287/resources/2128600221/83921_signed backer_050825.pdf</v>
          </cell>
          <cell r="M387" t="str">
            <v/>
          </cell>
          <cell r="N387" t="str">
            <v>https://panda-windows-and-doors.monday.com/protected_static/21046287/resources/2131805564/83921 Deposit Invoice.pdf, https://panda-windows-and-doors.monday.com/protected_static/21046287/resources/2365761248/83921 Deposit Invoice - Revised with new SO#.pdf</v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>
            <v>18801</v>
          </cell>
          <cell r="V387">
            <v>18800</v>
          </cell>
          <cell r="W387" t="str">
            <v>George Bails Sep 11, 2025 9:49 AM</v>
          </cell>
          <cell r="X387" t="str">
            <v>2025-01-29 21:05</v>
          </cell>
          <cell r="Y387">
            <v>45785</v>
          </cell>
          <cell r="Z387" t="str">
            <v/>
          </cell>
          <cell r="AA387">
            <v>45786</v>
          </cell>
          <cell r="AB387" t="str">
            <v>Jayme Truong May 8, 2025 7:40 AM</v>
          </cell>
          <cell r="AC387">
            <v>45786</v>
          </cell>
          <cell r="AD387">
            <v>45792</v>
          </cell>
          <cell r="AE387">
            <v>45889</v>
          </cell>
          <cell r="AF387">
            <v>45889</v>
          </cell>
          <cell r="AG387">
            <v>45910</v>
          </cell>
          <cell r="AH387" t="str">
            <v>Alex Trolese</v>
          </cell>
          <cell r="AI387" t="str">
            <v/>
          </cell>
        </row>
        <row r="388">
          <cell r="C388">
            <v>83368</v>
          </cell>
          <cell r="D388">
            <v>45826</v>
          </cell>
          <cell r="E388" t="str">
            <v/>
          </cell>
          <cell r="F388" t="str">
            <v>Final</v>
          </cell>
          <cell r="G388" t="str">
            <v>Final Collected</v>
          </cell>
          <cell r="H388" t="str">
            <v>No</v>
          </cell>
          <cell r="I388" t="str">
            <v>Mary Wursten</v>
          </cell>
          <cell r="J388" t="str">
            <v/>
          </cell>
          <cell r="K388" t="str">
            <v>https://panda-windows-and-doors.monday.com/protected_static/21046287/resources/2097669550/Signed QQ#83368 1685 Del Mar Ave. 04222025.pdf</v>
          </cell>
          <cell r="L388" t="str">
            <v>https://panda-windows-and-doors.monday.com/protected_static/21046287/resources/2139910104/Backer_John Approved_051425.pdf</v>
          </cell>
          <cell r="M388" t="str">
            <v/>
          </cell>
          <cell r="N388" t="str">
            <v>https://panda-windows-and-doors.monday.com/protected_static/21046287/resources/2098486078/83368 Deposit Invoice.pdf, https://panda-windows-and-doors.monday.com/protected_static/21046287/resources/2216161826/83368 Deposit Invoice CO 1.pdf</v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>
            <v>8237.84</v>
          </cell>
          <cell r="V388">
            <v>11070.62</v>
          </cell>
          <cell r="W388" t="str">
            <v>George Bails Sep 22, 2025 9:59 AM</v>
          </cell>
          <cell r="X388" t="str">
            <v>2025-01-13 00:00</v>
          </cell>
          <cell r="Y388">
            <v>45769</v>
          </cell>
          <cell r="Z388" t="str">
            <v/>
          </cell>
          <cell r="AA388">
            <v>45826</v>
          </cell>
          <cell r="AB388" t="str">
            <v>Jayme Truong Apr 22, 2025 4:50 PM</v>
          </cell>
          <cell r="AC388">
            <v>45770</v>
          </cell>
          <cell r="AD388">
            <v>45786</v>
          </cell>
          <cell r="AE388">
            <v>45909</v>
          </cell>
          <cell r="AF388">
            <v>45909</v>
          </cell>
          <cell r="AG388">
            <v>45911</v>
          </cell>
          <cell r="AH388" t="str">
            <v>Damon Eisenhauer</v>
          </cell>
          <cell r="AI388">
            <v>45826</v>
          </cell>
        </row>
        <row r="389">
          <cell r="C389">
            <v>83430</v>
          </cell>
          <cell r="D389" t="str">
            <v/>
          </cell>
          <cell r="E389" t="str">
            <v/>
          </cell>
          <cell r="F389" t="str">
            <v>Final</v>
          </cell>
          <cell r="G389" t="str">
            <v>Final Collected</v>
          </cell>
          <cell r="H389" t="str">
            <v>No</v>
          </cell>
          <cell r="I389" t="str">
            <v>Efrain Zarate, Trevor Benthagen</v>
          </cell>
          <cell r="J389" t="str">
            <v/>
          </cell>
          <cell r="K389" t="str">
            <v>https://panda-windows-and-doors.monday.com/protected_static/21046287/resources/2100610812/smtp.office365.com_20250424_093416.pdf</v>
          </cell>
          <cell r="L389" t="str">
            <v>https://panda-windows-and-doors.monday.com/protected_static/21046287/resources/2100610305/smtp.office365.com_20250424_093428.pdf</v>
          </cell>
          <cell r="M389" t="str">
            <v/>
          </cell>
          <cell r="N389" t="str">
            <v>https://panda-windows-and-doors.monday.com/protected_static/21046287/resources/2100831813/83430 Deposit Invoice.pdf</v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>
            <v>18482</v>
          </cell>
          <cell r="V389">
            <v>21576.65</v>
          </cell>
          <cell r="W389" t="str">
            <v>George Bails Sep 22, 2025 9:48 AM</v>
          </cell>
          <cell r="X389" t="str">
            <v>2025-04-24 00:00</v>
          </cell>
          <cell r="Y389">
            <v>45771</v>
          </cell>
          <cell r="Z389" t="str">
            <v/>
          </cell>
          <cell r="AA389">
            <v>45771</v>
          </cell>
          <cell r="AB389" t="str">
            <v>Jayme Truong Apr 24, 2025 12:01 PM</v>
          </cell>
          <cell r="AC389">
            <v>45771</v>
          </cell>
          <cell r="AD389">
            <v>45783</v>
          </cell>
          <cell r="AE389">
            <v>45895</v>
          </cell>
          <cell r="AF389">
            <v>45895</v>
          </cell>
          <cell r="AG389">
            <v>45912</v>
          </cell>
          <cell r="AH389" t="str">
            <v>GSD Industries</v>
          </cell>
          <cell r="AI389" t="str">
            <v/>
          </cell>
        </row>
        <row r="390">
          <cell r="C390">
            <v>84081</v>
          </cell>
          <cell r="D390" t="str">
            <v/>
          </cell>
          <cell r="E390" t="str">
            <v/>
          </cell>
          <cell r="F390" t="str">
            <v>Final</v>
          </cell>
          <cell r="G390" t="str">
            <v>Final Collected</v>
          </cell>
          <cell r="H390" t="str">
            <v>No</v>
          </cell>
          <cell r="I390" t="str">
            <v>Derrick McCall</v>
          </cell>
          <cell r="J390" t="str">
            <v/>
          </cell>
          <cell r="K390" t="str">
            <v>https://panda-windows-and-doors.monday.com/protected_static/21046287/resources/2111694812/BRYNN24-013_Brynn Apts_Panda_Doors.pdf</v>
          </cell>
          <cell r="L390" t="str">
            <v>https://panda-windows-and-doors.monday.com/protected_static/21046287/resources/2083341686/smtp.office365.com_20250319_125205.pdf</v>
          </cell>
          <cell r="M390" t="str">
            <v/>
          </cell>
          <cell r="N390" t="str">
            <v>https://panda-windows-and-doors.monday.com/protected_static/21046287/resources/2026593949/84081 Deposit Invoice.pdf</v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>
            <v>29356</v>
          </cell>
          <cell r="V390">
            <v>34251.42</v>
          </cell>
          <cell r="W390" t="str">
            <v>George Bails Sep 16, 2025 1:51 PM</v>
          </cell>
          <cell r="X390" t="str">
            <v>2025-02-26 00:00</v>
          </cell>
          <cell r="Y390">
            <v>45735</v>
          </cell>
          <cell r="Z390" t="str">
            <v/>
          </cell>
          <cell r="AA390">
            <v>45735</v>
          </cell>
          <cell r="AB390" t="str">
            <v>Jayme Truong Mar 19, 2025 11:08 AM</v>
          </cell>
          <cell r="AC390">
            <v>45735</v>
          </cell>
          <cell r="AD390">
            <v>45743</v>
          </cell>
          <cell r="AE390">
            <v>45905</v>
          </cell>
          <cell r="AF390">
            <v>45905</v>
          </cell>
          <cell r="AG390">
            <v>45912</v>
          </cell>
          <cell r="AH390" t="str">
            <v>Glazing Concepts</v>
          </cell>
          <cell r="AI390" t="str">
            <v/>
          </cell>
        </row>
        <row r="391">
          <cell r="C391">
            <v>83452</v>
          </cell>
          <cell r="D391" t="str">
            <v/>
          </cell>
          <cell r="E391" t="str">
            <v/>
          </cell>
          <cell r="F391" t="str">
            <v>Final</v>
          </cell>
          <cell r="G391" t="str">
            <v>Final Collected</v>
          </cell>
          <cell r="H391" t="str">
            <v>No</v>
          </cell>
          <cell r="I391" t="str">
            <v>Sean Torre</v>
          </cell>
          <cell r="J391" t="str">
            <v/>
          </cell>
          <cell r="K391" t="str">
            <v>https://panda-windows-and-doors.monday.com/protected_static/21046287/resources/1915899566/doc01056720250123172450.pdf</v>
          </cell>
          <cell r="L391" t="str">
            <v>https://panda-windows-and-doors.monday.com/protected_static/21046287/resources/2083293867/Proctor-Big Island - 012225.pdf, https://panda-windows-and-doors.monday.com/protected_static/21046287/resources/2083293876/Avi approved backer.pdf, https://panda-windows-and-doors.monday.com/protected_static/21046287/resources/2083293869/Proctor-Big Island - 012225.pdf_Avi approved backer.pdf</v>
          </cell>
          <cell r="M391" t="str">
            <v/>
          </cell>
          <cell r="N391" t="str">
            <v>https://panda-windows-and-doors.monday.com/protected_static/21046287/resources/1921725673/53452 deposit invoice.pdf</v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>
            <v>70847</v>
          </cell>
          <cell r="V391">
            <v>70846</v>
          </cell>
          <cell r="W391" t="str">
            <v>George Bails Sep 22, 2025 8:48 AM</v>
          </cell>
          <cell r="X391" t="str">
            <v>2025-01-22 00:00</v>
          </cell>
          <cell r="Y391">
            <v>45684</v>
          </cell>
          <cell r="Z391" t="str">
            <v/>
          </cell>
          <cell r="AA391">
            <v>45684</v>
          </cell>
          <cell r="AB391" t="str">
            <v>Jayme Truong Jan 27, 2025 3:23 PM</v>
          </cell>
          <cell r="AC391" t="str">
            <v/>
          </cell>
          <cell r="AD391">
            <v>45684</v>
          </cell>
          <cell r="AE391" t="str">
            <v/>
          </cell>
          <cell r="AF391">
            <v>45911</v>
          </cell>
          <cell r="AG391">
            <v>45915</v>
          </cell>
          <cell r="AH391" t="str">
            <v>Gary Proctor</v>
          </cell>
          <cell r="AI391" t="str">
            <v/>
          </cell>
        </row>
        <row r="392">
          <cell r="C392">
            <v>86026</v>
          </cell>
          <cell r="D392" t="str">
            <v/>
          </cell>
          <cell r="E392" t="str">
            <v/>
          </cell>
          <cell r="F392" t="str">
            <v>Final</v>
          </cell>
          <cell r="G392" t="str">
            <v>Final Collected</v>
          </cell>
          <cell r="H392" t="str">
            <v>No</v>
          </cell>
          <cell r="I392" t="str">
            <v>Efrain Zarate, Trevor Benthagen</v>
          </cell>
          <cell r="J392" t="str">
            <v/>
          </cell>
          <cell r="K392" t="str">
            <v>https://panda-windows-and-doors.monday.com/protected_static/21046287/resources/2259898882/smtp.office365.com_20250630_123438.pdf</v>
          </cell>
          <cell r="L392" t="str">
            <v>https://panda-windows-and-doors.monday.com/protected_static/21046287/resources/2259898590/smtp.office365.com_20250630_123449.pdf</v>
          </cell>
          <cell r="M392" t="str">
            <v/>
          </cell>
          <cell r="N392" t="str">
            <v>https://panda-windows-and-doors.monday.com/protected_static/21046287/resources/2259996448/86026 Deposit Invoice.pdf</v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>
            <v>20000</v>
          </cell>
          <cell r="V392">
            <v>9000.86</v>
          </cell>
          <cell r="W392" t="str">
            <v>George Bails Sep 16, 2025 4:50 PM</v>
          </cell>
          <cell r="X392" t="str">
            <v>2025-06-11 00:00</v>
          </cell>
          <cell r="Y392">
            <v>45838</v>
          </cell>
          <cell r="Z392" t="str">
            <v/>
          </cell>
          <cell r="AA392">
            <v>45838</v>
          </cell>
          <cell r="AB392" t="str">
            <v>Jayme Truong Jun 30, 2025 2:45 PM</v>
          </cell>
          <cell r="AC392">
            <v>45838</v>
          </cell>
          <cell r="AD392">
            <v>45840</v>
          </cell>
          <cell r="AE392" t="str">
            <v/>
          </cell>
          <cell r="AF392">
            <v>45912</v>
          </cell>
          <cell r="AG392">
            <v>45915</v>
          </cell>
          <cell r="AH392" t="str">
            <v>BMG Door &amp; Glass</v>
          </cell>
          <cell r="AI392" t="str">
            <v/>
          </cell>
        </row>
        <row r="393">
          <cell r="C393">
            <v>85950</v>
          </cell>
          <cell r="D393" t="str">
            <v/>
          </cell>
          <cell r="E393" t="str">
            <v/>
          </cell>
          <cell r="F393" t="str">
            <v>Final</v>
          </cell>
          <cell r="G393" t="str">
            <v>Final Collected</v>
          </cell>
          <cell r="H393" t="str">
            <v>No</v>
          </cell>
          <cell r="I393" t="str">
            <v>Efrain Zarate, Trevor Benthagen</v>
          </cell>
          <cell r="J393" t="str">
            <v/>
          </cell>
          <cell r="K393" t="str">
            <v>https://panda-windows-and-doors.monday.com/protected_static/21046287/resources/2199300827/smtp.office365.com_20250611_075715.pdf</v>
          </cell>
          <cell r="L393" t="str">
            <v>https://panda-windows-and-doors.monday.com/protected_static/21046287/resources/2199333453/smtp.office365.com_20250611_082920.pdf</v>
          </cell>
          <cell r="M393" t="str">
            <v/>
          </cell>
          <cell r="N393" t="str">
            <v>https://panda-windows-and-doors.monday.com/protected_static/21046287/resources/2199485860/85950 Deposit Invoice.pdf</v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>
            <v>7351</v>
          </cell>
          <cell r="V393">
            <v>7350</v>
          </cell>
          <cell r="W393" t="str">
            <v>George Bails Sep 16, 2025 1:45 PM</v>
          </cell>
          <cell r="X393" t="str">
            <v>2025-06-11 00:00</v>
          </cell>
          <cell r="Y393">
            <v>45819</v>
          </cell>
          <cell r="Z393" t="str">
            <v/>
          </cell>
          <cell r="AA393">
            <v>45819</v>
          </cell>
          <cell r="AB393" t="str">
            <v>Jayme Truong Jun 11, 2025 10:53 AM</v>
          </cell>
          <cell r="AC393">
            <v>45819</v>
          </cell>
          <cell r="AD393">
            <v>45832</v>
          </cell>
          <cell r="AE393" t="str">
            <v/>
          </cell>
          <cell r="AF393">
            <v>45912</v>
          </cell>
          <cell r="AG393">
            <v>45916</v>
          </cell>
          <cell r="AH393" t="str">
            <v>Bend Commercial Glass &amp; Door</v>
          </cell>
          <cell r="AI393" t="str">
            <v/>
          </cell>
        </row>
        <row r="394">
          <cell r="C394">
            <v>85758</v>
          </cell>
          <cell r="D394">
            <v>45826</v>
          </cell>
          <cell r="E394" t="str">
            <v/>
          </cell>
          <cell r="F394" t="str">
            <v>Final</v>
          </cell>
          <cell r="G394" t="str">
            <v>Final Collected</v>
          </cell>
          <cell r="H394" t="str">
            <v>No</v>
          </cell>
          <cell r="I394" t="str">
            <v>Mary Wursten</v>
          </cell>
          <cell r="J394" t="str">
            <v/>
          </cell>
          <cell r="K394" t="str">
            <v>https://panda-windows-and-doors.monday.com/protected_static/21046287/resources/2186903927/Trolese Signed Sales Order (bi-fold).pdf</v>
          </cell>
          <cell r="L394" t="str">
            <v>https://panda-windows-and-doors.monday.com/protected_static/21046287/resources/2187425925/Signed Backer Trolese Bi-Fold 060525.pdf</v>
          </cell>
          <cell r="M394" t="str">
            <v/>
          </cell>
          <cell r="N394" t="str">
            <v>https://panda-windows-and-doors.monday.com/protected_static/21046287/resources/2188565083/85758 Deposit Invoice.pdf, https://panda-windows-and-doors.monday.com/protected_static/21046287/resources/2216398662/85758  Deposit Invoice CO 1.pdf</v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>
            <v>3132</v>
          </cell>
          <cell r="V394">
            <v>3831</v>
          </cell>
          <cell r="W394" t="str">
            <v>George Bails Sep 16, 2025 4:34 PM</v>
          </cell>
          <cell r="X394" t="str">
            <v/>
          </cell>
          <cell r="Y394">
            <v>45826</v>
          </cell>
          <cell r="Z394" t="str">
            <v/>
          </cell>
          <cell r="AA394">
            <v>45826</v>
          </cell>
          <cell r="AB394" t="str">
            <v>Jayme Truong Jun 5, 2025 7:13 AM</v>
          </cell>
          <cell r="AC394">
            <v>45813</v>
          </cell>
          <cell r="AD394">
            <v>45846</v>
          </cell>
          <cell r="AE394">
            <v>45896</v>
          </cell>
          <cell r="AF394">
            <v>45896</v>
          </cell>
          <cell r="AG394">
            <v>45916</v>
          </cell>
          <cell r="AH394" t="str">
            <v>Alex Trolese</v>
          </cell>
          <cell r="AI394">
            <v>45826</v>
          </cell>
        </row>
        <row r="395">
          <cell r="C395">
            <v>75247</v>
          </cell>
          <cell r="D395" t="str">
            <v/>
          </cell>
          <cell r="E395" t="str">
            <v/>
          </cell>
          <cell r="F395" t="str">
            <v>Final</v>
          </cell>
          <cell r="G395" t="str">
            <v>Final Collected</v>
          </cell>
          <cell r="H395" t="str">
            <v>No</v>
          </cell>
          <cell r="I395" t="str">
            <v>Luke Valles</v>
          </cell>
          <cell r="J395" t="str">
            <v/>
          </cell>
          <cell r="K395" t="str">
            <v>https://panda-windows-and-doors.monday.com/protected_static/21046287/resources/2090243022/QQ#75247 - CoStar Projects - Folding 1.1 - 031523- Signed.pdf</v>
          </cell>
          <cell r="L395" t="str">
            <v>https://panda-windows-and-doors.monday.com/protected_static/21046287/resources/2083578337/CoStar Projects - Folding 1.1 - 031523.pdf, https://panda-windows-and-doors.monday.com/protected_static/21046287/resources/2090242166/75247 CoStar - CO#2 - 081224.xlsx</v>
          </cell>
          <cell r="M395" t="str">
            <v/>
          </cell>
          <cell r="N395" t="str">
            <v>https://panda-windows-and-doors.monday.com/protected_static/21046287/resources/2081189483/75247 Deposit Invoice.pdf, https://panda-windows-and-doors.monday.com/protected_static/21046287/resources/2081189482/75247 change order deposit.pdf, https://panda-windows-and-doors.monday.com/protected_static/21046287/resources/2081189480/75247 REVISED DEPOSIT INVOICE.pdf</v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>
            <v>173693</v>
          </cell>
          <cell r="V395">
            <v>194534.04</v>
          </cell>
          <cell r="W395" t="str">
            <v>Elizabet Lopez Sep 16, 2025 2:11 PM</v>
          </cell>
          <cell r="X395" t="str">
            <v>2025-04-14 00:00</v>
          </cell>
          <cell r="Y395">
            <v>45525</v>
          </cell>
          <cell r="Z395" t="str">
            <v/>
          </cell>
          <cell r="AA395">
            <v>45525</v>
          </cell>
          <cell r="AB395" t="str">
            <v>Jayme Truong Apr 14, 2025 4:04 PM</v>
          </cell>
          <cell r="AC395">
            <v>45525</v>
          </cell>
          <cell r="AD395">
            <v>45525</v>
          </cell>
          <cell r="AE395">
            <v>45889</v>
          </cell>
          <cell r="AF395">
            <v>45890</v>
          </cell>
          <cell r="AG395">
            <v>45916</v>
          </cell>
          <cell r="AH395" t="str">
            <v>Harmon Inc</v>
          </cell>
          <cell r="AI395" t="str">
            <v/>
          </cell>
        </row>
        <row r="396">
          <cell r="C396">
            <v>85185</v>
          </cell>
          <cell r="D396">
            <v>45891</v>
          </cell>
          <cell r="E396" t="str">
            <v/>
          </cell>
          <cell r="F396" t="str">
            <v>Final</v>
          </cell>
          <cell r="G396" t="str">
            <v>Final Collected</v>
          </cell>
          <cell r="H396" t="str">
            <v>No</v>
          </cell>
          <cell r="I396" t="str">
            <v>Luke Valles</v>
          </cell>
          <cell r="J396" t="str">
            <v/>
          </cell>
          <cell r="K396" t="str">
            <v>https://panda-windows-and-doors.monday.com/protected_static/21046287/resources/2169733751/85185 Kelli Nemer Stone Barn Folding - signed proposal.pdf</v>
          </cell>
          <cell r="L396" t="str">
            <v>https://panda-windows-and-doors.monday.com/protected_static/21046287/resources/2169738584/85185 Kelli Nemer Stone Barn Folding - signed backer.pdf</v>
          </cell>
          <cell r="M396" t="str">
            <v/>
          </cell>
          <cell r="N396" t="str">
            <v>https://panda-windows-and-doors.monday.com/protected_static/21046287/resources/2171559389/85185 Deposit Invoice.pdf, https://panda-windows-and-doors.monday.com/protected_static/21046287/resources/2382945710/85185 Deposit Invoice CO 1.pdf</v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>
            <v>8748</v>
          </cell>
          <cell r="V396">
            <v>12405</v>
          </cell>
          <cell r="W396" t="str">
            <v>George Bails Sep 21, 2025 9:35 PM</v>
          </cell>
          <cell r="X396" t="str">
            <v>2025-05-15 00:00</v>
          </cell>
          <cell r="Y396">
            <v>45806</v>
          </cell>
          <cell r="Z396" t="str">
            <v/>
          </cell>
          <cell r="AA396">
            <v>45806</v>
          </cell>
          <cell r="AB396" t="str">
            <v>Jayme Truong May 29, 2025 8:23 AM</v>
          </cell>
          <cell r="AC396">
            <v>45806</v>
          </cell>
          <cell r="AD396">
            <v>45831</v>
          </cell>
          <cell r="AE396" t="str">
            <v/>
          </cell>
          <cell r="AF396">
            <v>45916</v>
          </cell>
          <cell r="AG396">
            <v>45919</v>
          </cell>
          <cell r="AH396" t="str">
            <v>Kelli Nemer Design</v>
          </cell>
          <cell r="AI396">
            <v>45891</v>
          </cell>
        </row>
        <row r="397">
          <cell r="C397">
            <v>83804</v>
          </cell>
          <cell r="D397" t="str">
            <v/>
          </cell>
          <cell r="E397" t="str">
            <v/>
          </cell>
          <cell r="F397" t="str">
            <v>Final</v>
          </cell>
          <cell r="G397" t="str">
            <v>Final Collected</v>
          </cell>
          <cell r="H397" t="str">
            <v>No</v>
          </cell>
          <cell r="I397" t="str">
            <v>Efrain Zarate, Trevor Benthagen</v>
          </cell>
          <cell r="J397" t="str">
            <v/>
          </cell>
          <cell r="K397" t="str">
            <v>https://panda-windows-and-doors.monday.com/protected_static/21046287/resources/2158557745/smtp.office365.com_20250522_072505.pdf</v>
          </cell>
          <cell r="L397" t="str">
            <v>https://panda-windows-and-doors.monday.com/protected_static/21046287/resources/2158557225/smtp.office365.com_20250522_072516.pdf</v>
          </cell>
          <cell r="M397" t="str">
            <v/>
          </cell>
          <cell r="N397" t="str">
            <v>https://panda-windows-and-doors.monday.com/protected_static/21046287/resources/2158916194/83804 Deposit Invoice.pdf</v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>
            <v>6108</v>
          </cell>
          <cell r="V397">
            <v>7130.01</v>
          </cell>
          <cell r="W397" t="str">
            <v>George Bails Oct 17, 2025 11:47 AM</v>
          </cell>
          <cell r="X397" t="str">
            <v>2025-02-10 00:00</v>
          </cell>
          <cell r="Y397">
            <v>45799</v>
          </cell>
          <cell r="Z397" t="str">
            <v/>
          </cell>
          <cell r="AA397">
            <v>45799</v>
          </cell>
          <cell r="AB397" t="str">
            <v>Jayme Truong May 22, 2025 10:09 AM</v>
          </cell>
          <cell r="AC397">
            <v>45799</v>
          </cell>
          <cell r="AD397">
            <v>45800</v>
          </cell>
          <cell r="AE397" t="str">
            <v/>
          </cell>
          <cell r="AF397" t="str">
            <v/>
          </cell>
          <cell r="AG397">
            <v>45922</v>
          </cell>
          <cell r="AH397" t="str">
            <v>GVR Room Renovation</v>
          </cell>
          <cell r="AI397" t="str">
            <v/>
          </cell>
        </row>
        <row r="398">
          <cell r="C398">
            <v>85200</v>
          </cell>
          <cell r="D398" t="str">
            <v/>
          </cell>
          <cell r="E398" t="str">
            <v/>
          </cell>
          <cell r="F398" t="str">
            <v>Final</v>
          </cell>
          <cell r="G398" t="str">
            <v>Final Collected</v>
          </cell>
          <cell r="H398" t="str">
            <v>No</v>
          </cell>
          <cell r="I398" t="str">
            <v>Troy Kite</v>
          </cell>
          <cell r="J398" t="str">
            <v/>
          </cell>
          <cell r="K398" t="str">
            <v>https://panda-windows-and-doors.monday.com/protected_static/21046287/resources/2290015760/QQ #85200 - Couzens-Schultz VanLenten Residence - 07152025_Signed.pdf</v>
          </cell>
          <cell r="L398" t="str">
            <v>https://panda-windows-and-doors.monday.com/protected_static/21046287/resources/2290015219/smtp.office365.com_20250715_094556.pdf</v>
          </cell>
          <cell r="M398" t="str">
            <v/>
          </cell>
          <cell r="N398" t="str">
            <v>https://panda-windows-and-doors.monday.com/protected_static/21046287/resources/2290338920/85200 Deposit Invoice.pdf</v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>
            <v>18478</v>
          </cell>
          <cell r="V398">
            <v>0</v>
          </cell>
          <cell r="W398" t="str">
            <v>Annalene Conde Sep 22, 2025 3:24 PM</v>
          </cell>
          <cell r="X398" t="str">
            <v>2025-04-24 07:25</v>
          </cell>
          <cell r="Y398">
            <v>45853</v>
          </cell>
          <cell r="Z398" t="str">
            <v/>
          </cell>
          <cell r="AA398">
            <v>45853</v>
          </cell>
          <cell r="AB398" t="str">
            <v>Jayme Truong Jul 15, 2025 12:39 PM</v>
          </cell>
          <cell r="AC398">
            <v>45853</v>
          </cell>
          <cell r="AD398">
            <v>45859</v>
          </cell>
          <cell r="AE398">
            <v>45922</v>
          </cell>
          <cell r="AF398" t="str">
            <v/>
          </cell>
          <cell r="AG398">
            <v>45922</v>
          </cell>
          <cell r="AH398" t="str">
            <v>Carly Berger</v>
          </cell>
          <cell r="AI398" t="str">
            <v/>
          </cell>
        </row>
        <row r="399">
          <cell r="C399">
            <v>85961</v>
          </cell>
          <cell r="D399" t="str">
            <v/>
          </cell>
          <cell r="E399" t="str">
            <v/>
          </cell>
          <cell r="F399" t="str">
            <v>Final</v>
          </cell>
          <cell r="G399" t="str">
            <v>Final Collected</v>
          </cell>
          <cell r="H399" t="str">
            <v>No</v>
          </cell>
          <cell r="I399" t="str">
            <v>Trevor Benthagen, Efrain Zarate</v>
          </cell>
          <cell r="J399" t="str">
            <v/>
          </cell>
          <cell r="K399" t="str">
            <v>https://panda-windows-and-doors.monday.com/protected_static/21046287/resources/2268516913/smtp.office365.com_20250703_121449.pdf</v>
          </cell>
          <cell r="L399" t="str">
            <v>https://panda-windows-and-doors.monday.com/protected_static/21046287/resources/2268517085/smtp.office365.com_20250703_121500.pdf</v>
          </cell>
          <cell r="M399" t="str">
            <v/>
          </cell>
          <cell r="N399" t="str">
            <v>https://panda-windows-and-doors.monday.com/protected_static/21046287/resources/2268670590/85961 Deposit Invoice.pdf</v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>
            <v>10141</v>
          </cell>
          <cell r="V399">
            <v>11344.43</v>
          </cell>
          <cell r="W399" t="str">
            <v>George Bails Sep 23, 2025 11:17 AM</v>
          </cell>
          <cell r="X399" t="str">
            <v>2025-06-06 00:00</v>
          </cell>
          <cell r="Y399">
            <v>45841</v>
          </cell>
          <cell r="Z399" t="str">
            <v/>
          </cell>
          <cell r="AA399">
            <v>45841</v>
          </cell>
          <cell r="AB399" t="str">
            <v>Jayme Truong Jul 3, 2025 2:50 PM</v>
          </cell>
          <cell r="AC399">
            <v>45841</v>
          </cell>
          <cell r="AD399">
            <v>45847</v>
          </cell>
          <cell r="AE399" t="str">
            <v/>
          </cell>
          <cell r="AF399">
            <v>45911</v>
          </cell>
          <cell r="AG399">
            <v>45923</v>
          </cell>
          <cell r="AH399" t="str">
            <v>Norden Construction</v>
          </cell>
          <cell r="AI399" t="str">
            <v/>
          </cell>
        </row>
        <row r="400">
          <cell r="C400">
            <v>86588</v>
          </cell>
          <cell r="D400" t="str">
            <v/>
          </cell>
          <cell r="E400" t="str">
            <v/>
          </cell>
          <cell r="F400" t="str">
            <v>Final</v>
          </cell>
          <cell r="G400" t="str">
            <v>Final Collected</v>
          </cell>
          <cell r="H400" t="str">
            <v>No</v>
          </cell>
          <cell r="I400" t="str">
            <v>Sean Torre</v>
          </cell>
          <cell r="J400" t="str">
            <v/>
          </cell>
          <cell r="K400" t="str">
            <v>https://panda-windows-and-doors.monday.com/protected_static/21046287/resources/2306029552/Panda 2 approval.pdf</v>
          </cell>
          <cell r="L400" t="str">
            <v>https://panda-windows-and-doors.monday.com/protected_static/21046287/resources/2306029631/CamScanner 7-23-25 07.08.pdf</v>
          </cell>
          <cell r="M400" t="str">
            <v/>
          </cell>
          <cell r="N400" t="str">
            <v>https://panda-windows-and-doors.monday.com/protected_static/21046287/resources/2306614185/86588 Deposit Invoice.pdf</v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>
            <v>10570</v>
          </cell>
          <cell r="V400">
            <v>10570</v>
          </cell>
          <cell r="W400" t="str">
            <v>George Bails Sep 24, 2025 8:32 AM</v>
          </cell>
          <cell r="X400" t="str">
            <v>2025-07-23 00:00</v>
          </cell>
          <cell r="Y400">
            <v>45861</v>
          </cell>
          <cell r="Z400" t="str">
            <v/>
          </cell>
          <cell r="AA400">
            <v>45861</v>
          </cell>
          <cell r="AB400" t="str">
            <v>Jayme Truong Jul 23, 2025 8:09 AM</v>
          </cell>
          <cell r="AC400">
            <v>45861</v>
          </cell>
          <cell r="AD400">
            <v>45861</v>
          </cell>
          <cell r="AE400" t="str">
            <v/>
          </cell>
          <cell r="AF400">
            <v>45922</v>
          </cell>
          <cell r="AG400">
            <v>45923</v>
          </cell>
          <cell r="AH400" t="str">
            <v>Dwellings , Inc</v>
          </cell>
          <cell r="AI400" t="str">
            <v/>
          </cell>
        </row>
        <row r="401">
          <cell r="C401">
            <v>84561</v>
          </cell>
          <cell r="D401" t="str">
            <v/>
          </cell>
          <cell r="E401" t="str">
            <v/>
          </cell>
          <cell r="F401" t="str">
            <v>Final</v>
          </cell>
          <cell r="G401" t="str">
            <v>Final Collected</v>
          </cell>
          <cell r="H401" t="str">
            <v>No</v>
          </cell>
          <cell r="I401" t="str">
            <v>Efrain Zarate, Trevor Benthagen</v>
          </cell>
          <cell r="J401" t="str">
            <v/>
          </cell>
          <cell r="K401" t="str">
            <v>https://panda-windows-and-doors.monday.com/protected_static/21046287/resources/2165825753/McKenna window Panda order20250522_16135698.pdf</v>
          </cell>
          <cell r="L401" t="str">
            <v>https://panda-windows-and-doors.monday.com/protected_static/21046287/resources/2165830735/Q#84561.pdf</v>
          </cell>
          <cell r="M401" t="str">
            <v/>
          </cell>
          <cell r="N401" t="str">
            <v>https://panda-windows-and-doors.monday.com/protected_static/21046287/resources/2166363213/Estimate 9697.pdf</v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>
            <v>16976</v>
          </cell>
          <cell r="V401">
            <v>18837.919999999998</v>
          </cell>
          <cell r="W401" t="str">
            <v>George Bails Sep 24, 2025 8:23 AM</v>
          </cell>
          <cell r="X401" t="str">
            <v>2025-03-25 00:00</v>
          </cell>
          <cell r="Y401">
            <v>45804</v>
          </cell>
          <cell r="Z401" t="str">
            <v/>
          </cell>
          <cell r="AA401">
            <v>45804</v>
          </cell>
          <cell r="AB401" t="str">
            <v>Jayme Truong May 27, 2025 8:53 AM</v>
          </cell>
          <cell r="AC401">
            <v>45804</v>
          </cell>
          <cell r="AD401">
            <v>45804</v>
          </cell>
          <cell r="AE401" t="str">
            <v/>
          </cell>
          <cell r="AF401">
            <v>45923</v>
          </cell>
          <cell r="AG401">
            <v>45923</v>
          </cell>
          <cell r="AH401" t="str">
            <v>Patrick McKenna</v>
          </cell>
          <cell r="AI401" t="str">
            <v/>
          </cell>
        </row>
        <row r="402">
          <cell r="C402">
            <v>85208</v>
          </cell>
          <cell r="D402" t="str">
            <v/>
          </cell>
          <cell r="E402" t="str">
            <v/>
          </cell>
          <cell r="F402" t="str">
            <v>Final</v>
          </cell>
          <cell r="G402" t="str">
            <v>Final Collected</v>
          </cell>
          <cell r="H402" t="str">
            <v>No</v>
          </cell>
          <cell r="I402" t="str">
            <v>Luke Valles</v>
          </cell>
          <cell r="J402" t="str">
            <v/>
          </cell>
          <cell r="K402" t="str">
            <v>https://panda-windows-and-doors.monday.com/protected_static/21046287/resources/2169814849/85208 - 435 E Lake Drive - signed proposal.pdf</v>
          </cell>
          <cell r="L402" t="str">
            <v>https://panda-windows-and-doors.monday.com/protected_static/21046287/resources/2169814929/85208 - 435 E Lake Drive - signed backer.pdf</v>
          </cell>
          <cell r="M402" t="str">
            <v/>
          </cell>
          <cell r="N402" t="str">
            <v>https://panda-windows-and-doors.monday.com/protected_static/21046287/resources/2169865971/85208 deposit invoice.pdf</v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>
            <v>39335</v>
          </cell>
          <cell r="V402">
            <v>45941.919999999998</v>
          </cell>
          <cell r="W402" t="str">
            <v>George Bails Sep 24, 2025 8:20 AM</v>
          </cell>
          <cell r="X402" t="str">
            <v>2025-04-14 12:53</v>
          </cell>
          <cell r="Y402">
            <v>45805</v>
          </cell>
          <cell r="Z402" t="str">
            <v/>
          </cell>
          <cell r="AA402">
            <v>45805</v>
          </cell>
          <cell r="AB402" t="str">
            <v>Jayme Truong May 28, 2025 4:36 PM</v>
          </cell>
          <cell r="AC402">
            <v>45805</v>
          </cell>
          <cell r="AD402">
            <v>45820</v>
          </cell>
          <cell r="AE402" t="str">
            <v/>
          </cell>
          <cell r="AF402">
            <v>45922</v>
          </cell>
          <cell r="AG402">
            <v>45923</v>
          </cell>
          <cell r="AH402" t="str">
            <v>Ferrandino and Son</v>
          </cell>
          <cell r="AI402" t="str">
            <v/>
          </cell>
        </row>
        <row r="403">
          <cell r="C403">
            <v>85023</v>
          </cell>
          <cell r="D403">
            <v>45817</v>
          </cell>
          <cell r="E403" t="str">
            <v/>
          </cell>
          <cell r="F403" t="str">
            <v>Final</v>
          </cell>
          <cell r="G403" t="str">
            <v>Final Collected</v>
          </cell>
          <cell r="H403" t="str">
            <v>No</v>
          </cell>
          <cell r="I403" t="str">
            <v>Sean Torre</v>
          </cell>
          <cell r="J403" t="str">
            <v/>
          </cell>
          <cell r="K403" t="str">
            <v>https://panda-windows-and-doors.monday.com/protected_static/21046287/resources/2093121786/Longfield - signed proposal.pdf</v>
          </cell>
          <cell r="L403" t="str">
            <v>https://panda-windows-and-doors.monday.com/protected_static/21046287/resources/2093122046/Long field - signed backer.pdf</v>
          </cell>
          <cell r="M403" t="str">
            <v/>
          </cell>
          <cell r="N403" t="str">
            <v>https://panda-windows-and-doors.monday.com/protected_static/21046287/resources/2094509717/85023 Deposit Invoice.pdf</v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>
            <v>7500</v>
          </cell>
          <cell r="V403">
            <v>7711.23</v>
          </cell>
          <cell r="W403" t="str">
            <v>George Bails Sep 24, 2025 8:12 AM</v>
          </cell>
          <cell r="X403" t="str">
            <v>2025-04-12 08:21</v>
          </cell>
          <cell r="Y403">
            <v>45768</v>
          </cell>
          <cell r="Z403" t="str">
            <v/>
          </cell>
          <cell r="AA403">
            <v>45817</v>
          </cell>
          <cell r="AB403" t="str">
            <v>Jayme Truong Apr 21, 2025 4:38 PM</v>
          </cell>
          <cell r="AC403">
            <v>45769</v>
          </cell>
          <cell r="AD403">
            <v>45772</v>
          </cell>
          <cell r="AE403" t="str">
            <v/>
          </cell>
          <cell r="AF403">
            <v>45916</v>
          </cell>
          <cell r="AG403">
            <v>45923</v>
          </cell>
          <cell r="AH403" t="str">
            <v>Tina Longfield</v>
          </cell>
          <cell r="AI403">
            <v>45817</v>
          </cell>
        </row>
        <row r="404">
          <cell r="C404">
            <v>78169</v>
          </cell>
          <cell r="D404" t="str">
            <v/>
          </cell>
          <cell r="E404" t="str">
            <v/>
          </cell>
          <cell r="F404" t="str">
            <v>Final</v>
          </cell>
          <cell r="G404" t="str">
            <v>Final Collected</v>
          </cell>
          <cell r="H404" t="str">
            <v>No</v>
          </cell>
          <cell r="I404" t="str">
            <v>Sean Torre</v>
          </cell>
          <cell r="J404" t="str">
            <v/>
          </cell>
          <cell r="K404" t="str">
            <v>https://panda-windows-and-doors.monday.com/protected_static/21046287/resources/2266180961/202507021331 (1) (1).pdf</v>
          </cell>
          <cell r="L404" t="str">
            <v>https://panda-windows-and-doors.monday.com/protected_static/21046287/resources/2294936553/CamScanner 7-17-25 09.32.pdf</v>
          </cell>
          <cell r="M404" t="str">
            <v/>
          </cell>
          <cell r="N404" t="str">
            <v>https://panda-windows-and-doors.monday.com/protected_static/21046287/resources/2266241350/78169 Deposit Invoice.pdf</v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>
            <v>17947.990000000002</v>
          </cell>
          <cell r="V404">
            <v>0</v>
          </cell>
          <cell r="W404" t="str">
            <v>Annalene Conde Sep 25, 2025 12:30 PM</v>
          </cell>
          <cell r="X404" t="str">
            <v>2025-07-01 00:00</v>
          </cell>
          <cell r="Y404">
            <v>45840</v>
          </cell>
          <cell r="Z404" t="str">
            <v/>
          </cell>
          <cell r="AA404">
            <v>45840</v>
          </cell>
          <cell r="AB404" t="str">
            <v>Jayme Truong Jul 2, 2025 12:53 PM</v>
          </cell>
          <cell r="AC404">
            <v>45840</v>
          </cell>
          <cell r="AD404">
            <v>45854</v>
          </cell>
          <cell r="AE404" t="str">
            <v/>
          </cell>
          <cell r="AF404" t="str">
            <v/>
          </cell>
          <cell r="AG404">
            <v>45925</v>
          </cell>
          <cell r="AH404" t="str">
            <v>Collin Grist</v>
          </cell>
          <cell r="AI404" t="str">
            <v/>
          </cell>
        </row>
        <row r="405">
          <cell r="C405">
            <v>87034</v>
          </cell>
          <cell r="D405">
            <v>45918</v>
          </cell>
          <cell r="E405" t="str">
            <v/>
          </cell>
          <cell r="F405" t="str">
            <v>Final</v>
          </cell>
          <cell r="G405" t="str">
            <v>Final Collected</v>
          </cell>
          <cell r="H405" t="str">
            <v>⚠️ Expedited</v>
          </cell>
          <cell r="I405" t="str">
            <v>Sean Torre</v>
          </cell>
          <cell r="J405" t="str">
            <v/>
          </cell>
          <cell r="K405" t="str">
            <v>https://panda-windows-and-doors.monday.com/protected_static/21046287/resources/2374310802/QQ #87034- Unit 4 CFW - 08222025 (1) (1) (1).pdf</v>
          </cell>
          <cell r="L405" t="str">
            <v>https://panda-windows-and-doors.monday.com/protected_static/21046287/resources/2374310713/CamScanner 8-25-25 09.33.pdf, https://panda-windows-and-doors.monday.com/protected_static/21046287/resources/2434824827/CamScanner 9-22-25 08.10.pdf</v>
          </cell>
          <cell r="M405" t="str">
            <v/>
          </cell>
          <cell r="N405" t="str">
            <v>https://panda-windows-and-doors.monday.com/protected_static/21046287/resources/2374909675/87034 Deposit Invoice.pdf, https://panda-windows-and-doors.monday.com/protected_static/21046287/resources/2429016430/87034 Revised Deposit Invoice Expedited.pdf</v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>
            <v>4588.53</v>
          </cell>
          <cell r="V405">
            <v>2330</v>
          </cell>
          <cell r="W405" t="str">
            <v>Annalene Conde Sep 25, 2025 2:04 PM</v>
          </cell>
          <cell r="X405" t="str">
            <v>2025-08-25 00:00</v>
          </cell>
          <cell r="Y405">
            <v>45894</v>
          </cell>
          <cell r="Z405" t="str">
            <v/>
          </cell>
          <cell r="AA405">
            <v>45894</v>
          </cell>
          <cell r="AB405" t="str">
            <v>Jayme Truong Aug 25, 2025 10:48 AM</v>
          </cell>
          <cell r="AC405">
            <v>45894</v>
          </cell>
          <cell r="AD405">
            <v>45909</v>
          </cell>
          <cell r="AE405" t="str">
            <v/>
          </cell>
          <cell r="AF405" t="str">
            <v/>
          </cell>
          <cell r="AG405">
            <v>45925</v>
          </cell>
          <cell r="AH405" t="str">
            <v>Charles Sherrow</v>
          </cell>
          <cell r="AI405">
            <v>45918</v>
          </cell>
        </row>
        <row r="406">
          <cell r="C406">
            <v>86443</v>
          </cell>
          <cell r="D406" t="str">
            <v/>
          </cell>
          <cell r="E406" t="str">
            <v/>
          </cell>
          <cell r="F406" t="str">
            <v>Final</v>
          </cell>
          <cell r="G406" t="str">
            <v>Final Collected</v>
          </cell>
          <cell r="H406" t="str">
            <v>No</v>
          </cell>
          <cell r="I406" t="str">
            <v>Efrain Zarate</v>
          </cell>
          <cell r="J406" t="str">
            <v/>
          </cell>
          <cell r="K406" t="str">
            <v>https://panda-windows-and-doors.monday.com/protected_static/21046287/resources/2290067603/smtp.office365.com_20250715_102911.pdf</v>
          </cell>
          <cell r="L406" t="str">
            <v>https://panda-windows-and-doors.monday.com/protected_static/21046287/resources/2290067128/smtp.office365.com_20250715_102919.pdf</v>
          </cell>
          <cell r="M406" t="str">
            <v/>
          </cell>
          <cell r="N406" t="str">
            <v>https://panda-windows-and-doors.monday.com/protected_static/21046287/resources/2290450762/86443 - Deposit Invoice.pdf</v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>
            <v>14921</v>
          </cell>
          <cell r="V406">
            <v>14920</v>
          </cell>
          <cell r="W406" t="str">
            <v>George Bails Sep 29, 2025 3:14 PM</v>
          </cell>
          <cell r="X406" t="str">
            <v>2025-07-11 00:00</v>
          </cell>
          <cell r="Y406">
            <v>45853</v>
          </cell>
          <cell r="Z406" t="str">
            <v/>
          </cell>
          <cell r="AA406">
            <v>45853</v>
          </cell>
          <cell r="AB406" t="str">
            <v>Jayme Truong Jul 15, 2025 12:57 PM</v>
          </cell>
          <cell r="AC406">
            <v>45853</v>
          </cell>
          <cell r="AD406">
            <v>45856</v>
          </cell>
          <cell r="AE406" t="str">
            <v/>
          </cell>
          <cell r="AF406">
            <v>45922</v>
          </cell>
          <cell r="AG406">
            <v>45926</v>
          </cell>
          <cell r="AH406" t="str">
            <v>Triple R Construction</v>
          </cell>
          <cell r="AI406" t="str">
            <v/>
          </cell>
        </row>
        <row r="407">
          <cell r="C407">
            <v>85744</v>
          </cell>
          <cell r="D407" t="str">
            <v/>
          </cell>
          <cell r="E407" t="str">
            <v/>
          </cell>
          <cell r="F407" t="str">
            <v>Final</v>
          </cell>
          <cell r="G407" t="str">
            <v>Final Collected</v>
          </cell>
          <cell r="H407" t="str">
            <v>⚠️ Expedited</v>
          </cell>
          <cell r="I407" t="str">
            <v>Spencer Anderson</v>
          </cell>
          <cell r="J407" t="str">
            <v/>
          </cell>
          <cell r="K407" t="str">
            <v>https://panda-windows-and-doors.monday.com/protected_static/21046287/resources/2360603821/QQ #85744 - Sisley North Park - 08182025.pdf, https://panda-windows-and-doors.monday.com/protected_static/21046287/resources/2362925502/05232025_OrPANDA.pdf</v>
          </cell>
          <cell r="L407" t="str">
            <v>https://panda-windows-and-doors.monday.com/protected_static/21046287/resources/2360603385/smtp.office365.com_20250818_141314.pdf</v>
          </cell>
          <cell r="M407" t="str">
            <v/>
          </cell>
          <cell r="N407" t="str">
            <v>https://panda-windows-and-doors.monday.com/protected_static/21046287/resources/2363169460/85744 Deposit Invoice.pdf</v>
          </cell>
          <cell r="O407" t="str">
            <v/>
          </cell>
          <cell r="P407" t="str">
            <v/>
          </cell>
          <cell r="Q407" t="str">
            <v/>
          </cell>
          <cell r="R407" t="str">
            <v>https://panda-windows-and-doors.monday.com/protected_static/21046287/resources/2289664617/Polk Architectural - Sales &amp; Use Tax Permit  12-3-2019 - TX.pdf</v>
          </cell>
          <cell r="S407" t="str">
            <v/>
          </cell>
          <cell r="T407" t="str">
            <v/>
          </cell>
          <cell r="U407">
            <v>20133</v>
          </cell>
          <cell r="V407">
            <v>20133</v>
          </cell>
          <cell r="W407" t="str">
            <v>George Bails Sep 29, 2025 9:48 AM</v>
          </cell>
          <cell r="X407" t="str">
            <v/>
          </cell>
          <cell r="Y407">
            <v>45888</v>
          </cell>
          <cell r="Z407" t="str">
            <v/>
          </cell>
          <cell r="AA407">
            <v>45888</v>
          </cell>
          <cell r="AB407" t="str">
            <v>Annalene Conde Aug 19, 2025 9:11 AM</v>
          </cell>
          <cell r="AC407">
            <v>45896</v>
          </cell>
          <cell r="AD407">
            <v>45896</v>
          </cell>
          <cell r="AE407" t="str">
            <v/>
          </cell>
          <cell r="AF407">
            <v>45925</v>
          </cell>
          <cell r="AG407">
            <v>45929</v>
          </cell>
          <cell r="AH407" t="str">
            <v>Bill Polkinghorn</v>
          </cell>
          <cell r="AI407" t="str">
            <v/>
          </cell>
        </row>
        <row r="408">
          <cell r="C408">
            <v>86001</v>
          </cell>
          <cell r="D408" t="str">
            <v/>
          </cell>
          <cell r="E408" t="str">
            <v/>
          </cell>
          <cell r="F408" t="str">
            <v>Final</v>
          </cell>
          <cell r="G408" t="str">
            <v>Final Collected</v>
          </cell>
          <cell r="H408" t="str">
            <v>No</v>
          </cell>
          <cell r="I408" t="str">
            <v>Mary Wursten</v>
          </cell>
          <cell r="J408" t="str">
            <v/>
          </cell>
          <cell r="K408" t="str">
            <v>https://panda-windows-and-doors.monday.com/protected_static/21046287/resources/2228151913/img010.pdf</v>
          </cell>
          <cell r="L408" t="str">
            <v>https://panda-windows-and-doors.monday.com/protected_static/21046287/resources/2228155295/Copy of Sage Homes 6-20-2025.pdf</v>
          </cell>
          <cell r="M408" t="str">
            <v/>
          </cell>
          <cell r="N408" t="str">
            <v>https://panda-windows-and-doors.monday.com/protected_static/21046287/resources/2228881074/86001 Deposit Invoice.pdf</v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>
            <v>17207</v>
          </cell>
          <cell r="V408">
            <v>0</v>
          </cell>
          <cell r="W408" t="str">
            <v>Annalene Conde Sep 29, 2025 11:25 AM</v>
          </cell>
          <cell r="X408" t="str">
            <v>2025-06-09 00:00</v>
          </cell>
          <cell r="Y408">
            <v>45833</v>
          </cell>
          <cell r="Z408" t="str">
            <v/>
          </cell>
          <cell r="AA408">
            <v>45833</v>
          </cell>
          <cell r="AB408" t="str">
            <v>Jayme Truong Jun 25, 2025 8:47 AM</v>
          </cell>
          <cell r="AC408">
            <v>45833</v>
          </cell>
          <cell r="AD408">
            <v>45897</v>
          </cell>
          <cell r="AE408">
            <v>45929</v>
          </cell>
          <cell r="AF408" t="str">
            <v/>
          </cell>
          <cell r="AG408">
            <v>45929</v>
          </cell>
          <cell r="AH408" t="str">
            <v>Wenatchee Glass</v>
          </cell>
          <cell r="AI408" t="str">
            <v/>
          </cell>
        </row>
        <row r="409">
          <cell r="C409">
            <v>82488</v>
          </cell>
          <cell r="D409" t="str">
            <v/>
          </cell>
          <cell r="E409" t="str">
            <v/>
          </cell>
          <cell r="F409" t="str">
            <v>Final</v>
          </cell>
          <cell r="G409" t="str">
            <v>Final Collected</v>
          </cell>
          <cell r="H409" t="str">
            <v>No</v>
          </cell>
          <cell r="I409" t="str">
            <v>Luke Valles</v>
          </cell>
          <cell r="J409" t="str">
            <v/>
          </cell>
          <cell r="K409" t="str">
            <v>https://panda-windows-and-doors.monday.com/protected_static/21046287/resources/2074989443/QQ#82488  The Fieldhouse MA - Eastfield SIGNED.pdf</v>
          </cell>
          <cell r="L409" t="str">
            <v>https://panda-windows-and-doors.monday.com/protected_static/21046287/resources/2083420655/82488 The Field House - SIGNED BACKER.pdf</v>
          </cell>
          <cell r="M409" t="str">
            <v/>
          </cell>
          <cell r="N409" t="str">
            <v>https://panda-windows-and-doors.monday.com/protected_static/21046287/resources/2075115880/82488 Deposit Invoice.pdf</v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>
            <v>7118</v>
          </cell>
          <cell r="V409">
            <v>7117</v>
          </cell>
          <cell r="W409" t="str">
            <v>George Bails Sep 30, 2025 8:18 AM</v>
          </cell>
          <cell r="X409" t="str">
            <v>2025-04-10 00:00</v>
          </cell>
          <cell r="Y409">
            <v>45757</v>
          </cell>
          <cell r="Z409" t="str">
            <v/>
          </cell>
          <cell r="AA409">
            <v>45757</v>
          </cell>
          <cell r="AB409" t="str">
            <v>Jayme Truong Apr 10, 2025 12:16 PM</v>
          </cell>
          <cell r="AC409">
            <v>45757</v>
          </cell>
          <cell r="AD409">
            <v>45765</v>
          </cell>
          <cell r="AE409" t="str">
            <v/>
          </cell>
          <cell r="AF409">
            <v>45918</v>
          </cell>
          <cell r="AG409">
            <v>45929</v>
          </cell>
          <cell r="AH409" t="str">
            <v>Eastfield Glass</v>
          </cell>
          <cell r="AI409" t="str">
            <v/>
          </cell>
        </row>
        <row r="410">
          <cell r="C410">
            <v>84771</v>
          </cell>
          <cell r="D410" t="str">
            <v/>
          </cell>
          <cell r="E410" t="str">
            <v/>
          </cell>
          <cell r="F410" t="str">
            <v>Final</v>
          </cell>
          <cell r="G410" t="str">
            <v>Final Collected</v>
          </cell>
          <cell r="H410" t="str">
            <v>No</v>
          </cell>
          <cell r="I410" t="str">
            <v>Efrain Zarate, Trevor Benthagen</v>
          </cell>
          <cell r="J410" t="str">
            <v/>
          </cell>
          <cell r="K410" t="str">
            <v>https://panda-windows-and-doors.monday.com/protected_static/21046287/resources/2116507414/smtp.office365.com_20250502_063804.pdf</v>
          </cell>
          <cell r="L410" t="str">
            <v>https://panda-windows-and-doors.monday.com/protected_static/21046287/resources/2116522043/smtp.office365.com_20250502_064824.pdf</v>
          </cell>
          <cell r="M410" t="str">
            <v/>
          </cell>
          <cell r="N410" t="str">
            <v>https://panda-windows-and-doors.monday.com/protected_static/21046287/resources/2117490873/84771 Deposit Invoice.pdf</v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>
            <v>13969</v>
          </cell>
          <cell r="V410">
            <v>16308.81</v>
          </cell>
          <cell r="W410" t="str">
            <v>Annalene Conde Sep 30, 2025 3:14 PM</v>
          </cell>
          <cell r="X410" t="str">
            <v>2025-04-02 00:00</v>
          </cell>
          <cell r="Y410">
            <v>45779</v>
          </cell>
          <cell r="Z410" t="str">
            <v/>
          </cell>
          <cell r="AA410">
            <v>45779</v>
          </cell>
          <cell r="AB410" t="str">
            <v>Jayme Truong May 2, 2025 9:22 AM</v>
          </cell>
          <cell r="AC410">
            <v>45779</v>
          </cell>
          <cell r="AD410">
            <v>45779</v>
          </cell>
          <cell r="AE410">
            <v>45897</v>
          </cell>
          <cell r="AF410">
            <v>45897</v>
          </cell>
          <cell r="AG410">
            <v>45930</v>
          </cell>
          <cell r="AH410" t="str">
            <v>Mitch Britten</v>
          </cell>
          <cell r="AI410" t="str">
            <v/>
          </cell>
        </row>
        <row r="411">
          <cell r="C411">
            <v>85278</v>
          </cell>
          <cell r="D411" t="str">
            <v/>
          </cell>
          <cell r="E411" t="str">
            <v/>
          </cell>
          <cell r="F411" t="str">
            <v>Final</v>
          </cell>
          <cell r="G411" t="str">
            <v>Final Collected</v>
          </cell>
          <cell r="H411" t="str">
            <v>⚠️ Expedited</v>
          </cell>
          <cell r="I411" t="str">
            <v>Troy Kite</v>
          </cell>
          <cell r="J411" t="str">
            <v/>
          </cell>
          <cell r="K411" t="str">
            <v>https://panda-windows-and-doors.monday.com/protected_static/21046287/resources/2273578263/QQ #85278 - 3500 N Project - 07072025.pdf</v>
          </cell>
          <cell r="L411" t="str">
            <v>https://panda-windows-and-doors.monday.com/protected_static/21046287/resources/2273577897/Signed Backer RPIL.pdf</v>
          </cell>
          <cell r="M411" t="str">
            <v/>
          </cell>
          <cell r="N411" t="str">
            <v>https://panda-windows-and-doors.monday.com/protected_static/21046287/resources/2275271725/85278 Deposit invoice.pdf</v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>
            <v>37382</v>
          </cell>
          <cell r="V411">
            <v>23422.7</v>
          </cell>
          <cell r="W411" t="str">
            <v>Elizabet Lopez Feb 25, 2026 3:24 PM</v>
          </cell>
          <cell r="X411" t="str">
            <v>2025-04-07 12:53</v>
          </cell>
          <cell r="Y411">
            <v>45845</v>
          </cell>
          <cell r="Z411" t="str">
            <v/>
          </cell>
          <cell r="AA411">
            <v>45845</v>
          </cell>
          <cell r="AB411" t="str">
            <v>Jayme Truong Jul 7, 2025 4:56 PM</v>
          </cell>
          <cell r="AC411">
            <v>45846</v>
          </cell>
          <cell r="AD411">
            <v>45847</v>
          </cell>
          <cell r="AE411" t="str">
            <v/>
          </cell>
          <cell r="AF411">
            <v>45930</v>
          </cell>
          <cell r="AG411">
            <v>45930</v>
          </cell>
          <cell r="AH411" t="str">
            <v>Ronald  Patnik</v>
          </cell>
          <cell r="AI411" t="str">
            <v/>
          </cell>
        </row>
        <row r="412">
          <cell r="C412">
            <v>84357</v>
          </cell>
          <cell r="D412" t="str">
            <v/>
          </cell>
          <cell r="E412" t="str">
            <v/>
          </cell>
          <cell r="F412" t="str">
            <v>Final</v>
          </cell>
          <cell r="G412" t="str">
            <v>Final Collected</v>
          </cell>
          <cell r="H412" t="str">
            <v>No</v>
          </cell>
          <cell r="I412" t="str">
            <v>Efrain Zarate, Trevor Benthagen</v>
          </cell>
          <cell r="J412" t="str">
            <v/>
          </cell>
          <cell r="K412" t="str">
            <v>https://panda-windows-and-doors.monday.com/protected_static/21046287/resources/2254386804/smtp.office365.com_20250627_070016.pdf</v>
          </cell>
          <cell r="L412" t="str">
            <v>https://panda-windows-and-doors.monday.com/protected_static/21046287/resources/2254386541/smtp.office365.com_20250627_070029.pdf</v>
          </cell>
          <cell r="M412" t="str">
            <v/>
          </cell>
          <cell r="N412" t="str">
            <v>https://panda-windows-and-doors.monday.com/protected_static/21046287/resources/2255969372/84357 Deposit Invoice.pdf</v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>
            <v>10276</v>
          </cell>
          <cell r="V412">
            <v>11996.15</v>
          </cell>
          <cell r="W412" t="str">
            <v>George Bails Oct 3, 2025 8:32 AM</v>
          </cell>
          <cell r="X412" t="str">
            <v>2025-03-12 00:00</v>
          </cell>
          <cell r="Y412">
            <v>45835</v>
          </cell>
          <cell r="Z412" t="str">
            <v/>
          </cell>
          <cell r="AA412">
            <v>45835</v>
          </cell>
          <cell r="AB412" t="str">
            <v>Jayme Truong Jun 27, 2025 9:39 AM</v>
          </cell>
          <cell r="AC412">
            <v>45835</v>
          </cell>
          <cell r="AD412">
            <v>45840</v>
          </cell>
          <cell r="AE412">
            <v>45926</v>
          </cell>
          <cell r="AF412">
            <v>45926</v>
          </cell>
          <cell r="AG412">
            <v>45931</v>
          </cell>
          <cell r="AH412" t="str">
            <v>Q Construction</v>
          </cell>
          <cell r="AI412" t="str">
            <v/>
          </cell>
        </row>
        <row r="413">
          <cell r="C413">
            <v>85667</v>
          </cell>
          <cell r="D413" t="str">
            <v/>
          </cell>
          <cell r="E413" t="str">
            <v/>
          </cell>
          <cell r="F413" t="str">
            <v>Final</v>
          </cell>
          <cell r="G413" t="str">
            <v>Final Collected</v>
          </cell>
          <cell r="H413" t="str">
            <v>No</v>
          </cell>
          <cell r="I413" t="str">
            <v>Mary Wursten</v>
          </cell>
          <cell r="J413" t="str">
            <v/>
          </cell>
          <cell r="K413" t="str">
            <v>https://panda-windows-and-doors.monday.com/protected_static/21046287/resources/2188133030/QQ#85667 Dorokhov Residence 6-5-2025.pdf</v>
          </cell>
          <cell r="L413" t="str">
            <v>https://panda-windows-and-doors.monday.com/protected_static/21046287/resources/2188134132/Signed Backer Dorokhov Residence 060525.pdf</v>
          </cell>
          <cell r="M413" t="str">
            <v/>
          </cell>
          <cell r="N413" t="str">
            <v>https://panda-windows-and-doors.monday.com/protected_static/21046287/resources/2188506007/85667 Deposit Invoice.pdf</v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>
            <v>31476</v>
          </cell>
          <cell r="V413">
            <v>36245.870000000003</v>
          </cell>
          <cell r="W413" t="str">
            <v>George Bails Oct 3, 2025 10:02 AM</v>
          </cell>
          <cell r="X413" t="str">
            <v>2025-04-23 00:00</v>
          </cell>
          <cell r="Y413">
            <v>45813</v>
          </cell>
          <cell r="Z413" t="str">
            <v/>
          </cell>
          <cell r="AA413">
            <v>45813</v>
          </cell>
          <cell r="AB413" t="str">
            <v>Jayme Truong Jun 5, 2025 1:05 PM</v>
          </cell>
          <cell r="AC413">
            <v>45813</v>
          </cell>
          <cell r="AD413">
            <v>45814</v>
          </cell>
          <cell r="AE413" t="str">
            <v/>
          </cell>
          <cell r="AF413">
            <v>45932</v>
          </cell>
          <cell r="AG413">
            <v>45932</v>
          </cell>
          <cell r="AH413" t="str">
            <v>Ivan Zabo</v>
          </cell>
          <cell r="AI413" t="str">
            <v/>
          </cell>
        </row>
        <row r="414">
          <cell r="C414">
            <v>84941</v>
          </cell>
          <cell r="D414" t="str">
            <v/>
          </cell>
          <cell r="E414" t="str">
            <v/>
          </cell>
          <cell r="F414" t="str">
            <v>Final</v>
          </cell>
          <cell r="G414" t="str">
            <v>Final Collected</v>
          </cell>
          <cell r="H414" t="str">
            <v>No</v>
          </cell>
          <cell r="I414" t="str">
            <v>Sean Torre</v>
          </cell>
          <cell r="J414" t="str">
            <v/>
          </cell>
          <cell r="K414" t="str">
            <v>https://panda-windows-and-doors.monday.com/protected_static/21046287/resources/2281068234/30 Window.EXE.PatioDoor.REV2.Panda.061825.Gee.pdf</v>
          </cell>
          <cell r="L414" t="str">
            <v>https://panda-windows-and-doors.monday.com/protected_static/21046287/resources/2281068287/CamScanner 7-10-25 11.50.pdf</v>
          </cell>
          <cell r="M414" t="str">
            <v/>
          </cell>
          <cell r="N414" t="str">
            <v>https://panda-windows-and-doors.monday.com/protected_static/21046287/resources/2281684184/84941 - Deposit Invoice.pdf</v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>
            <v>7876</v>
          </cell>
          <cell r="V414">
            <v>9034.25</v>
          </cell>
          <cell r="W414" t="str">
            <v>George Bails Oct 8, 2025 3:28 PM</v>
          </cell>
          <cell r="X414" t="str">
            <v>2025-04-10 00:00</v>
          </cell>
          <cell r="Y414">
            <v>45848</v>
          </cell>
          <cell r="Z414" t="str">
            <v/>
          </cell>
          <cell r="AA414">
            <v>45848</v>
          </cell>
          <cell r="AB414" t="str">
            <v>Jayme Truong Jul 10, 2025 12:55 PM</v>
          </cell>
          <cell r="AC414">
            <v>45848</v>
          </cell>
          <cell r="AD414">
            <v>45852</v>
          </cell>
          <cell r="AE414">
            <v>45910</v>
          </cell>
          <cell r="AF414">
            <v>45910</v>
          </cell>
          <cell r="AG414">
            <v>45937</v>
          </cell>
          <cell r="AH414" t="str">
            <v>Sun Crest Design &amp; Construction</v>
          </cell>
          <cell r="AI414" t="str">
            <v/>
          </cell>
        </row>
        <row r="415">
          <cell r="C415">
            <v>80550</v>
          </cell>
          <cell r="D415" t="str">
            <v/>
          </cell>
          <cell r="E415" t="str">
            <v/>
          </cell>
          <cell r="F415" t="str">
            <v>Final</v>
          </cell>
          <cell r="G415" t="str">
            <v>Final Collected</v>
          </cell>
          <cell r="H415" t="str">
            <v>No</v>
          </cell>
          <cell r="I415" t="str">
            <v>Efrain Zarate, Trevor Benthagen</v>
          </cell>
          <cell r="J415" t="str">
            <v/>
          </cell>
          <cell r="K415" t="str">
            <v>https://panda-windows-and-doors.monday.com/protected_static/21046287/resources/1935504964/Q#80550 GUEST HOUSE SIGNED PROPOSAL.pdf</v>
          </cell>
          <cell r="L415" t="str">
            <v>https://panda-windows-and-doors.monday.com/protected_static/21046287/resources/2083301001/Q_80550 GUEST HOUSE SIGNED BACKER.pdf</v>
          </cell>
          <cell r="M415" t="str">
            <v/>
          </cell>
          <cell r="N415" t="str">
            <v>https://panda-windows-and-doors.monday.com/protected_static/21046287/resources/1935865006/80550 DEPOSIT INVOICE.pdf</v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>
            <v>32957</v>
          </cell>
          <cell r="V415">
            <v>43651.11</v>
          </cell>
          <cell r="W415" t="str">
            <v>George Bails Oct 8, 2025 3:19 PM</v>
          </cell>
          <cell r="X415" t="str">
            <v>2025-02-03 00:00</v>
          </cell>
          <cell r="Y415">
            <v>45691</v>
          </cell>
          <cell r="Z415" t="str">
            <v/>
          </cell>
          <cell r="AA415">
            <v>45691</v>
          </cell>
          <cell r="AB415" t="str">
            <v>Jayme Truong Feb 3, 2025 12:54 PM</v>
          </cell>
          <cell r="AC415" t="str">
            <v/>
          </cell>
          <cell r="AD415">
            <v>45691</v>
          </cell>
          <cell r="AE415" t="str">
            <v/>
          </cell>
          <cell r="AF415">
            <v>45912</v>
          </cell>
          <cell r="AG415">
            <v>45937</v>
          </cell>
          <cell r="AH415" t="str">
            <v>The Madison Companies</v>
          </cell>
          <cell r="AI415" t="str">
            <v/>
          </cell>
        </row>
        <row r="416">
          <cell r="C416">
            <v>83124</v>
          </cell>
          <cell r="D416" t="str">
            <v/>
          </cell>
          <cell r="E416" t="str">
            <v/>
          </cell>
          <cell r="F416" t="str">
            <v>Final</v>
          </cell>
          <cell r="G416" t="str">
            <v>Final Collected</v>
          </cell>
          <cell r="H416" t="str">
            <v>No</v>
          </cell>
          <cell r="I416" t="str">
            <v>Luke Valles</v>
          </cell>
          <cell r="J416" t="str">
            <v/>
          </cell>
          <cell r="K416" t="str">
            <v>https://panda-windows-and-doors.monday.com/protected_static/21046287/resources/2083782613/QQ#83124 1877 Aquetong Road 12172024.pdf, https://panda-windows-and-doors.monday.com/protected_static/21046287/resources/2083782614/83124 - 1877 Aquetong Road.pdf</v>
          </cell>
          <cell r="L416" t="str">
            <v>https://panda-windows-and-doors.monday.com/protected_static/21046287/resources/2083331302/83124 - 1877 Aquetong Road - Signed Backer.pdf, https://panda-windows-and-doors.monday.com/protected_static/21046287/resources/2083331306/1877 Aquetong Road 03062025.xlsx, https://panda-windows-and-doors.monday.com/protected_static/21046287/resources/2083331305/1877 Aquetong Road 12172024.xlsx</v>
          </cell>
          <cell r="M416" t="str">
            <v/>
          </cell>
          <cell r="N416" t="str">
            <v>https://panda-windows-and-doors.monday.com/protected_static/21046287/resources/2002495292/83124 - Deposit Invoice.pdf</v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>
            <v>17324</v>
          </cell>
          <cell r="V416">
            <v>19240.88</v>
          </cell>
          <cell r="W416" t="str">
            <v>George Bails Oct 8, 2025 3:21 PM</v>
          </cell>
          <cell r="X416" t="str">
            <v>2024-12-06 12:41</v>
          </cell>
          <cell r="Y416">
            <v>45723</v>
          </cell>
          <cell r="Z416" t="str">
            <v/>
          </cell>
          <cell r="AA416">
            <v>45723</v>
          </cell>
          <cell r="AB416" t="str">
            <v>Jayme Truong Mar 7, 2025 10:34 AM</v>
          </cell>
          <cell r="AC416">
            <v>45723</v>
          </cell>
          <cell r="AD416">
            <v>45727</v>
          </cell>
          <cell r="AE416" t="str">
            <v/>
          </cell>
          <cell r="AF416">
            <v>45925</v>
          </cell>
          <cell r="AG416">
            <v>45938</v>
          </cell>
          <cell r="AH416" t="str">
            <v>Wayne McDonald</v>
          </cell>
          <cell r="AI416" t="str">
            <v/>
          </cell>
        </row>
        <row r="417">
          <cell r="C417">
            <v>86123</v>
          </cell>
          <cell r="D417" t="str">
            <v/>
          </cell>
          <cell r="E417" t="str">
            <v/>
          </cell>
          <cell r="F417" t="str">
            <v>Final</v>
          </cell>
          <cell r="G417" t="str">
            <v>Final Collected</v>
          </cell>
          <cell r="H417" t="str">
            <v>No</v>
          </cell>
          <cell r="I417" t="str">
            <v>Mary Wursten</v>
          </cell>
          <cell r="J417" t="str">
            <v/>
          </cell>
          <cell r="K417" t="str">
            <v>https://panda-windows-and-doors.monday.com/protected_static/21046287/resources/2318178962/Trolese Signed Sales Order.pdf</v>
          </cell>
          <cell r="L417" t="str">
            <v>https://panda-windows-and-doors.monday.com/protected_static/21046287/resources/2318179195/Signed Backer 072925.pdf</v>
          </cell>
          <cell r="M417" t="str">
            <v/>
          </cell>
          <cell r="N417" t="str">
            <v>https://panda-windows-and-doors.monday.com/protected_static/21046287/resources/2319149725/86123 deposit invoice.pdf</v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>
            <v>4709</v>
          </cell>
          <cell r="V417">
            <v>4709</v>
          </cell>
          <cell r="W417" t="str">
            <v>George Bails Oct 14, 2025 2:55 PM</v>
          </cell>
          <cell r="X417" t="str">
            <v>2025-06-16 00:00</v>
          </cell>
          <cell r="Y417">
            <v>45867</v>
          </cell>
          <cell r="Z417" t="str">
            <v/>
          </cell>
          <cell r="AA417">
            <v>45867</v>
          </cell>
          <cell r="AB417" t="str">
            <v>Jayme Truong Jul 29, 2025 10:49 AM</v>
          </cell>
          <cell r="AC417">
            <v>45867</v>
          </cell>
          <cell r="AD417">
            <v>45874</v>
          </cell>
          <cell r="AE417">
            <v>45936</v>
          </cell>
          <cell r="AF417">
            <v>45936</v>
          </cell>
          <cell r="AG417">
            <v>45940</v>
          </cell>
          <cell r="AH417" t="str">
            <v>Alex Trolese</v>
          </cell>
          <cell r="AI417" t="str">
            <v/>
          </cell>
        </row>
        <row r="418">
          <cell r="C418">
            <v>86754</v>
          </cell>
          <cell r="D418" t="str">
            <v/>
          </cell>
          <cell r="E418" t="str">
            <v/>
          </cell>
          <cell r="F418" t="str">
            <v>Final</v>
          </cell>
          <cell r="G418" t="str">
            <v>Final Collected</v>
          </cell>
          <cell r="H418" t="str">
            <v>No</v>
          </cell>
          <cell r="I418" t="str">
            <v>Spencer Anderson</v>
          </cell>
          <cell r="J418" t="str">
            <v/>
          </cell>
          <cell r="K418" t="str">
            <v>https://panda-windows-and-doors.monday.com/protected_static/21046287/resources/2347802269/QQ #86754 - SPW_Lot 240 The Colony Added Windows - 08042025.pdf</v>
          </cell>
          <cell r="L418" t="str">
            <v>https://panda-windows-and-doors.monday.com/protected_static/21046287/resources/2348114873/Signed Backer.pdf</v>
          </cell>
          <cell r="M418" t="str">
            <v/>
          </cell>
          <cell r="N418" t="str">
            <v>https://panda-windows-and-doors.monday.com/protected_static/21046287/resources/2348887123/86754 Deposit Invoice.pdf</v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>
            <v>903.87</v>
          </cell>
          <cell r="V418">
            <v>921.13</v>
          </cell>
          <cell r="W418" t="str">
            <v>George Bails Oct 14, 2025 3:15 PM</v>
          </cell>
          <cell r="X418" t="str">
            <v/>
          </cell>
          <cell r="Y418">
            <v>45881</v>
          </cell>
          <cell r="Z418" t="str">
            <v/>
          </cell>
          <cell r="AA418">
            <v>45881</v>
          </cell>
          <cell r="AB418" t="str">
            <v>Annalene Conde Aug 12, 2025 9:58 AM</v>
          </cell>
          <cell r="AC418">
            <v>45881</v>
          </cell>
          <cell r="AD418">
            <v>45892</v>
          </cell>
          <cell r="AE418">
            <v>45937</v>
          </cell>
          <cell r="AF418">
            <v>45937</v>
          </cell>
          <cell r="AG418">
            <v>45944</v>
          </cell>
          <cell r="AH418" t="str">
            <v>Eric McMullen</v>
          </cell>
          <cell r="AI418" t="str">
            <v/>
          </cell>
        </row>
        <row r="419">
          <cell r="C419">
            <v>85218</v>
          </cell>
          <cell r="D419" t="str">
            <v/>
          </cell>
          <cell r="E419" t="str">
            <v/>
          </cell>
          <cell r="F419" t="str">
            <v>Final</v>
          </cell>
          <cell r="G419" t="str">
            <v>Final Collected</v>
          </cell>
          <cell r="H419" t="str">
            <v>No</v>
          </cell>
          <cell r="I419" t="str">
            <v>Spencer Anderson</v>
          </cell>
          <cell r="J419" t="str">
            <v/>
          </cell>
          <cell r="K419" t="str">
            <v>https://panda-windows-and-doors.monday.com/protected_static/21046287/resources/2185621083/CCF_000231.pdf</v>
          </cell>
          <cell r="L419" t="str">
            <v>https://panda-windows-and-doors.monday.com/protected_static/21046287/resources/2185640499/Q 85218 Signed Backer.pdf</v>
          </cell>
          <cell r="M419" t="str">
            <v/>
          </cell>
          <cell r="N419" t="str">
            <v>https://panda-windows-and-doors.monday.com/protected_static/21046287/resources/2312546568/85218 Deposit Invoice.pdf</v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>
            <v>60705.81</v>
          </cell>
          <cell r="V419">
            <v>61932.19</v>
          </cell>
          <cell r="W419" t="str">
            <v>George Bails Oct 14, 2025 3:12 PM</v>
          </cell>
          <cell r="X419" t="str">
            <v/>
          </cell>
          <cell r="Y419">
            <v>45812</v>
          </cell>
          <cell r="Z419" t="str">
            <v/>
          </cell>
          <cell r="AA419">
            <v>45812</v>
          </cell>
          <cell r="AB419" t="str">
            <v>Jayme Truong Jun 4, 2025 2:38 PM</v>
          </cell>
          <cell r="AC419">
            <v>45812</v>
          </cell>
          <cell r="AD419">
            <v>45863</v>
          </cell>
          <cell r="AE419">
            <v>45937</v>
          </cell>
          <cell r="AF419">
            <v>45937</v>
          </cell>
          <cell r="AG419">
            <v>45944</v>
          </cell>
          <cell r="AH419" t="str">
            <v>Eric McMullen</v>
          </cell>
          <cell r="AI419" t="str">
            <v/>
          </cell>
        </row>
        <row r="420">
          <cell r="C420">
            <v>86295</v>
          </cell>
          <cell r="D420">
            <v>45873</v>
          </cell>
          <cell r="E420" t="str">
            <v/>
          </cell>
          <cell r="F420" t="str">
            <v>Final</v>
          </cell>
          <cell r="G420" t="str">
            <v>Final Collected</v>
          </cell>
          <cell r="H420" t="str">
            <v>No</v>
          </cell>
          <cell r="I420" t="str">
            <v>Stefan Monetta</v>
          </cell>
          <cell r="J420" t="str">
            <v/>
          </cell>
          <cell r="K420" t="str">
            <v>https://panda-windows-and-doors.monday.com/protected_static/21046287/resources/2283191902/Jeff Reeves - Panda Sign-off.pdf</v>
          </cell>
          <cell r="L420" t="str">
            <v>https://panda-windows-and-doors.monday.com/protected_static/21046287/resources/2283326009/smtp.office365.com_20250711_084353.pdf</v>
          </cell>
          <cell r="M420" t="str">
            <v/>
          </cell>
          <cell r="N420" t="str">
            <v>https://panda-windows-and-doors.monday.com/protected_static/21046287/resources/2283597263/86295 Deposit Invoice.pdf, https://panda-windows-and-doors.monday.com/protected_static/21046287/resources/2336385612/86295 CO 1.pdf</v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>
            <v>18889</v>
          </cell>
          <cell r="V420">
            <v>18143</v>
          </cell>
          <cell r="W420" t="str">
            <v>George Bails Oct 14, 2025 3:06 PM</v>
          </cell>
          <cell r="X420" t="str">
            <v>2025-04-14 11:41</v>
          </cell>
          <cell r="Y420">
            <v>45849</v>
          </cell>
          <cell r="Z420" t="str">
            <v/>
          </cell>
          <cell r="AA420">
            <v>45849</v>
          </cell>
          <cell r="AB420" t="str">
            <v>Jayme Truong Jul 11, 2025 10:26 AM</v>
          </cell>
          <cell r="AC420">
            <v>45849</v>
          </cell>
          <cell r="AD420">
            <v>45852</v>
          </cell>
          <cell r="AE420">
            <v>45943</v>
          </cell>
          <cell r="AF420">
            <v>45943</v>
          </cell>
          <cell r="AG420">
            <v>45944</v>
          </cell>
          <cell r="AH420" t="str">
            <v>Reeves Hardware Company</v>
          </cell>
          <cell r="AI420">
            <v>45873</v>
          </cell>
        </row>
        <row r="421">
          <cell r="C421">
            <v>86113</v>
          </cell>
          <cell r="D421">
            <v>45909</v>
          </cell>
          <cell r="E421" t="str">
            <v/>
          </cell>
          <cell r="F421" t="str">
            <v>Final</v>
          </cell>
          <cell r="G421" t="str">
            <v>Final Collected</v>
          </cell>
          <cell r="H421" t="str">
            <v>⚠️ Expedited</v>
          </cell>
          <cell r="I421" t="str">
            <v>Efrain Zarate, Trevor Benthagen</v>
          </cell>
          <cell r="J421" t="str">
            <v/>
          </cell>
          <cell r="K421" t="str">
            <v>https://panda-windows-and-doors.monday.com/protected_static/21046287/resources/2333928789/no-reply@panda-windows.com_20250805_090538.pdf</v>
          </cell>
          <cell r="L421" t="str">
            <v>https://panda-windows-and-doors.monday.com/protected_static/21046287/resources/2333928588/no-reply@panda-windows.com_20250805_090528.pdf</v>
          </cell>
          <cell r="M421" t="str">
            <v/>
          </cell>
          <cell r="N421" t="str">
            <v>https://panda-windows-and-doors.monday.com/protected_static/21046287/resources/2336891480/86113 Deposit Invoice.pdf, https://panda-windows-and-doors.monday.com/protected_static/21046287/resources/2410442246/86113 Deposit Invoice CO 1 - Expdited fee add.pdf</v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>
            <v>61459</v>
          </cell>
          <cell r="V421">
            <v>32575</v>
          </cell>
          <cell r="W421" t="str">
            <v>George Bails Oct 15, 2025 4:41 PM</v>
          </cell>
          <cell r="X421" t="str">
            <v>2025-06-18 00:00</v>
          </cell>
          <cell r="Y421">
            <v>45874</v>
          </cell>
          <cell r="Z421" t="str">
            <v>No</v>
          </cell>
          <cell r="AA421">
            <v>45874</v>
          </cell>
          <cell r="AB421" t="str">
            <v>Jayme Truong Aug 5, 2025 1:00 PM</v>
          </cell>
          <cell r="AC421">
            <v>45874</v>
          </cell>
          <cell r="AD421">
            <v>45877</v>
          </cell>
          <cell r="AE421" t="str">
            <v/>
          </cell>
          <cell r="AF421">
            <v>45930</v>
          </cell>
          <cell r="AG421">
            <v>45945</v>
          </cell>
          <cell r="AH421" t="str">
            <v>nvision Glass</v>
          </cell>
          <cell r="AI421">
            <v>45909</v>
          </cell>
        </row>
        <row r="422">
          <cell r="C422">
            <v>85699</v>
          </cell>
          <cell r="D422" t="str">
            <v/>
          </cell>
          <cell r="E422" t="str">
            <v/>
          </cell>
          <cell r="F422" t="str">
            <v>Final</v>
          </cell>
          <cell r="G422" t="str">
            <v>Final Collected</v>
          </cell>
          <cell r="H422" t="str">
            <v>No</v>
          </cell>
          <cell r="I422" t="str">
            <v>Troy Kite</v>
          </cell>
          <cell r="J422" t="str">
            <v/>
          </cell>
          <cell r="K422" t="str">
            <v>https://panda-windows-and-doors.monday.com/protected_static/21046287/resources/2283883553/Proposal.pdf</v>
          </cell>
          <cell r="L422" t="str">
            <v>https://panda-windows-and-doors.monday.com/protected_static/21046287/resources/2283883304/smtp.office365.com_20250711_124924.pdf</v>
          </cell>
          <cell r="M422" t="str">
            <v/>
          </cell>
          <cell r="N422" t="str">
            <v>https://panda-windows-and-doors.monday.com/protected_static/21046287/resources/2286536352/85699 Deposit Invoice.pdf</v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>
            <v>2264</v>
          </cell>
          <cell r="V422">
            <v>2264</v>
          </cell>
          <cell r="W422" t="str">
            <v>George Bails Oct 15, 2025 4:48 PM</v>
          </cell>
          <cell r="X422" t="str">
            <v>2025-05-20 14:43</v>
          </cell>
          <cell r="Y422">
            <v>45849</v>
          </cell>
          <cell r="Z422" t="str">
            <v/>
          </cell>
          <cell r="AA422">
            <v>45849</v>
          </cell>
          <cell r="AB422" t="str">
            <v>Jayme Truong Jul 11, 2025 3:31 PM</v>
          </cell>
          <cell r="AC422">
            <v>45852</v>
          </cell>
          <cell r="AD422">
            <v>45874</v>
          </cell>
          <cell r="AE422">
            <v>45931</v>
          </cell>
          <cell r="AF422">
            <v>45931</v>
          </cell>
          <cell r="AG422">
            <v>45945</v>
          </cell>
          <cell r="AH422" t="str">
            <v>Shailey Smith</v>
          </cell>
          <cell r="AI422" t="str">
            <v/>
          </cell>
        </row>
        <row r="423">
          <cell r="C423">
            <v>85232</v>
          </cell>
          <cell r="D423" t="str">
            <v/>
          </cell>
          <cell r="E423" t="str">
            <v/>
          </cell>
          <cell r="F423" t="str">
            <v>Final</v>
          </cell>
          <cell r="G423" t="str">
            <v>Final Collected</v>
          </cell>
          <cell r="H423" t="str">
            <v>No</v>
          </cell>
          <cell r="I423" t="str">
            <v>Sean Torre</v>
          </cell>
          <cell r="J423" t="str">
            <v/>
          </cell>
          <cell r="K423" t="str">
            <v>https://panda-windows-and-doors.monday.com/protected_static/21046287/resources/2187280499/ONO Residence_Panda_AP85232_$15,659_GG executed.pdf</v>
          </cell>
          <cell r="L423" t="str">
            <v>https://panda-windows-and-doors.monday.com/protected_static/21046287/resources/2187280438/CamScanner 06-05-2025 07.52.pdf</v>
          </cell>
          <cell r="M423" t="str">
            <v/>
          </cell>
          <cell r="N423" t="str">
            <v>https://panda-windows-and-doors.monday.com/protected_static/21046287/resources/2188624645/85232 Deposit invoice.pdf</v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>
            <v>7830</v>
          </cell>
          <cell r="V423">
            <v>9140.43</v>
          </cell>
          <cell r="W423" t="str">
            <v>Annalene Conde Oct 15, 2025 9:23 AM</v>
          </cell>
          <cell r="X423" t="str">
            <v>2025-06-05 00:00</v>
          </cell>
          <cell r="Y423">
            <v>45813</v>
          </cell>
          <cell r="Z423" t="str">
            <v/>
          </cell>
          <cell r="AA423">
            <v>45813</v>
          </cell>
          <cell r="AB423" t="str">
            <v>Jayme Truong Jun 5, 2025 9:07 AM</v>
          </cell>
          <cell r="AC423">
            <v>45813</v>
          </cell>
          <cell r="AD423">
            <v>45817</v>
          </cell>
          <cell r="AE423" t="str">
            <v/>
          </cell>
          <cell r="AF423">
            <v>45930</v>
          </cell>
          <cell r="AG423">
            <v>45945</v>
          </cell>
          <cell r="AH423" t="str">
            <v>Grillo Group</v>
          </cell>
          <cell r="AI423" t="str">
            <v/>
          </cell>
        </row>
        <row r="424">
          <cell r="C424">
            <v>86255</v>
          </cell>
          <cell r="D424" t="str">
            <v/>
          </cell>
          <cell r="E424" t="str">
            <v/>
          </cell>
          <cell r="F424" t="str">
            <v>Final</v>
          </cell>
          <cell r="G424" t="str">
            <v>Final Collected</v>
          </cell>
          <cell r="H424" t="str">
            <v>No</v>
          </cell>
          <cell r="I424" t="str">
            <v>Sean Torre</v>
          </cell>
          <cell r="J424" t="str">
            <v/>
          </cell>
          <cell r="K424" t="str">
            <v>https://panda-windows-and-doors.monday.com/protected_static/21046287/resources/2268681782/CamScanner 7-3-25 14.38.pdf</v>
          </cell>
          <cell r="L424" t="str">
            <v>https://panda-windows-and-doors.monday.com/protected_static/21046287/resources/2268681936/CamScanner 7-3-25 14.37.pdf</v>
          </cell>
          <cell r="M424" t="str">
            <v/>
          </cell>
          <cell r="N424" t="str">
            <v>https://panda-windows-and-doors.monday.com/protected_static/21046287/resources/2268689086/86255 Deposit Invoice.pdf, https://panda-windows-and-doors.monday.com/protected_static/21046287/resources/2515963866/Accounting Copier_20251028_110851.pdf</v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>
            <v>4514</v>
          </cell>
          <cell r="V424">
            <v>5270.09</v>
          </cell>
          <cell r="W424" t="str">
            <v>Elizabet Lopez Oct 28, 2025 12:51 PM</v>
          </cell>
          <cell r="X424" t="str">
            <v>2025-07-03 00:00</v>
          </cell>
          <cell r="Y424">
            <v>45841</v>
          </cell>
          <cell r="Z424" t="str">
            <v/>
          </cell>
          <cell r="AA424">
            <v>45841</v>
          </cell>
          <cell r="AB424" t="str">
            <v>Jayme Truong Jul 3, 2025 2:50 PM</v>
          </cell>
          <cell r="AC424">
            <v>45841</v>
          </cell>
          <cell r="AD424">
            <v>45841</v>
          </cell>
          <cell r="AE424" t="str">
            <v/>
          </cell>
          <cell r="AF424">
            <v>45929</v>
          </cell>
          <cell r="AG424">
            <v>45945</v>
          </cell>
          <cell r="AH424" t="str">
            <v>View Point Series</v>
          </cell>
          <cell r="AI424" t="str">
            <v/>
          </cell>
        </row>
        <row r="425">
          <cell r="C425">
            <v>79181</v>
          </cell>
          <cell r="D425" t="str">
            <v/>
          </cell>
          <cell r="E425" t="str">
            <v/>
          </cell>
          <cell r="F425" t="str">
            <v>Final</v>
          </cell>
          <cell r="G425" t="str">
            <v>Final Collected</v>
          </cell>
          <cell r="H425" t="str">
            <v>No</v>
          </cell>
          <cell r="I425" t="str">
            <v>Derrick McCall</v>
          </cell>
          <cell r="J425" t="str">
            <v/>
          </cell>
          <cell r="K425" t="str">
            <v>https://panda-windows-and-doors.monday.com/protected_static/21046287/resources/2207877693/QQ#79181 Kirkwood 09252024.pdf</v>
          </cell>
          <cell r="L425" t="str">
            <v>https://panda-windows-and-doors.monday.com/protected_static/21046287/resources/2287678826/Kirkwood 09252024.xlsx, https://panda-windows-and-doors.monday.com/protected_static/21046287/resources/2356635627/79181 - Kirkwood.xlsx</v>
          </cell>
          <cell r="M425" t="str">
            <v/>
          </cell>
          <cell r="N425" t="str">
            <v>https://panda-windows-and-doors.monday.com/protected_static/21046287/resources/2205715665/79181 Deposit Invoice.pdf</v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>
            <v>168523</v>
          </cell>
          <cell r="V425">
            <v>184512.12</v>
          </cell>
          <cell r="W425" t="str">
            <v>George Bails Oct 15, 2025 4:28 PM</v>
          </cell>
          <cell r="X425" t="str">
            <v>2025-04-21 00:00</v>
          </cell>
          <cell r="Y425">
            <v>45818</v>
          </cell>
          <cell r="Z425" t="str">
            <v/>
          </cell>
          <cell r="AA425">
            <v>45925</v>
          </cell>
          <cell r="AB425" t="str">
            <v>Jayme Truong Jun 10, 2025 4:53 PM</v>
          </cell>
          <cell r="AC425" t="str">
            <v/>
          </cell>
          <cell r="AD425">
            <v>45818</v>
          </cell>
          <cell r="AE425" t="str">
            <v/>
          </cell>
          <cell r="AF425">
            <v>45925</v>
          </cell>
          <cell r="AG425">
            <v>45945</v>
          </cell>
          <cell r="AH425" t="str">
            <v>Boyette Door</v>
          </cell>
          <cell r="AI425" t="str">
            <v/>
          </cell>
        </row>
        <row r="426">
          <cell r="C426">
            <v>85391</v>
          </cell>
          <cell r="D426">
            <v>45852</v>
          </cell>
          <cell r="E426" t="str">
            <v/>
          </cell>
          <cell r="F426" t="str">
            <v>Final</v>
          </cell>
          <cell r="G426" t="str">
            <v>Final Collected</v>
          </cell>
          <cell r="H426" t="str">
            <v>No</v>
          </cell>
          <cell r="I426" t="str">
            <v>Derrick McCall</v>
          </cell>
          <cell r="J426" t="str">
            <v/>
          </cell>
          <cell r="K426" t="str">
            <v>https://panda-windows-and-doors.monday.com/protected_static/21046287/resources/2150744677/QQ#85391 5118 Papio 5-5-2025.pdf</v>
          </cell>
          <cell r="L426" t="str">
            <v>https://panda-windows-and-doors.monday.com/protected_static/21046287/resources/2169547769/Signed Backer.pdf</v>
          </cell>
          <cell r="M426" t="str">
            <v/>
          </cell>
          <cell r="N426" t="str">
            <v>https://panda-windows-and-doors.monday.com/protected_static/21046287/resources/2152134374/85391 Deposit Invoice.pdf, https://panda-windows-and-doors.monday.com/protected_static/21046287/resources/2431775027/85391 CO# 1.pdf</v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>
            <v>23664</v>
          </cell>
          <cell r="V426">
            <v>28988</v>
          </cell>
          <cell r="W426" t="str">
            <v>George Bails Oct 17, 2025 12:33 PM</v>
          </cell>
          <cell r="X426" t="str">
            <v>2025-05-19 00:00</v>
          </cell>
          <cell r="Y426">
            <v>45796</v>
          </cell>
          <cell r="Z426" t="str">
            <v/>
          </cell>
          <cell r="AA426">
            <v>45852</v>
          </cell>
          <cell r="AB426" t="str">
            <v>Jayme Truong May 19, 2025 3:32 PM</v>
          </cell>
          <cell r="AC426">
            <v>45797</v>
          </cell>
          <cell r="AD426">
            <v>45805</v>
          </cell>
          <cell r="AE426">
            <v>45944</v>
          </cell>
          <cell r="AF426">
            <v>45944</v>
          </cell>
          <cell r="AG426">
            <v>45946</v>
          </cell>
          <cell r="AH426" t="str">
            <v>Bonsai Design Build LLC</v>
          </cell>
          <cell r="AI426">
            <v>45852</v>
          </cell>
        </row>
        <row r="427">
          <cell r="C427">
            <v>82615</v>
          </cell>
          <cell r="D427" t="str">
            <v/>
          </cell>
          <cell r="E427" t="str">
            <v/>
          </cell>
          <cell r="F427" t="str">
            <v>Final</v>
          </cell>
          <cell r="G427" t="str">
            <v>Final Collected</v>
          </cell>
          <cell r="H427" t="str">
            <v>No</v>
          </cell>
          <cell r="I427" t="str">
            <v>Efrain Zarate, Trevor Benthagen, Luke Valles</v>
          </cell>
          <cell r="J427" t="str">
            <v/>
          </cell>
          <cell r="K427" t="str">
            <v>https://panda-windows-and-doors.monday.com/protected_static/21046287/resources/2028989142/2025 - 03.19 - Cremer Miyake - Panda Sales Order_signed.pdf</v>
          </cell>
          <cell r="L427" t="str">
            <v>https://panda-windows-and-doors.monday.com/protected_static/21046287/resources/2098162757/smtp.office365.com_20250423_104227.pdf</v>
          </cell>
          <cell r="M427" t="str">
            <v/>
          </cell>
          <cell r="N427" t="str">
            <v>https://panda-windows-and-doors.monday.com/protected_static/21046287/resources/2029535602/82615 Deposit Invoice.pdf</v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>
            <v>20742.5</v>
          </cell>
          <cell r="V427">
            <v>20742.5</v>
          </cell>
          <cell r="W427" t="str">
            <v>Annalene Conde Oct 17, 2025 8:32 AM</v>
          </cell>
          <cell r="X427" t="str">
            <v>2025-03-20 00:00</v>
          </cell>
          <cell r="Y427">
            <v>45736</v>
          </cell>
          <cell r="Z427" t="str">
            <v/>
          </cell>
          <cell r="AA427">
            <v>45736</v>
          </cell>
          <cell r="AB427" t="str">
            <v>Jayme Truong Mar 20, 2025 12:43 PM</v>
          </cell>
          <cell r="AC427">
            <v>45736</v>
          </cell>
          <cell r="AD427">
            <v>45758</v>
          </cell>
          <cell r="AE427">
            <v>45946</v>
          </cell>
          <cell r="AF427" t="str">
            <v/>
          </cell>
          <cell r="AG427">
            <v>45947</v>
          </cell>
          <cell r="AH427" t="str">
            <v>Turkel Systems</v>
          </cell>
          <cell r="AI427" t="str">
            <v/>
          </cell>
        </row>
        <row r="428">
          <cell r="C428">
            <v>84380</v>
          </cell>
          <cell r="D428">
            <v>45869</v>
          </cell>
          <cell r="E428" t="str">
            <v/>
          </cell>
          <cell r="F428" t="str">
            <v>Final</v>
          </cell>
          <cell r="G428" t="str">
            <v>Final Collected</v>
          </cell>
          <cell r="H428" t="str">
            <v>⚠️ Expedited</v>
          </cell>
          <cell r="I428" t="str">
            <v>Sean Torre</v>
          </cell>
          <cell r="J428" t="str">
            <v/>
          </cell>
          <cell r="K428" t="str">
            <v>https://panda-windows-and-doors.monday.com/protected_static/21046287/resources/2108897156/QQ _84380 - Foley  Lardner - 040825 - Revised Panda - Signed.pdf</v>
          </cell>
          <cell r="L428" t="str">
            <v>https://panda-windows-and-doors.monday.com/protected_static/21046287/resources/2083399738/Signed Backer.pdf</v>
          </cell>
          <cell r="M428" t="str">
            <v/>
          </cell>
          <cell r="N428" t="str">
            <v>https://panda-windows-and-doors.monday.com/protected_static/21046287/resources/2069964275/84380 Deposit Invoice.pdf, https://panda-windows-and-doors.monday.com/protected_static/21046287/resources/2236064285/84380 Deposit Invoice CO  1.pdf, https://panda-windows-and-doors.monday.com/protected_static/21046287/resources/2325344629/84380 Deposit Invoice CO 2.pdf</v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>
            <v>18631</v>
          </cell>
          <cell r="V428">
            <v>9095</v>
          </cell>
          <cell r="W428" t="str">
            <v>Annalene Conde Oct 17, 2025 12:11 PM</v>
          </cell>
          <cell r="X428" t="str">
            <v>2025-04-08 00:00</v>
          </cell>
          <cell r="Y428">
            <v>45755</v>
          </cell>
          <cell r="Z428" t="str">
            <v/>
          </cell>
          <cell r="AA428">
            <v>45869</v>
          </cell>
          <cell r="AB428" t="str">
            <v>Jayme Truong Apr 8, 2025 2:52 PM</v>
          </cell>
          <cell r="AC428">
            <v>45755</v>
          </cell>
          <cell r="AD428">
            <v>45757</v>
          </cell>
          <cell r="AE428">
            <v>45944</v>
          </cell>
          <cell r="AF428">
            <v>45944</v>
          </cell>
          <cell r="AG428">
            <v>45947</v>
          </cell>
          <cell r="AH428" t="str">
            <v>Lakeview Glass &amp; Mirror</v>
          </cell>
          <cell r="AI428">
            <v>45869</v>
          </cell>
        </row>
        <row r="429">
          <cell r="C429">
            <v>85717</v>
          </cell>
          <cell r="D429">
            <v>45870</v>
          </cell>
          <cell r="E429" t="str">
            <v/>
          </cell>
          <cell r="F429" t="str">
            <v>Final</v>
          </cell>
          <cell r="G429" t="str">
            <v>Final Collected</v>
          </cell>
          <cell r="H429" t="str">
            <v>No</v>
          </cell>
          <cell r="I429" t="str">
            <v>Trevor Benthagen, Efrain Zarate</v>
          </cell>
          <cell r="J429" t="str">
            <v/>
          </cell>
          <cell r="K429" t="str">
            <v>https://panda-windows-and-doors.monday.com/protected_static/21046287/resources/2184492642/smtp.office365.com_20250604_055034.pdf</v>
          </cell>
          <cell r="L429" t="str">
            <v>https://panda-windows-and-doors.monday.com/protected_static/21046287/resources/2184492441/smtp.office365.com_20250604_055050.pdf</v>
          </cell>
          <cell r="M429" t="str">
            <v/>
          </cell>
          <cell r="N429" t="str">
            <v>https://panda-windows-and-doors.monday.com/protected_static/21046287/resources/2185275740/85717 deposit invoice.pdf, https://panda-windows-and-doors.monday.com/protected_static/21046287/resources/2336319146/85717 Deposit Invoice CO 1.pdf</v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>
            <v>16448</v>
          </cell>
          <cell r="V429">
            <v>24114.67</v>
          </cell>
          <cell r="W429" t="str">
            <v>George Bails Oct 17, 2025 3:22 PM</v>
          </cell>
          <cell r="X429" t="str">
            <v>2025-06-04 00:00</v>
          </cell>
          <cell r="Y429">
            <v>45812</v>
          </cell>
          <cell r="Z429" t="str">
            <v/>
          </cell>
          <cell r="AA429">
            <v>45812</v>
          </cell>
          <cell r="AB429" t="str">
            <v>Jayme Truong Jun 4, 2025 8:14 AM</v>
          </cell>
          <cell r="AC429">
            <v>45812</v>
          </cell>
          <cell r="AD429">
            <v>45833</v>
          </cell>
          <cell r="AE429">
            <v>45945</v>
          </cell>
          <cell r="AF429">
            <v>45945</v>
          </cell>
          <cell r="AG429">
            <v>45947</v>
          </cell>
          <cell r="AH429" t="str">
            <v>Yeager Properties</v>
          </cell>
          <cell r="AI429">
            <v>45870</v>
          </cell>
        </row>
        <row r="430">
          <cell r="C430">
            <v>86236</v>
          </cell>
          <cell r="D430" t="str">
            <v/>
          </cell>
          <cell r="E430" t="str">
            <v/>
          </cell>
          <cell r="F430" t="str">
            <v>Final</v>
          </cell>
          <cell r="G430" t="str">
            <v>Final Collected</v>
          </cell>
          <cell r="H430" t="str">
            <v>No</v>
          </cell>
          <cell r="I430" t="str">
            <v>Trevor Benthagen, Efrain Zarate</v>
          </cell>
          <cell r="J430" t="str">
            <v/>
          </cell>
          <cell r="K430" t="str">
            <v>https://panda-windows-and-doors.monday.com/protected_static/21046287/resources/2263574853/smtp.office365.com_20250701_140155.pdf</v>
          </cell>
          <cell r="L430" t="str">
            <v>https://panda-windows-and-doors.monday.com/protected_static/21046287/resources/2263574944/smtp.office365.com_20250701_140207.pdf</v>
          </cell>
          <cell r="M430" t="str">
            <v/>
          </cell>
          <cell r="N430" t="str">
            <v>https://panda-windows-and-doors.monday.com/protected_static/21046287/resources/2265120169/86236 Deposit Invoice.pdf</v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>
            <v>7511</v>
          </cell>
          <cell r="V430">
            <v>8770.7199999999993</v>
          </cell>
          <cell r="W430" t="str">
            <v>George Bails Oct 17, 2025 3:02 PM</v>
          </cell>
          <cell r="X430" t="str">
            <v>2025-06-30 00:00</v>
          </cell>
          <cell r="Y430">
            <v>45839</v>
          </cell>
          <cell r="Z430" t="str">
            <v/>
          </cell>
          <cell r="AA430">
            <v>45839</v>
          </cell>
          <cell r="AB430" t="str">
            <v>Jayme Truong Jul 1, 2025 4:51 PM</v>
          </cell>
          <cell r="AC430">
            <v>45840</v>
          </cell>
          <cell r="AD430">
            <v>45853</v>
          </cell>
          <cell r="AE430">
            <v>45938</v>
          </cell>
          <cell r="AF430">
            <v>45939</v>
          </cell>
          <cell r="AG430">
            <v>45947</v>
          </cell>
          <cell r="AH430" t="str">
            <v>Yeager Properties, LLC</v>
          </cell>
          <cell r="AI430" t="str">
            <v/>
          </cell>
        </row>
        <row r="431">
          <cell r="C431">
            <v>86611</v>
          </cell>
          <cell r="D431" t="str">
            <v/>
          </cell>
          <cell r="E431" t="str">
            <v/>
          </cell>
          <cell r="F431" t="str">
            <v>Final</v>
          </cell>
          <cell r="G431" t="str">
            <v>Final Collected</v>
          </cell>
          <cell r="H431" t="str">
            <v>No</v>
          </cell>
          <cell r="I431" t="str">
            <v>Spencer Anderson</v>
          </cell>
          <cell r="J431" t="str">
            <v/>
          </cell>
          <cell r="K431" t="str">
            <v>https://panda-windows-and-doors.monday.com/protected_static/21046287/resources/2309432508/QQ #86611 - Polk_Rankin Residence Parade House - 07232025 signed.pdf</v>
          </cell>
          <cell r="L431" t="str">
            <v>https://panda-windows-and-doors.monday.com/protected_static/21046287/resources/2311875041/smtp.office365.com_20250724_093830.pdf</v>
          </cell>
          <cell r="M431" t="str">
            <v/>
          </cell>
          <cell r="N431" t="str">
            <v>https://panda-windows-and-doors.monday.com/protected_static/21046287/resources/2311888622/86611 Deposit Invoice.pdf</v>
          </cell>
          <cell r="O431" t="str">
            <v/>
          </cell>
          <cell r="P431" t="str">
            <v/>
          </cell>
          <cell r="Q431" t="str">
            <v/>
          </cell>
          <cell r="R431" t="str">
            <v>https://panda-windows-and-doors.monday.com/protected_static/21046287/resources/2289664617/Polk Architectural - Sales &amp; Use Tax Permit  12-3-2019 - TX.pdf</v>
          </cell>
          <cell r="S431" t="str">
            <v/>
          </cell>
          <cell r="T431" t="str">
            <v/>
          </cell>
          <cell r="U431">
            <v>7891</v>
          </cell>
          <cell r="V431">
            <v>7890</v>
          </cell>
          <cell r="W431" t="str">
            <v>Annalene Conde Oct 17, 2025 2:42 PM</v>
          </cell>
          <cell r="X431" t="str">
            <v/>
          </cell>
          <cell r="Y431">
            <v>45862</v>
          </cell>
          <cell r="Z431" t="str">
            <v/>
          </cell>
          <cell r="AA431">
            <v>45862</v>
          </cell>
          <cell r="AB431" t="str">
            <v>Annalene Conde Jul 24, 2025 1:25 PM</v>
          </cell>
          <cell r="AC431">
            <v>45863</v>
          </cell>
          <cell r="AD431">
            <v>45874</v>
          </cell>
          <cell r="AE431" t="str">
            <v/>
          </cell>
          <cell r="AF431">
            <v>45933</v>
          </cell>
          <cell r="AG431">
            <v>45947</v>
          </cell>
          <cell r="AH431" t="str">
            <v>Bobby Garcia</v>
          </cell>
          <cell r="AI431" t="str">
            <v/>
          </cell>
        </row>
        <row r="432">
          <cell r="C432">
            <v>86578</v>
          </cell>
          <cell r="D432" t="str">
            <v/>
          </cell>
          <cell r="E432" t="str">
            <v/>
          </cell>
          <cell r="F432" t="str">
            <v>Final</v>
          </cell>
          <cell r="G432" t="str">
            <v>Final Collected</v>
          </cell>
          <cell r="H432" t="str">
            <v>No</v>
          </cell>
          <cell r="I432" t="str">
            <v>Troy Kite</v>
          </cell>
          <cell r="J432" t="str">
            <v/>
          </cell>
          <cell r="K432" t="str">
            <v>https://panda-windows-and-doors.monday.com/protected_static/21046287/resources/2314954073/QQ#86578 Gardner Residence 7-23-2025.pdf</v>
          </cell>
          <cell r="L432" t="str">
            <v>https://panda-windows-and-doors.monday.com/protected_static/21046287/resources/2312390653/smtp.office365.com_20250725_100607.pdf</v>
          </cell>
          <cell r="M432" t="str">
            <v/>
          </cell>
          <cell r="N432" t="str">
            <v>https://panda-windows-and-doors.monday.com/protected_static/21046287/resources/2315277074/86578 Deposit Invoice.pdf</v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>
            <v>13806</v>
          </cell>
          <cell r="V432">
            <v>13610</v>
          </cell>
          <cell r="W432" t="str">
            <v>George Bails Oct 21, 2025 12:34 PM</v>
          </cell>
          <cell r="X432" t="str">
            <v>2025-07-21 08:40</v>
          </cell>
          <cell r="Y432">
            <v>45863</v>
          </cell>
          <cell r="Z432" t="str">
            <v/>
          </cell>
          <cell r="AA432">
            <v>45866</v>
          </cell>
          <cell r="AB432" t="str">
            <v>Jayme Truong Jul 25, 2025 12:57 PM</v>
          </cell>
          <cell r="AC432">
            <v>45866</v>
          </cell>
          <cell r="AD432">
            <v>45874</v>
          </cell>
          <cell r="AE432">
            <v>45947</v>
          </cell>
          <cell r="AF432">
            <v>45950</v>
          </cell>
          <cell r="AG432">
            <v>45951</v>
          </cell>
          <cell r="AH432" t="str">
            <v>Ben Gardner</v>
          </cell>
          <cell r="AI432" t="str">
            <v/>
          </cell>
        </row>
        <row r="433">
          <cell r="C433">
            <v>84728</v>
          </cell>
          <cell r="D433" t="str">
            <v/>
          </cell>
          <cell r="E433" t="str">
            <v/>
          </cell>
          <cell r="F433" t="str">
            <v>Final</v>
          </cell>
          <cell r="G433" t="str">
            <v>Final Collected</v>
          </cell>
          <cell r="H433" t="str">
            <v>No</v>
          </cell>
          <cell r="I433" t="str">
            <v>Stefan Monetta</v>
          </cell>
          <cell r="J433" t="str">
            <v/>
          </cell>
          <cell r="K433" t="str">
            <v>https://panda-windows-and-doors.monday.com/protected_static/21046287/resources/2083758026/_Untitled_.pdf</v>
          </cell>
          <cell r="L433" t="str">
            <v>https://panda-windows-and-doors.monday.com/protected_static/21046287/resources/2083430013/Image (91).jpg, https://panda-windows-and-doors.monday.com/protected_static/21046287/resources/2083429999/Gibbons Rego Project 04012025 s10.xlsx</v>
          </cell>
          <cell r="M433" t="str">
            <v/>
          </cell>
          <cell r="N433" t="str">
            <v>https://panda-windows-and-doors.monday.com/protected_static/21046287/resources/2077960532/84728 Hasco Const.pdf</v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>
            <v>11778</v>
          </cell>
          <cell r="V433">
            <v>12975.36</v>
          </cell>
          <cell r="W433" t="str">
            <v>George Bails Oct 23, 2025 4:41 PM</v>
          </cell>
          <cell r="X433" t="str">
            <v>2025-04-01 00:00</v>
          </cell>
          <cell r="Y433">
            <v>45758</v>
          </cell>
          <cell r="Z433" t="str">
            <v/>
          </cell>
          <cell r="AA433">
            <v>45758</v>
          </cell>
          <cell r="AB433" t="str">
            <v>Jayme Truong Apr 11, 2025 11:27 AM</v>
          </cell>
          <cell r="AC433">
            <v>45758</v>
          </cell>
          <cell r="AD433">
            <v>45768</v>
          </cell>
          <cell r="AE433" t="str">
            <v/>
          </cell>
          <cell r="AF433">
            <v>45924</v>
          </cell>
          <cell r="AG433">
            <v>45953</v>
          </cell>
          <cell r="AH433" t="str">
            <v>Hasco Construction</v>
          </cell>
          <cell r="AI433" t="str">
            <v/>
          </cell>
        </row>
        <row r="434">
          <cell r="C434">
            <v>86728</v>
          </cell>
          <cell r="D434">
            <v>45915</v>
          </cell>
          <cell r="E434" t="str">
            <v/>
          </cell>
          <cell r="F434" t="str">
            <v>Final</v>
          </cell>
          <cell r="G434" t="str">
            <v>Final Collected</v>
          </cell>
          <cell r="H434" t="str">
            <v>No</v>
          </cell>
          <cell r="I434" t="str">
            <v>Tyler Clark</v>
          </cell>
          <cell r="J434" t="str">
            <v/>
          </cell>
          <cell r="K434" t="str">
            <v>https://panda-windows-and-doors.monday.com/protected_static/21046287/resources/2379978044/smtp.office365.com_20250827_070457.pdf</v>
          </cell>
          <cell r="L434" t="str">
            <v>https://panda-windows-and-doors.monday.com/protected_static/21046287/resources/2379977113/smtp.office365.com_20250827_070323.pdf</v>
          </cell>
          <cell r="M434" t="str">
            <v/>
          </cell>
          <cell r="N434" t="str">
            <v>https://panda-windows-and-doors.monday.com/protected_static/21046287/resources/2380360531/86728 Deposit Invoice.pdf, https://panda-windows-and-doors.monday.com/protected_static/21046287/resources/2423255559/86728 Deposit Invoice CO 1.pdf</v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>
            <v>14821</v>
          </cell>
          <cell r="V434">
            <v>16329.18</v>
          </cell>
          <cell r="W434" t="str">
            <v>Noya Shoshan Nov 2, 2025 3:23 PM</v>
          </cell>
          <cell r="X434" t="str">
            <v>2025-07-30 13:27</v>
          </cell>
          <cell r="Y434">
            <v>45896</v>
          </cell>
          <cell r="Z434" t="str">
            <v/>
          </cell>
          <cell r="AA434">
            <v>45896</v>
          </cell>
          <cell r="AB434" t="str">
            <v>Jayme Truong Aug 27, 2025 8:19 AM</v>
          </cell>
          <cell r="AC434">
            <v>45896</v>
          </cell>
          <cell r="AD434">
            <v>45897</v>
          </cell>
          <cell r="AE434">
            <v>45952</v>
          </cell>
          <cell r="AF434">
            <v>45952</v>
          </cell>
          <cell r="AG434">
            <v>45953</v>
          </cell>
          <cell r="AH434" t="str">
            <v>ryan odonnell</v>
          </cell>
          <cell r="AI434">
            <v>45915</v>
          </cell>
        </row>
        <row r="435">
          <cell r="C435">
            <v>85993</v>
          </cell>
          <cell r="D435" t="str">
            <v/>
          </cell>
          <cell r="E435" t="str">
            <v/>
          </cell>
          <cell r="F435" t="str">
            <v>Final</v>
          </cell>
          <cell r="G435" t="str">
            <v>Final Collected</v>
          </cell>
          <cell r="H435" t="str">
            <v>No</v>
          </cell>
          <cell r="I435" t="str">
            <v>Trevor Benthagen, Efrain Zarate</v>
          </cell>
          <cell r="J435" t="str">
            <v/>
          </cell>
          <cell r="K435" t="str">
            <v>https://panda-windows-and-doors.monday.com/protected_static/21046287/resources/2222080690/06-21-2025.pdf</v>
          </cell>
          <cell r="L435" t="str">
            <v>https://panda-windows-and-doors.monday.com/protected_static/21046287/resources/2216585263/smtp.office365.com_20250619_074955.pdf</v>
          </cell>
          <cell r="M435" t="str">
            <v/>
          </cell>
          <cell r="N435" t="str">
            <v>https://panda-windows-and-doors.monday.com/protected_static/21046287/resources/2216736405/85993 Deposit Invoice.pdf, https://panda-windows-and-doors.monday.com/protected_static/21046287/resources/2223173327/85993 Deposit inovic3e Running wild.pdf</v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>
            <v>11708</v>
          </cell>
          <cell r="V435">
            <v>0</v>
          </cell>
          <cell r="W435" t="str">
            <v>Annalene Conde Oct 27, 2025 10:03 AM</v>
          </cell>
          <cell r="X435" t="str">
            <v>2025-01-16 00:00</v>
          </cell>
          <cell r="Y435">
            <v>45827</v>
          </cell>
          <cell r="Z435" t="str">
            <v/>
          </cell>
          <cell r="AA435">
            <v>45827</v>
          </cell>
          <cell r="AB435" t="str">
            <v>Jayme Truong Jun 19, 2025 10:29 AM</v>
          </cell>
          <cell r="AC435">
            <v>45827</v>
          </cell>
          <cell r="AD435">
            <v>45831</v>
          </cell>
          <cell r="AE435">
            <v>45957</v>
          </cell>
          <cell r="AF435" t="str">
            <v/>
          </cell>
          <cell r="AG435">
            <v>45957</v>
          </cell>
          <cell r="AH435" t="str">
            <v>Rick Roberson</v>
          </cell>
          <cell r="AI435" t="str">
            <v/>
          </cell>
        </row>
        <row r="436">
          <cell r="C436">
            <v>86128</v>
          </cell>
          <cell r="D436" t="str">
            <v/>
          </cell>
          <cell r="E436" t="str">
            <v/>
          </cell>
          <cell r="F436" t="str">
            <v>Final</v>
          </cell>
          <cell r="G436" t="str">
            <v>Final Collected</v>
          </cell>
          <cell r="H436" t="str">
            <v>No</v>
          </cell>
          <cell r="I436" t="str">
            <v>Sean Torre</v>
          </cell>
          <cell r="J436" t="str">
            <v/>
          </cell>
          <cell r="K436" t="str">
            <v>https://panda-windows-and-doors.monday.com/protected_static/21046287/resources/2278835108/Panda proposal invoice signed (1).pdf</v>
          </cell>
          <cell r="L436" t="str">
            <v>https://panda-windows-and-doors.monday.com/protected_static/21046287/resources/2278835148/CamScanner 7-9-25 15.04.pdf</v>
          </cell>
          <cell r="M436" t="str">
            <v/>
          </cell>
          <cell r="N436" t="str">
            <v>https://panda-windows-and-doors.monday.com/protected_static/21046287/resources/2280360463/86168 Deposit Invoice.pdf</v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>
            <v>22863</v>
          </cell>
          <cell r="V436">
            <v>26692.560000000001</v>
          </cell>
          <cell r="W436" t="str">
            <v>George Bails Oct 27, 2025 2:32 PM</v>
          </cell>
          <cell r="X436" t="str">
            <v>2025-06-10 16:18</v>
          </cell>
          <cell r="Y436">
            <v>45847</v>
          </cell>
          <cell r="Z436" t="str">
            <v/>
          </cell>
          <cell r="AA436">
            <v>45847</v>
          </cell>
          <cell r="AB436" t="str">
            <v>Jayme Truong Jul 9, 2025 4:50 PM</v>
          </cell>
          <cell r="AC436">
            <v>45848</v>
          </cell>
          <cell r="AD436">
            <v>45849</v>
          </cell>
          <cell r="AE436">
            <v>45947</v>
          </cell>
          <cell r="AF436">
            <v>45947</v>
          </cell>
          <cell r="AG436">
            <v>45957</v>
          </cell>
          <cell r="AH436" t="str">
            <v>Arthur Jeng</v>
          </cell>
          <cell r="AI436" t="str">
            <v/>
          </cell>
        </row>
        <row r="437">
          <cell r="C437">
            <v>86114</v>
          </cell>
          <cell r="D437" t="str">
            <v/>
          </cell>
          <cell r="E437" t="str">
            <v/>
          </cell>
          <cell r="F437" t="str">
            <v>Final</v>
          </cell>
          <cell r="G437" t="str">
            <v>Final Collected</v>
          </cell>
          <cell r="H437" t="str">
            <v>No</v>
          </cell>
          <cell r="I437" t="str">
            <v>Trevor Benthagen, Efrain Zarate</v>
          </cell>
          <cell r="J437" t="str">
            <v/>
          </cell>
          <cell r="K437" t="str">
            <v>https://panda-windows-and-doors.monday.com/protected_static/21046287/resources/2307493973/smtp.office365.com_20250723_130303.pdf</v>
          </cell>
          <cell r="L437" t="str">
            <v>https://panda-windows-and-doors.monday.com/protected_static/21046287/resources/2307493403/smtp.office365.com_20250723_130310.pdf</v>
          </cell>
          <cell r="M437" t="str">
            <v/>
          </cell>
          <cell r="N437" t="str">
            <v>https://panda-windows-and-doors.monday.com/protected_static/21046287/resources/2309203276/86114 Deposit Invoice.pdf</v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>
            <v>8699</v>
          </cell>
          <cell r="V437">
            <v>10156.09</v>
          </cell>
          <cell r="W437" t="str">
            <v>Annalene Conde Oct 27, 2025 1:13 PM</v>
          </cell>
          <cell r="X437" t="str">
            <v>2025-06-18 00:00</v>
          </cell>
          <cell r="Y437">
            <v>45861</v>
          </cell>
          <cell r="Z437" t="str">
            <v/>
          </cell>
          <cell r="AA437">
            <v>45861</v>
          </cell>
          <cell r="AB437" t="str">
            <v>Jayme Truong Jul 23, 2025 3:28 PM</v>
          </cell>
          <cell r="AC437">
            <v>45862</v>
          </cell>
          <cell r="AD437">
            <v>45869</v>
          </cell>
          <cell r="AE437">
            <v>45952</v>
          </cell>
          <cell r="AF437">
            <v>45952</v>
          </cell>
          <cell r="AG437">
            <v>45957</v>
          </cell>
          <cell r="AH437" t="str">
            <v>TNM Construction LLC</v>
          </cell>
          <cell r="AI437" t="str">
            <v/>
          </cell>
        </row>
        <row r="438">
          <cell r="C438">
            <v>86892</v>
          </cell>
          <cell r="D438" t="str">
            <v/>
          </cell>
          <cell r="E438" t="str">
            <v/>
          </cell>
          <cell r="F438" t="str">
            <v>Final</v>
          </cell>
          <cell r="G438" t="str">
            <v>Final Collected</v>
          </cell>
          <cell r="H438" t="str">
            <v>No</v>
          </cell>
          <cell r="I438" t="str">
            <v>Tyler Clark</v>
          </cell>
          <cell r="J438" t="str">
            <v/>
          </cell>
          <cell r="K438" t="str">
            <v>https://panda-windows-and-doors.monday.com/protected_static/21046287/resources/2368592734/SCCA-3signedSO.pdf, https://panda-windows-and-doors.monday.com/protected_static/21046287/resources/2368592737/08132025_C_PANDA.pdf</v>
          </cell>
          <cell r="L438" t="str">
            <v>https://panda-windows-and-doors.monday.com/protected_static/21046287/resources/2373952379/SCCA-3backer.pdf</v>
          </cell>
          <cell r="M438" t="str">
            <v/>
          </cell>
          <cell r="N438" t="str">
            <v>https://panda-windows-and-doors.monday.com/protected_static/21046287/resources/2365856580/86892 - Deposit Invoice.pdf</v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>
            <v>6331</v>
          </cell>
          <cell r="V438">
            <v>7197.18</v>
          </cell>
          <cell r="W438" t="str">
            <v>George Bails Oct 28, 2025 8:43 AM</v>
          </cell>
          <cell r="X438" t="str">
            <v>2025-08-08 13:06</v>
          </cell>
          <cell r="Y438">
            <v>45888</v>
          </cell>
          <cell r="Z438" t="str">
            <v/>
          </cell>
          <cell r="AA438">
            <v>45889</v>
          </cell>
          <cell r="AB438" t="str">
            <v>Jayme Truong Aug 19, 2025 5:09 PM</v>
          </cell>
          <cell r="AC438">
            <v>45889</v>
          </cell>
          <cell r="AD438">
            <v>45891</v>
          </cell>
          <cell r="AE438">
            <v>45953</v>
          </cell>
          <cell r="AF438">
            <v>45953</v>
          </cell>
          <cell r="AG438">
            <v>45957</v>
          </cell>
          <cell r="AH438" t="str">
            <v>Stephanie Cook</v>
          </cell>
          <cell r="AI438" t="str">
            <v/>
          </cell>
        </row>
        <row r="439">
          <cell r="C439">
            <v>85792</v>
          </cell>
          <cell r="D439" t="str">
            <v/>
          </cell>
          <cell r="E439" t="str">
            <v/>
          </cell>
          <cell r="F439" t="str">
            <v>Final</v>
          </cell>
          <cell r="G439" t="str">
            <v>Final Collected</v>
          </cell>
          <cell r="H439" t="str">
            <v>No</v>
          </cell>
          <cell r="I439" t="str">
            <v>Troy Kite</v>
          </cell>
          <cell r="J439" t="str">
            <v/>
          </cell>
          <cell r="K439" t="str">
            <v>https://panda-windows-and-doors.monday.com/protected_static/21046287/resources/2229440750/Kunz Pivot Door Signed Proposal.pdf</v>
          </cell>
          <cell r="L439" t="str">
            <v>https://panda-windows-and-doors.monday.com/protected_static/21046287/resources/2229441475/smtp.office365.com_20250625_140112.pdf</v>
          </cell>
          <cell r="M439" t="str">
            <v/>
          </cell>
          <cell r="N439" t="str">
            <v>https://panda-windows-and-doors.monday.com/protected_static/21046287/resources/2235377684/85792 Deposit Invoice.pdf</v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>
            <v>10000</v>
          </cell>
          <cell r="V439">
            <v>12507</v>
          </cell>
          <cell r="W439" t="str">
            <v>George Bails Oct 28, 2025 11:40 AM</v>
          </cell>
          <cell r="X439" t="str">
            <v>2025-06-25 00:00</v>
          </cell>
          <cell r="Y439">
            <v>45833</v>
          </cell>
          <cell r="Z439" t="str">
            <v/>
          </cell>
          <cell r="AA439">
            <v>45833</v>
          </cell>
          <cell r="AB439" t="str">
            <v>Jayme Truong Jun 25, 2025 4:40 PM</v>
          </cell>
          <cell r="AC439">
            <v>45834</v>
          </cell>
          <cell r="AD439">
            <v>45840</v>
          </cell>
          <cell r="AE439">
            <v>45953</v>
          </cell>
          <cell r="AF439">
            <v>45953</v>
          </cell>
          <cell r="AG439">
            <v>45958</v>
          </cell>
          <cell r="AH439" t="str">
            <v>Peter Kunz</v>
          </cell>
          <cell r="AI439" t="str">
            <v/>
          </cell>
        </row>
        <row r="440">
          <cell r="C440">
            <v>83973</v>
          </cell>
          <cell r="D440" t="str">
            <v/>
          </cell>
          <cell r="E440" t="str">
            <v/>
          </cell>
          <cell r="F440" t="str">
            <v>Final</v>
          </cell>
          <cell r="G440" t="str">
            <v>Final Collected</v>
          </cell>
          <cell r="H440" t="str">
            <v>No</v>
          </cell>
          <cell r="I440" t="str">
            <v>Troy Kite</v>
          </cell>
          <cell r="J440" t="str">
            <v/>
          </cell>
          <cell r="K440" t="str">
            <v>https://panda-windows-and-doors.monday.com/protected_static/21046287/resources/2198728769/smtp.office365.com_20250611_061217.pdf, https://panda-windows-and-doors.monday.com/protected_static/21046287/resources/2506953599/83973 Final Invoice.pdf</v>
          </cell>
          <cell r="L440" t="str">
            <v>https://panda-windows-and-doors.monday.com/protected_static/21046287/resources/2198729345/smtp.office365.com_20250611_061237.pdf</v>
          </cell>
          <cell r="M440" t="str">
            <v/>
          </cell>
          <cell r="N440" t="str">
            <v>https://panda-windows-and-doors.monday.com/protected_static/21046287/resources/2350679984/83973 Deposit Invoice CO 1.pdf, https://panda-windows-and-doors.monday.com/protected_static/21046287/resources/2350679988/83973 Deposit Invoice CO 2.pdf, https://panda-windows-and-doors.monday.com/protected_static/21046287/resources/2350680524/83973 Deposit Invoice.pdf</v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>
            <v>10042</v>
          </cell>
          <cell r="V440">
            <v>8592</v>
          </cell>
          <cell r="W440" t="str">
            <v>George Bails Oct 28, 2025 11:51 AM</v>
          </cell>
          <cell r="X440" t="str">
            <v>2025-05-01 00:00</v>
          </cell>
          <cell r="Y440">
            <v>45882</v>
          </cell>
          <cell r="Z440" t="str">
            <v/>
          </cell>
          <cell r="AA440">
            <v>45882</v>
          </cell>
          <cell r="AB440" t="str">
            <v>Annalene Conde Aug 13, 2025 8:20 AM</v>
          </cell>
          <cell r="AC440">
            <v>45819.375</v>
          </cell>
          <cell r="AD440">
            <v>45819</v>
          </cell>
          <cell r="AE440">
            <v>45953</v>
          </cell>
          <cell r="AF440">
            <v>45953</v>
          </cell>
          <cell r="AG440">
            <v>45958</v>
          </cell>
          <cell r="AH440" t="str">
            <v>Babl Company Inc.</v>
          </cell>
          <cell r="AI440" t="str">
            <v/>
          </cell>
        </row>
        <row r="441">
          <cell r="C441">
            <v>85503</v>
          </cell>
          <cell r="D441" t="str">
            <v/>
          </cell>
          <cell r="E441" t="str">
            <v/>
          </cell>
          <cell r="F441" t="str">
            <v>Final</v>
          </cell>
          <cell r="G441" t="str">
            <v>Final Collected</v>
          </cell>
          <cell r="H441" t="str">
            <v>No</v>
          </cell>
          <cell r="I441" t="str">
            <v>Derrick McCall</v>
          </cell>
          <cell r="J441" t="str">
            <v/>
          </cell>
          <cell r="K441" t="str">
            <v>https://panda-windows-and-doors.monday.com/protected_static/21046287/resources/2221847274/QQ#85503 9605 Scranton Rd 05092025.pdf</v>
          </cell>
          <cell r="L441" t="str">
            <v>https://panda-windows-and-doors.monday.com/protected_static/21046287/resources/2219223938/Approved Backer.pdf</v>
          </cell>
          <cell r="M441" t="str">
            <v/>
          </cell>
          <cell r="N441" t="str">
            <v>https://panda-windows-and-doors.monday.com/protected_static/21046287/resources/2219385684/85503 Deposit Invoice.pdf</v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>
            <v>16341</v>
          </cell>
          <cell r="V441">
            <v>18735.91</v>
          </cell>
          <cell r="W441" t="str">
            <v>George Bails Oct 28, 2025 11:36 AM</v>
          </cell>
          <cell r="X441" t="str">
            <v>2025-05-09 00:00</v>
          </cell>
          <cell r="Y441">
            <v>45828</v>
          </cell>
          <cell r="Z441" t="str">
            <v/>
          </cell>
          <cell r="AA441">
            <v>45831</v>
          </cell>
          <cell r="AB441" t="str">
            <v>Jayme Truong Jun 20, 2025 2:30 PM</v>
          </cell>
          <cell r="AC441">
            <v>45831</v>
          </cell>
          <cell r="AD441">
            <v>45835</v>
          </cell>
          <cell r="AE441">
            <v>45957</v>
          </cell>
          <cell r="AF441">
            <v>45957</v>
          </cell>
          <cell r="AG441">
            <v>45958</v>
          </cell>
          <cell r="AH441" t="str">
            <v>Shoreline Glazing Inc</v>
          </cell>
          <cell r="AI441" t="str">
            <v/>
          </cell>
        </row>
        <row r="442">
          <cell r="C442">
            <v>84598</v>
          </cell>
          <cell r="D442" t="str">
            <v/>
          </cell>
          <cell r="E442" t="str">
            <v/>
          </cell>
          <cell r="F442" t="str">
            <v>Final</v>
          </cell>
          <cell r="G442" t="str">
            <v>Final Collected</v>
          </cell>
          <cell r="H442" t="str">
            <v>No</v>
          </cell>
          <cell r="I442" t="str">
            <v>Efrain Zarate, Trevor Benthagen</v>
          </cell>
          <cell r="J442" t="str">
            <v/>
          </cell>
          <cell r="K442" t="str">
            <v>https://panda-windows-and-doors.monday.com/protected_static/21046287/resources/2300289599/smtp.office365.com_20250718_141429.pdf</v>
          </cell>
          <cell r="L442" t="str">
            <v>https://panda-windows-and-doors.monday.com/protected_static/21046287/resources/2300292479/smtp.office365.com_20250718_141458.pdf</v>
          </cell>
          <cell r="M442" t="str">
            <v/>
          </cell>
          <cell r="N442" t="str">
            <v>https://panda-windows-and-doors.monday.com/protected_static/21046287/resources/2301255693/84598 Deposit Invoice.pdf</v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>
            <v>3712</v>
          </cell>
          <cell r="V442">
            <v>4333.76</v>
          </cell>
          <cell r="W442" t="str">
            <v>George Bails Oct 28, 2025 4:40 PM</v>
          </cell>
          <cell r="X442" t="str">
            <v>2025-03-25 00:00</v>
          </cell>
          <cell r="Y442">
            <v>45856</v>
          </cell>
          <cell r="Z442" t="str">
            <v/>
          </cell>
          <cell r="AA442">
            <v>45859</v>
          </cell>
          <cell r="AB442" t="str">
            <v>Jayme Truong Jul 18, 2025 4:53 PM</v>
          </cell>
          <cell r="AC442" t="str">
            <v/>
          </cell>
          <cell r="AD442">
            <v>45859</v>
          </cell>
          <cell r="AE442">
            <v>45947</v>
          </cell>
          <cell r="AF442">
            <v>45950</v>
          </cell>
          <cell r="AG442">
            <v>45958</v>
          </cell>
          <cell r="AH442" t="str">
            <v>In The Sky</v>
          </cell>
          <cell r="AI442" t="str">
            <v/>
          </cell>
        </row>
        <row r="443">
          <cell r="C443">
            <v>84599</v>
          </cell>
          <cell r="D443" t="str">
            <v/>
          </cell>
          <cell r="E443" t="str">
            <v/>
          </cell>
          <cell r="F443" t="str">
            <v>Final</v>
          </cell>
          <cell r="G443" t="str">
            <v>Final Collected</v>
          </cell>
          <cell r="H443" t="str">
            <v>No</v>
          </cell>
          <cell r="I443" t="str">
            <v>Efrain Zarate, Trevor Benthagen</v>
          </cell>
          <cell r="J443" t="str">
            <v/>
          </cell>
          <cell r="K443" t="str">
            <v>https://panda-windows-and-doors.monday.com/protected_static/21046287/resources/2300263347/smtp.office365.com_20250718_141442.pdf</v>
          </cell>
          <cell r="L443" t="str">
            <v>https://panda-windows-and-doors.monday.com/protected_static/21046287/resources/2300262852/smtp.office365.com_20250718_141505.pdf</v>
          </cell>
          <cell r="M443" t="str">
            <v/>
          </cell>
          <cell r="N443" t="str">
            <v>https://panda-windows-and-doors.monday.com/protected_static/21046287/resources/2301385876/84599 Deposit Invoice.pdf</v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>
            <v>12419</v>
          </cell>
          <cell r="V443">
            <v>14499.19</v>
          </cell>
          <cell r="W443" t="str">
            <v>George Bails Oct 28, 2025 5:06 PM</v>
          </cell>
          <cell r="X443" t="str">
            <v>2025-03-25 00:00</v>
          </cell>
          <cell r="Y443">
            <v>45856</v>
          </cell>
          <cell r="Z443" t="str">
            <v/>
          </cell>
          <cell r="AA443">
            <v>45859</v>
          </cell>
          <cell r="AB443" t="str">
            <v>Jayme Truong Jul 18, 2025 4:55 PM</v>
          </cell>
          <cell r="AC443" t="str">
            <v/>
          </cell>
          <cell r="AD443">
            <v>45859</v>
          </cell>
          <cell r="AE443">
            <v>45957</v>
          </cell>
          <cell r="AF443">
            <v>45957</v>
          </cell>
          <cell r="AG443">
            <v>45958</v>
          </cell>
          <cell r="AH443" t="str">
            <v>In The Sky</v>
          </cell>
          <cell r="AI443" t="str">
            <v/>
          </cell>
        </row>
        <row r="444">
          <cell r="C444">
            <v>86808</v>
          </cell>
          <cell r="D444" t="str">
            <v/>
          </cell>
          <cell r="E444" t="str">
            <v/>
          </cell>
          <cell r="F444" t="str">
            <v>Final</v>
          </cell>
          <cell r="G444" t="str">
            <v>Final Collected</v>
          </cell>
          <cell r="H444" t="str">
            <v>No</v>
          </cell>
          <cell r="I444" t="str">
            <v>Efrain Zarate, Trevor Benthagen</v>
          </cell>
          <cell r="J444" t="str">
            <v/>
          </cell>
          <cell r="K444" t="str">
            <v>https://panda-windows-and-doors.monday.com/protected_static/21046287/resources/2391750852/smtp.office365.com_20250902_073419.pdf</v>
          </cell>
          <cell r="L444" t="str">
            <v>https://panda-windows-and-doors.monday.com/protected_static/21046287/resources/2391751256/smtp.office365.com_20250902_073431.pdf</v>
          </cell>
          <cell r="M444" t="str">
            <v/>
          </cell>
          <cell r="N444" t="str">
            <v>https://panda-windows-and-doors.monday.com/protected_static/21046287/resources/2391830756/86808 Deposit Invoice.pdf</v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>
            <v>4557</v>
          </cell>
          <cell r="V444">
            <v>5319.21</v>
          </cell>
          <cell r="W444" t="str">
            <v>George Bails Oct 28, 2025 5:09 PM</v>
          </cell>
          <cell r="X444" t="str">
            <v>2025-09-02 00:00</v>
          </cell>
          <cell r="Y444">
            <v>45902</v>
          </cell>
          <cell r="Z444" t="str">
            <v/>
          </cell>
          <cell r="AA444">
            <v>45902</v>
          </cell>
          <cell r="AB444" t="str">
            <v>Jayme Truong Sep 2, 2025 9:15 AM</v>
          </cell>
          <cell r="AC444">
            <v>45902</v>
          </cell>
          <cell r="AD444">
            <v>45902</v>
          </cell>
          <cell r="AE444">
            <v>45950</v>
          </cell>
          <cell r="AF444">
            <v>45951</v>
          </cell>
          <cell r="AG444">
            <v>45958</v>
          </cell>
          <cell r="AH444" t="str">
            <v>In the Sky Surveillance</v>
          </cell>
          <cell r="AI444" t="str">
            <v/>
          </cell>
        </row>
        <row r="445">
          <cell r="C445">
            <v>86410</v>
          </cell>
          <cell r="D445" t="str">
            <v/>
          </cell>
          <cell r="E445" t="str">
            <v/>
          </cell>
          <cell r="F445" t="str">
            <v>Final</v>
          </cell>
          <cell r="G445" t="str">
            <v>Final Collected</v>
          </cell>
          <cell r="H445" t="str">
            <v>No</v>
          </cell>
          <cell r="I445" t="str">
            <v>Tyler Clark</v>
          </cell>
          <cell r="J445" t="str">
            <v/>
          </cell>
          <cell r="K445" t="str">
            <v>https://panda-windows-and-doors.monday.com/protected_static/21046287/resources/2297852568/QQ#86410 Joeys Pool House_Signed_071625.pdf</v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>Annalene Conde Oct 29, 2025 2:04 PM</v>
          </cell>
          <cell r="X445" t="str">
            <v/>
          </cell>
          <cell r="Y445">
            <v>45869</v>
          </cell>
          <cell r="Z445" t="str">
            <v/>
          </cell>
          <cell r="AA445">
            <v>45957</v>
          </cell>
          <cell r="AB445" t="str">
            <v>Jayme Truong Jul 18, 2025 2:15 PM</v>
          </cell>
          <cell r="AC445" t="str">
            <v/>
          </cell>
          <cell r="AD445">
            <v>45874</v>
          </cell>
          <cell r="AE445">
            <v>45957</v>
          </cell>
          <cell r="AF445" t="str">
            <v/>
          </cell>
          <cell r="AG445">
            <v>45959</v>
          </cell>
          <cell r="AH445" t="str">
            <v>Joey Shuman</v>
          </cell>
          <cell r="AI445" t="str">
            <v/>
          </cell>
        </row>
        <row r="446">
          <cell r="C446">
            <v>85910</v>
          </cell>
          <cell r="D446" t="str">
            <v/>
          </cell>
          <cell r="E446" t="str">
            <v/>
          </cell>
          <cell r="F446" t="str">
            <v>Final</v>
          </cell>
          <cell r="G446" t="str">
            <v>Final Collected</v>
          </cell>
          <cell r="H446" t="str">
            <v>No</v>
          </cell>
          <cell r="I446" t="str">
            <v>Sean Torre</v>
          </cell>
          <cell r="J446" t="str">
            <v/>
          </cell>
          <cell r="K446" t="str">
            <v>https://panda-windows-and-doors.monday.com/protected_static/21046287/resources/2193218662/QQ #85910 - Sea of Glass Offices - Signed.pdf</v>
          </cell>
          <cell r="L446" t="str">
            <v>https://panda-windows-and-doors.monday.com/protected_static/21046287/resources/2193218129/Signed Backer.pdf</v>
          </cell>
          <cell r="M446" t="str">
            <v/>
          </cell>
          <cell r="N446" t="str">
            <v>https://panda-windows-and-doors.monday.com/protected_static/21046287/resources/2194304111/85910 - Deposit Invoice.pdf</v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>
            <v>4172</v>
          </cell>
          <cell r="V446">
            <v>4793.22</v>
          </cell>
          <cell r="W446" t="str">
            <v>Annalene Conde Oct 30, 2025 11:47 AM</v>
          </cell>
          <cell r="X446" t="str">
            <v>2025-06-06 00:00</v>
          </cell>
          <cell r="Y446">
            <v>45817</v>
          </cell>
          <cell r="Z446" t="str">
            <v/>
          </cell>
          <cell r="AA446">
            <v>45817</v>
          </cell>
          <cell r="AB446" t="str">
            <v>Jayme Truong Jun 9, 2025 10:00 AM</v>
          </cell>
          <cell r="AC446">
            <v>45817</v>
          </cell>
          <cell r="AD446">
            <v>45831</v>
          </cell>
          <cell r="AE446">
            <v>45954</v>
          </cell>
          <cell r="AF446">
            <v>45957</v>
          </cell>
          <cell r="AG446">
            <v>45960</v>
          </cell>
          <cell r="AH446" t="str">
            <v>Houston Sea of Glass</v>
          </cell>
          <cell r="AI446" t="str">
            <v/>
          </cell>
        </row>
        <row r="447">
          <cell r="C447">
            <v>86718</v>
          </cell>
          <cell r="D447">
            <v>45947</v>
          </cell>
          <cell r="E447" t="str">
            <v/>
          </cell>
          <cell r="F447" t="str">
            <v>Final</v>
          </cell>
          <cell r="G447" t="str">
            <v>Final Collected</v>
          </cell>
          <cell r="H447" t="str">
            <v>⚠️ Expedited</v>
          </cell>
          <cell r="I447" t="str">
            <v>Sean Torre</v>
          </cell>
          <cell r="J447" t="str">
            <v/>
          </cell>
          <cell r="K447" t="str">
            <v>https://panda-windows-and-doors.monday.com/protected_static/21046287/resources/2350429213/QQ #86718 - Helzberg Diamond - E&amp;Z - 07312025 (1) (1).pdf</v>
          </cell>
          <cell r="L447" t="str">
            <v>https://panda-windows-and-doors.monday.com/protected_static/21046287/resources/2350429348/CamScanner 8-13-25 07.32.pdf</v>
          </cell>
          <cell r="M447" t="str">
            <v/>
          </cell>
          <cell r="N447" t="str">
            <v>https://panda-windows-and-doors.monday.com/protected_static/21046287/resources/2350815514/86718 DEPOSIT INVOICE.pdf, https://panda-windows-and-doors.monday.com/protected_static/21046287/resources/2408081552/86718 Deposit Invoice CO 1.pdf, https://panda-windows-and-doors.monday.com/protected_static/21046287/resources/2497960704/86718 Deposit Invoice CO 2.pdf</v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>Completed - Closed Out</v>
          </cell>
          <cell r="T447" t="str">
            <v/>
          </cell>
          <cell r="U447">
            <v>27397</v>
          </cell>
          <cell r="V447">
            <v>12045</v>
          </cell>
          <cell r="W447" t="str">
            <v>George Bails Oct 31, 2025 12:21 PM</v>
          </cell>
          <cell r="X447" t="str">
            <v>2025-07-30 15:39</v>
          </cell>
          <cell r="Y447">
            <v>45950</v>
          </cell>
          <cell r="Z447" t="str">
            <v/>
          </cell>
          <cell r="AA447">
            <v>45882</v>
          </cell>
          <cell r="AB447" t="str">
            <v>Jayme Truong Aug 13, 2025 8:35 AM</v>
          </cell>
          <cell r="AC447">
            <v>45882</v>
          </cell>
          <cell r="AD447">
            <v>45884</v>
          </cell>
          <cell r="AE447">
            <v>45958</v>
          </cell>
          <cell r="AF447">
            <v>45958</v>
          </cell>
          <cell r="AG447">
            <v>45961</v>
          </cell>
          <cell r="AH447" t="str">
            <v>Fernando Zuniga</v>
          </cell>
          <cell r="AI447">
            <v>45947</v>
          </cell>
        </row>
        <row r="448">
          <cell r="C448">
            <v>86434</v>
          </cell>
          <cell r="D448" t="str">
            <v/>
          </cell>
          <cell r="E448" t="str">
            <v/>
          </cell>
          <cell r="F448" t="str">
            <v>Final</v>
          </cell>
          <cell r="G448" t="str">
            <v>Final Collected</v>
          </cell>
          <cell r="H448" t="str">
            <v>No</v>
          </cell>
          <cell r="I448" t="str">
            <v>Luke Valles</v>
          </cell>
          <cell r="J448" t="str">
            <v/>
          </cell>
          <cell r="K448" t="str">
            <v>https://panda-windows-and-doors.monday.com/protected_static/21046287/resources/2306473872/86434 Lakewood signed proposal 072325.pdf</v>
          </cell>
          <cell r="L448" t="str">
            <v>https://panda-windows-and-doors.monday.com/protected_static/21046287/resources/2306548041/86434 Lakewood signed backer 072325.pdf</v>
          </cell>
          <cell r="M448" t="str">
            <v/>
          </cell>
          <cell r="N448" t="str">
            <v>https://panda-windows-and-doors.monday.com/protected_static/21046287/resources/2309150470/86434 Deposit Invoice.pdf</v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>Completed - Closed Out</v>
          </cell>
          <cell r="T448" t="str">
            <v/>
          </cell>
          <cell r="U448">
            <v>16825</v>
          </cell>
          <cell r="V448">
            <v>16824</v>
          </cell>
          <cell r="W448" t="str">
            <v>George Bails Oct 31, 2025 12:15 PM</v>
          </cell>
          <cell r="X448" t="str">
            <v>2025-07-23 00:00</v>
          </cell>
          <cell r="Y448">
            <v>45861</v>
          </cell>
          <cell r="Z448" t="str">
            <v/>
          </cell>
          <cell r="AA448">
            <v>45861</v>
          </cell>
          <cell r="AB448" t="str">
            <v>Jayme Truong Jul 23, 2025 10:39 AM</v>
          </cell>
          <cell r="AC448">
            <v>45862</v>
          </cell>
          <cell r="AD448">
            <v>45868</v>
          </cell>
          <cell r="AE448">
            <v>45957</v>
          </cell>
          <cell r="AF448">
            <v>45957</v>
          </cell>
          <cell r="AG448">
            <v>45961</v>
          </cell>
          <cell r="AH448" t="str">
            <v>Reizy K Interiors</v>
          </cell>
          <cell r="AI448" t="str">
            <v/>
          </cell>
        </row>
        <row r="449">
          <cell r="C449">
            <v>83487</v>
          </cell>
          <cell r="D449" t="str">
            <v/>
          </cell>
          <cell r="E449" t="str">
            <v/>
          </cell>
          <cell r="F449" t="str">
            <v>Final</v>
          </cell>
          <cell r="G449" t="str">
            <v>Final Collected</v>
          </cell>
          <cell r="H449" t="str">
            <v>No</v>
          </cell>
          <cell r="I449" t="str">
            <v>Sean Torre</v>
          </cell>
          <cell r="J449" t="str">
            <v/>
          </cell>
          <cell r="K449" t="str">
            <v>https://panda-windows-and-doors.monday.com/protected_static/21046287/resources/2277946584/142987 PANDA----- LARKSPUR JUNIPER CLUBquote.pdf</v>
          </cell>
          <cell r="L449" t="str">
            <v>https://panda-windows-and-doors.monday.com/protected_static/21046287/resources/2286250432/CamScanner 7-9-25 08.27.pdf</v>
          </cell>
          <cell r="M449" t="str">
            <v/>
          </cell>
          <cell r="N449" t="str">
            <v>https://panda-windows-and-doors.monday.com/protected_static/21046287/resources/2278002775/83487 Deposit Invoice.pdf</v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>Completed - Closed Out</v>
          </cell>
          <cell r="T449" t="str">
            <v/>
          </cell>
          <cell r="U449">
            <v>6726</v>
          </cell>
          <cell r="V449">
            <v>6726</v>
          </cell>
          <cell r="W449" t="str">
            <v>George Bails Oct 31, 2025 12:40 PM</v>
          </cell>
          <cell r="X449" t="str">
            <v>2025-07-09 00:00</v>
          </cell>
          <cell r="Y449">
            <v>45847</v>
          </cell>
          <cell r="Z449" t="str">
            <v/>
          </cell>
          <cell r="AA449">
            <v>45847</v>
          </cell>
          <cell r="AB449" t="str">
            <v>Jayme Truong Jul 9, 2025 9:20 AM</v>
          </cell>
          <cell r="AC449">
            <v>45847</v>
          </cell>
          <cell r="AD449">
            <v>45849</v>
          </cell>
          <cell r="AE449">
            <v>45958</v>
          </cell>
          <cell r="AF449">
            <v>45958</v>
          </cell>
          <cell r="AG449">
            <v>45961</v>
          </cell>
          <cell r="AH449" t="str">
            <v>Keystone Distribution</v>
          </cell>
          <cell r="AI449" t="str">
            <v/>
          </cell>
        </row>
        <row r="450">
          <cell r="C450">
            <v>82057</v>
          </cell>
          <cell r="D450" t="str">
            <v/>
          </cell>
          <cell r="E450" t="str">
            <v/>
          </cell>
          <cell r="F450" t="str">
            <v>Final</v>
          </cell>
          <cell r="G450" t="str">
            <v>Final Collected</v>
          </cell>
          <cell r="H450" t="str">
            <v>No</v>
          </cell>
          <cell r="I450" t="str">
            <v>Troy Kite</v>
          </cell>
          <cell r="J450" t="str">
            <v/>
          </cell>
          <cell r="K450" t="str">
            <v>https://panda-windows-and-doors.monday.com/protected_static/21046287/resources/2169511998/smtp.office365.com_20250528_094728.pdf</v>
          </cell>
          <cell r="L450" t="str">
            <v>https://panda-windows-and-doors.monday.com/protected_static/21046287/resources/2169563069/smtp.office365.com_20250528_115511.pdf</v>
          </cell>
          <cell r="M450" t="str">
            <v/>
          </cell>
          <cell r="N450" t="str">
            <v>https://panda-windows-and-doors.monday.com/protected_static/21046287/resources/2169826894/82057 Deposit Invoice.pdf</v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>Completed - Closed Out</v>
          </cell>
          <cell r="T450" t="str">
            <v/>
          </cell>
          <cell r="U450">
            <v>28590</v>
          </cell>
          <cell r="V450">
            <v>31831.8</v>
          </cell>
          <cell r="W450" t="str">
            <v>Elizabet Lopez Oct 31, 2025 1:55 PM</v>
          </cell>
          <cell r="X450" t="str">
            <v>2024-09-24 00:00</v>
          </cell>
          <cell r="Y450">
            <v>45805</v>
          </cell>
          <cell r="Z450" t="str">
            <v/>
          </cell>
          <cell r="AA450">
            <v>45805</v>
          </cell>
          <cell r="AB450" t="str">
            <v>Jayme Truong May 28, 2025 2:42 PM</v>
          </cell>
          <cell r="AC450">
            <v>45805</v>
          </cell>
          <cell r="AD450">
            <v>45874</v>
          </cell>
          <cell r="AE450">
            <v>45959</v>
          </cell>
          <cell r="AF450">
            <v>45959</v>
          </cell>
          <cell r="AG450">
            <v>45961</v>
          </cell>
          <cell r="AH450" t="str">
            <v>Environmental Glass Inc.</v>
          </cell>
          <cell r="AI450" t="str">
            <v/>
          </cell>
        </row>
        <row r="451">
          <cell r="C451">
            <v>85542</v>
          </cell>
          <cell r="D451">
            <v>45918</v>
          </cell>
          <cell r="E451" t="str">
            <v/>
          </cell>
          <cell r="F451" t="str">
            <v>Final</v>
          </cell>
          <cell r="G451" t="str">
            <v>Final Collected</v>
          </cell>
          <cell r="H451" t="str">
            <v>No</v>
          </cell>
          <cell r="I451" t="str">
            <v>Efrain Zarate, Trevor Benthagen</v>
          </cell>
          <cell r="J451" t="str">
            <v/>
          </cell>
          <cell r="K451" t="str">
            <v>https://panda-windows-and-doors.monday.com/protected_static/21046287/resources/2276219626/smtp.office365.com_20250708_122927.pdf</v>
          </cell>
          <cell r="L451" t="str">
            <v>https://panda-windows-and-doors.monday.com/protected_static/21046287/resources/2276220059/smtp.office365.com_20250708_122916.pdf</v>
          </cell>
          <cell r="M451" t="str">
            <v/>
          </cell>
          <cell r="N451" t="str">
            <v>https://panda-windows-and-doors.monday.com/protected_static/21046287/resources/2277973454/85542 Deposit invoice.pdf, https://panda-windows-and-doors.monday.com/protected_static/21046287/resources/2315497456/85542 Deposit Invoice CO 1.pdf, https://panda-windows-and-doors.monday.com/protected_static/21046287/resources/2372152876/85542 Deposit Invoice CO 2.pdf</v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>Completed - Closed Out</v>
          </cell>
          <cell r="T451" t="str">
            <v/>
          </cell>
          <cell r="U451">
            <v>11065</v>
          </cell>
          <cell r="V451">
            <v>13489</v>
          </cell>
          <cell r="W451" t="str">
            <v>George Bails Oct 31, 2025 2:41 PM</v>
          </cell>
          <cell r="X451" t="str">
            <v>2025-05-13 09:00</v>
          </cell>
          <cell r="Y451">
            <v>45866</v>
          </cell>
          <cell r="Z451" t="str">
            <v/>
          </cell>
          <cell r="AA451">
            <v>45866</v>
          </cell>
          <cell r="AB451" t="str">
            <v>Jayme Truong Jul 8, 2025 3:05 PM</v>
          </cell>
          <cell r="AC451">
            <v>45847</v>
          </cell>
          <cell r="AD451">
            <v>45866</v>
          </cell>
          <cell r="AE451">
            <v>45960</v>
          </cell>
          <cell r="AF451">
            <v>45960</v>
          </cell>
          <cell r="AG451">
            <v>45961</v>
          </cell>
          <cell r="AH451" t="str">
            <v>EBCO Glass, Inc</v>
          </cell>
          <cell r="AI451">
            <v>45918</v>
          </cell>
        </row>
        <row r="452">
          <cell r="C452">
            <v>86663</v>
          </cell>
          <cell r="D452" t="str">
            <v/>
          </cell>
          <cell r="E452" t="str">
            <v/>
          </cell>
          <cell r="F452" t="str">
            <v>Final</v>
          </cell>
          <cell r="G452" t="str">
            <v>Final Collected</v>
          </cell>
          <cell r="H452" t="str">
            <v>No</v>
          </cell>
          <cell r="I452" t="str">
            <v>Sean Torre</v>
          </cell>
          <cell r="J452" t="str">
            <v/>
          </cell>
          <cell r="K452" t="str">
            <v>https://panda-windows-and-doors.monday.com/protected_static/21046287/resources/2348005686/Panda windows proposal.pdf</v>
          </cell>
          <cell r="L452" t="str">
            <v>https://panda-windows-and-doors.monday.com/protected_static/21046287/resources/2348005648/CamScanner 8-12-25 09.45.pdf</v>
          </cell>
          <cell r="M452" t="str">
            <v/>
          </cell>
          <cell r="N452" t="str">
            <v>https://panda-windows-and-doors.monday.com/protected_static/21046287/resources/2348374732/86663 Deposit Invoice.pdf</v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>Completed - Closed Out</v>
          </cell>
          <cell r="T452" t="str">
            <v/>
          </cell>
          <cell r="U452">
            <v>7159</v>
          </cell>
          <cell r="V452">
            <v>8357.0499999999993</v>
          </cell>
          <cell r="W452" t="str">
            <v>Sean Lopez Dec 8, 2025 1:02 PM</v>
          </cell>
          <cell r="X452" t="str">
            <v>2025-08-12 00:00</v>
          </cell>
          <cell r="Y452">
            <v>45881</v>
          </cell>
          <cell r="Z452" t="str">
            <v/>
          </cell>
          <cell r="AA452">
            <v>45881</v>
          </cell>
          <cell r="AB452" t="str">
            <v>Jayme Truong Aug 12, 2025 10:54 AM</v>
          </cell>
          <cell r="AC452">
            <v>45881</v>
          </cell>
          <cell r="AD452">
            <v>45884</v>
          </cell>
          <cell r="AE452">
            <v>45960</v>
          </cell>
          <cell r="AF452">
            <v>45960</v>
          </cell>
          <cell r="AG452">
            <v>45961</v>
          </cell>
          <cell r="AH452" t="str">
            <v>Rene Rangel</v>
          </cell>
          <cell r="AI452" t="str">
            <v/>
          </cell>
        </row>
        <row r="453">
          <cell r="C453">
            <v>84897</v>
          </cell>
          <cell r="D453" t="str">
            <v/>
          </cell>
          <cell r="E453" t="str">
            <v/>
          </cell>
          <cell r="F453" t="str">
            <v>Final</v>
          </cell>
          <cell r="G453" t="str">
            <v>Final Collected</v>
          </cell>
          <cell r="H453" t="str">
            <v>No</v>
          </cell>
          <cell r="I453" t="str">
            <v>Tyler Clark</v>
          </cell>
          <cell r="J453" t="str">
            <v/>
          </cell>
          <cell r="K453" t="str">
            <v>https://panda-windows-and-doors.monday.com/protected_static/21046287/resources/2184649337/Panda front door order 6.4.25.pdf</v>
          </cell>
          <cell r="L453" t="str">
            <v>https://panda-windows-and-doors.monday.com/protected_static/21046287/resources/2184649015/Signed Backer 285 Olive Mill Rd 2..pdf</v>
          </cell>
          <cell r="M453" t="str">
            <v/>
          </cell>
          <cell r="N453" t="str">
            <v>https://panda-windows-and-doors.monday.com/protected_static/21046287/resources/2185840898/84897 Deposit Invoice.pdf</v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>Completed - Closed Out</v>
          </cell>
          <cell r="T453" t="str">
            <v/>
          </cell>
          <cell r="U453">
            <v>18387</v>
          </cell>
          <cell r="V453">
            <v>21587.81</v>
          </cell>
          <cell r="W453" t="str">
            <v>George Bails Nov 4, 2025 2:27 PM</v>
          </cell>
          <cell r="X453" t="str">
            <v/>
          </cell>
          <cell r="Y453">
            <v>45812</v>
          </cell>
          <cell r="Z453" t="str">
            <v/>
          </cell>
          <cell r="AA453">
            <v>45812</v>
          </cell>
          <cell r="AB453" t="str">
            <v>Jayme Truong Jun 4, 2025 9:19 AM</v>
          </cell>
          <cell r="AC453">
            <v>45812</v>
          </cell>
          <cell r="AD453">
            <v>45818</v>
          </cell>
          <cell r="AE453">
            <v>45957</v>
          </cell>
          <cell r="AF453">
            <v>45957</v>
          </cell>
          <cell r="AG453">
            <v>45965</v>
          </cell>
          <cell r="AH453" t="str">
            <v>Peter Slifirski</v>
          </cell>
          <cell r="AI453" t="str">
            <v/>
          </cell>
        </row>
        <row r="454">
          <cell r="C454">
            <v>83520</v>
          </cell>
          <cell r="D454">
            <v>45820</v>
          </cell>
          <cell r="E454" t="str">
            <v/>
          </cell>
          <cell r="F454" t="str">
            <v>Final</v>
          </cell>
          <cell r="G454" t="str">
            <v>Final Collected</v>
          </cell>
          <cell r="H454" t="str">
            <v>No</v>
          </cell>
          <cell r="I454" t="str">
            <v>Stefan Monetta</v>
          </cell>
          <cell r="J454" t="str">
            <v/>
          </cell>
          <cell r="K454" t="str">
            <v>https://panda-windows-and-doors.monday.com/protected_static/21046287/resources/2011761100/QQ #83520 - Port Royal Club - 031125.pdf NEW 3-12-2025.pdf</v>
          </cell>
          <cell r="L454" t="str">
            <v>https://panda-windows-and-doors.monday.com/protected_static/21046287/resources/2083335210/smtp.office365.com_20250312_103555.pdf</v>
          </cell>
          <cell r="M454" t="str">
            <v/>
          </cell>
          <cell r="N454" t="str">
            <v>https://panda-windows-and-doors.monday.com/protected_static/21046287/resources/2012110897/83520 Deposit Invoice.pdf</v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>Completed - Closed Out</v>
          </cell>
          <cell r="T454" t="str">
            <v/>
          </cell>
          <cell r="U454">
            <v>52981</v>
          </cell>
          <cell r="V454">
            <v>54165</v>
          </cell>
          <cell r="W454" t="str">
            <v>George Bails Nov 10, 2025 8:09 AM</v>
          </cell>
          <cell r="X454" t="str">
            <v>2025-01-20 08:06</v>
          </cell>
          <cell r="Y454">
            <v>45728</v>
          </cell>
          <cell r="Z454" t="str">
            <v/>
          </cell>
          <cell r="AA454">
            <v>45820</v>
          </cell>
          <cell r="AB454" t="str">
            <v>Jayme Truong Mar 12, 2025 1:17 PM</v>
          </cell>
          <cell r="AC454">
            <v>45728</v>
          </cell>
          <cell r="AD454">
            <v>45862</v>
          </cell>
          <cell r="AE454">
            <v>45952</v>
          </cell>
          <cell r="AF454">
            <v>45952</v>
          </cell>
          <cell r="AG454">
            <v>45967</v>
          </cell>
          <cell r="AH454" t="str">
            <v>All American Windows and Doors</v>
          </cell>
          <cell r="AI454">
            <v>45820</v>
          </cell>
        </row>
        <row r="455">
          <cell r="C455">
            <v>80873</v>
          </cell>
          <cell r="D455" t="str">
            <v/>
          </cell>
          <cell r="E455" t="str">
            <v/>
          </cell>
          <cell r="F455" t="str">
            <v>Final</v>
          </cell>
          <cell r="G455" t="str">
            <v>Final Collected</v>
          </cell>
          <cell r="H455" t="str">
            <v>No</v>
          </cell>
          <cell r="I455" t="str">
            <v>Efrain Zarate, Trevor Benthagen</v>
          </cell>
          <cell r="J455" t="str">
            <v/>
          </cell>
          <cell r="K455" t="str">
            <v>https://panda-windows-and-doors.monday.com/protected_static/21046287/resources/2276039945/Q#80873 SIGNED SALES ORDER.pdf</v>
          </cell>
          <cell r="L455" t="str">
            <v>https://panda-windows-and-doors.monday.com/protected_static/21046287/resources/2276039748/Q#80873 SIGNED BACKER.pdf</v>
          </cell>
          <cell r="M455" t="str">
            <v/>
          </cell>
          <cell r="N455" t="str">
            <v>https://panda-windows-and-doors.monday.com/protected_static/21046287/resources/2276260360/80873 Deposit Invoice.pdf</v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>Completed - Closed Out</v>
          </cell>
          <cell r="T455" t="str">
            <v/>
          </cell>
          <cell r="U455">
            <v>11612</v>
          </cell>
          <cell r="V455">
            <v>13555.93</v>
          </cell>
          <cell r="W455" t="str">
            <v>George Bails Nov 10, 2025 8:21 AM</v>
          </cell>
          <cell r="X455" t="str">
            <v>2025-07-08 09:00</v>
          </cell>
          <cell r="Y455">
            <v>45846</v>
          </cell>
          <cell r="Z455" t="str">
            <v/>
          </cell>
          <cell r="AA455">
            <v>45846</v>
          </cell>
          <cell r="AB455" t="str">
            <v>Jayme Truong Jul 8, 2025 2:05 PM</v>
          </cell>
          <cell r="AC455" t="str">
            <v/>
          </cell>
          <cell r="AD455">
            <v>45846</v>
          </cell>
          <cell r="AE455">
            <v>45960</v>
          </cell>
          <cell r="AF455">
            <v>45960</v>
          </cell>
          <cell r="AG455">
            <v>45967</v>
          </cell>
          <cell r="AH455" t="str">
            <v>Brian Fink</v>
          </cell>
          <cell r="AI455" t="str">
            <v/>
          </cell>
        </row>
        <row r="456">
          <cell r="C456">
            <v>84386</v>
          </cell>
          <cell r="D456" t="str">
            <v/>
          </cell>
          <cell r="E456" t="str">
            <v/>
          </cell>
          <cell r="F456" t="str">
            <v>Final</v>
          </cell>
          <cell r="G456" t="str">
            <v>Final Collected</v>
          </cell>
          <cell r="H456" t="str">
            <v>No</v>
          </cell>
          <cell r="I456" t="str">
            <v>Sean Torre</v>
          </cell>
          <cell r="J456" t="str">
            <v/>
          </cell>
          <cell r="K456" t="str">
            <v>https://panda-windows-and-doors.monday.com/protected_static/21046287/resources/2318021516/2025-07-29 08-07 1.pdf</v>
          </cell>
          <cell r="L456" t="str">
            <v>https://panda-windows-and-doors.monday.com/protected_static/21046287/resources/2318022438/CamScanner 7-29-25 08.54.pdf</v>
          </cell>
          <cell r="M456" t="str">
            <v/>
          </cell>
          <cell r="N456" t="str">
            <v>https://panda-windows-and-doors.monday.com/protected_static/21046287/resources/2319084472/84386 Deposit Invoice.pdf</v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>Completed - Closed Out</v>
          </cell>
          <cell r="T456" t="str">
            <v/>
          </cell>
          <cell r="U456">
            <v>16045</v>
          </cell>
          <cell r="V456">
            <v>16044</v>
          </cell>
          <cell r="W456" t="str">
            <v>George Bails Nov 10, 2025 8:28 AM</v>
          </cell>
          <cell r="X456" t="str">
            <v>2025-03-14 00:00</v>
          </cell>
          <cell r="Y456">
            <v>45867</v>
          </cell>
          <cell r="Z456" t="str">
            <v/>
          </cell>
          <cell r="AA456">
            <v>45867</v>
          </cell>
          <cell r="AB456" t="str">
            <v>Jayme Truong Jul 29, 2025 9:59 AM</v>
          </cell>
          <cell r="AC456">
            <v>45867</v>
          </cell>
          <cell r="AD456">
            <v>45875</v>
          </cell>
          <cell r="AE456" t="str">
            <v/>
          </cell>
          <cell r="AF456">
            <v>45966</v>
          </cell>
          <cell r="AG456">
            <v>45968</v>
          </cell>
          <cell r="AH456" t="str">
            <v>Eagle Windows and Doors</v>
          </cell>
          <cell r="AI456" t="str">
            <v/>
          </cell>
        </row>
        <row r="457">
          <cell r="C457">
            <v>86841</v>
          </cell>
          <cell r="D457" t="str">
            <v/>
          </cell>
          <cell r="E457" t="str">
            <v/>
          </cell>
          <cell r="F457" t="str">
            <v>Final</v>
          </cell>
          <cell r="G457" t="str">
            <v>Final Collected</v>
          </cell>
          <cell r="H457" t="str">
            <v>No</v>
          </cell>
          <cell r="I457" t="str">
            <v>Sean Torre</v>
          </cell>
          <cell r="J457" t="str">
            <v/>
          </cell>
          <cell r="K457" t="str">
            <v>https://panda-windows-and-doors.monday.com/protected_static/21046287/resources/2341901980/QQ #86841 - Smith Slider - 08082025 - MLS signed.pdf</v>
          </cell>
          <cell r="L457" t="str">
            <v>https://panda-windows-and-doors.monday.com/protected_static/21046287/resources/2341901923/CamScanner 8-8-25 12.17.pdf</v>
          </cell>
          <cell r="M457" t="str">
            <v/>
          </cell>
          <cell r="N457" t="str">
            <v>https://panda-windows-and-doors.monday.com/protected_static/21046287/resources/2344923297/86841 Deposit Invoice.pdf</v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>Completed - Closed Out</v>
          </cell>
          <cell r="T457" t="str">
            <v/>
          </cell>
          <cell r="U457">
            <v>6080</v>
          </cell>
          <cell r="V457">
            <v>7264.51</v>
          </cell>
          <cell r="W457" t="str">
            <v>George Bails Nov 10, 2025 8:54 AM</v>
          </cell>
          <cell r="X457" t="str">
            <v>2025-08-08 00:00</v>
          </cell>
          <cell r="Y457">
            <v>45877</v>
          </cell>
          <cell r="Z457" t="str">
            <v/>
          </cell>
          <cell r="AA457">
            <v>45877</v>
          </cell>
          <cell r="AB457" t="str">
            <v>Jayme Truong Aug 8, 2025 1:20 PM</v>
          </cell>
          <cell r="AC457">
            <v>45880</v>
          </cell>
          <cell r="AD457">
            <v>45881</v>
          </cell>
          <cell r="AE457">
            <v>45953</v>
          </cell>
          <cell r="AF457">
            <v>45953</v>
          </cell>
          <cell r="AG457">
            <v>45968</v>
          </cell>
          <cell r="AH457" t="str">
            <v>Mark Smith</v>
          </cell>
          <cell r="AI457" t="str">
            <v/>
          </cell>
        </row>
        <row r="458">
          <cell r="C458" t="str">
            <v>86168-R3</v>
          </cell>
          <cell r="D458" t="str">
            <v/>
          </cell>
          <cell r="E458" t="str">
            <v/>
          </cell>
          <cell r="F458" t="str">
            <v>Final</v>
          </cell>
          <cell r="G458" t="str">
            <v>Final Collected</v>
          </cell>
          <cell r="H458" t="str">
            <v>No</v>
          </cell>
          <cell r="I458" t="str">
            <v>Spencer Anderson</v>
          </cell>
          <cell r="J458" t="str">
            <v/>
          </cell>
          <cell r="K458" t="str">
            <v>https://panda-windows-and-doors.monday.com/protected_static/21046287/resources/2320934337/Signed QQ 86168.pdf</v>
          </cell>
          <cell r="L458" t="str">
            <v>https://panda-windows-and-doors.monday.com/protected_static/21046287/resources/2321091560/SPW_Nova_86168_Signed Backer_073025.pdf</v>
          </cell>
          <cell r="M458" t="str">
            <v/>
          </cell>
          <cell r="N458" t="str">
            <v>https://panda-windows-and-doors.monday.com/protected_static/21046287/resources/2325195423/86168 DEPOSIT INVOICE.pdf</v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>Completed - Closed Out</v>
          </cell>
          <cell r="T458" t="str">
            <v/>
          </cell>
          <cell r="U458">
            <v>13199</v>
          </cell>
          <cell r="V458">
            <v>13198</v>
          </cell>
          <cell r="W458" t="str">
            <v>George Bails Nov 10, 2025 8:38 AM</v>
          </cell>
          <cell r="X458" t="str">
            <v/>
          </cell>
          <cell r="Y458">
            <v>45868</v>
          </cell>
          <cell r="Z458" t="str">
            <v/>
          </cell>
          <cell r="AA458">
            <v>45869</v>
          </cell>
          <cell r="AB458" t="str">
            <v>Jayme Truong Jul 30, 2025 9:24 AM</v>
          </cell>
          <cell r="AC458">
            <v>45869</v>
          </cell>
          <cell r="AD458">
            <v>45887</v>
          </cell>
          <cell r="AE458">
            <v>45964</v>
          </cell>
          <cell r="AF458">
            <v>45964</v>
          </cell>
          <cell r="AG458">
            <v>45968</v>
          </cell>
          <cell r="AH458" t="str">
            <v>Ken Matoon</v>
          </cell>
          <cell r="AI458" t="str">
            <v/>
          </cell>
        </row>
        <row r="459">
          <cell r="C459">
            <v>84216</v>
          </cell>
          <cell r="D459" t="str">
            <v/>
          </cell>
          <cell r="E459" t="str">
            <v/>
          </cell>
          <cell r="F459" t="str">
            <v>Final</v>
          </cell>
          <cell r="G459" t="str">
            <v>Final Collected</v>
          </cell>
          <cell r="H459" t="str">
            <v>No</v>
          </cell>
          <cell r="I459" t="str">
            <v>Luke Valles</v>
          </cell>
          <cell r="J459" t="str">
            <v/>
          </cell>
          <cell r="K459" t="str">
            <v>https://panda-windows-and-doors.monday.com/protected_static/21046287/resources/2348894719/Panda_Front_Door_Quote_-_Signed 08122025.pdf</v>
          </cell>
          <cell r="L459" t="str">
            <v>https://panda-windows-and-doors.monday.com/protected_static/21046287/resources/2348893571/84216_Sign Backer_081225.pdf</v>
          </cell>
          <cell r="M459" t="str">
            <v/>
          </cell>
          <cell r="N459" t="str">
            <v>https://panda-windows-and-doors.monday.com/protected_static/21046287/resources/2351728581/84216 Deposit Invoice.pdf</v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>Completed - Closed Out</v>
          </cell>
          <cell r="T459" t="str">
            <v/>
          </cell>
          <cell r="U459">
            <v>9517</v>
          </cell>
          <cell r="V459">
            <v>10470.040000000001</v>
          </cell>
          <cell r="W459" t="str">
            <v>George Bails Nov 10, 2025 8:33 AM</v>
          </cell>
          <cell r="X459" t="str">
            <v>2025-02-15 19:49</v>
          </cell>
          <cell r="Y459">
            <v>45882</v>
          </cell>
          <cell r="Z459" t="str">
            <v/>
          </cell>
          <cell r="AA459">
            <v>45882</v>
          </cell>
          <cell r="AB459" t="str">
            <v>Jayme Truong Aug 13, 2025 2:20 PM</v>
          </cell>
          <cell r="AC459">
            <v>45882</v>
          </cell>
          <cell r="AD459">
            <v>45883</v>
          </cell>
          <cell r="AE459">
            <v>45967</v>
          </cell>
          <cell r="AF459">
            <v>45967</v>
          </cell>
          <cell r="AG459">
            <v>45968</v>
          </cell>
          <cell r="AH459" t="str">
            <v>Brandon Shute</v>
          </cell>
          <cell r="AI459" t="str">
            <v/>
          </cell>
        </row>
        <row r="460">
          <cell r="C460">
            <v>83220</v>
          </cell>
          <cell r="D460" t="str">
            <v/>
          </cell>
          <cell r="E460" t="str">
            <v/>
          </cell>
          <cell r="F460" t="str">
            <v>Final</v>
          </cell>
          <cell r="G460" t="str">
            <v>Final Collected</v>
          </cell>
          <cell r="H460" t="str">
            <v>No</v>
          </cell>
          <cell r="I460" t="str">
            <v>Derrick McCall</v>
          </cell>
          <cell r="J460" t="str">
            <v/>
          </cell>
          <cell r="K460" t="str">
            <v>https://panda-windows-and-doors.monday.com/protected_static/21046287/resources/2137657924/Marshall Panda door.pdf</v>
          </cell>
          <cell r="L460" t="str">
            <v>https://panda-windows-and-doors.monday.com/protected_static/21046287/resources/2137658961/smtp.office365.com_20250513_071557.pdf</v>
          </cell>
          <cell r="M460" t="str">
            <v/>
          </cell>
          <cell r="N460" t="str">
            <v>https://panda-windows-and-doors.monday.com/protected_static/21046287/resources/2138001866/83220 Deposit Invoice.pdf</v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>Completed - Closed Out</v>
          </cell>
          <cell r="T460" t="str">
            <v/>
          </cell>
          <cell r="U460">
            <v>65289.5</v>
          </cell>
          <cell r="V460">
            <v>77733.56</v>
          </cell>
          <cell r="W460" t="str">
            <v>George Bails Nov 11, 2025 8:12 AM</v>
          </cell>
          <cell r="X460" t="str">
            <v>2024-12-26 00:00</v>
          </cell>
          <cell r="Y460">
            <v>45790</v>
          </cell>
          <cell r="Z460" t="str">
            <v/>
          </cell>
          <cell r="AA460">
            <v>45790</v>
          </cell>
          <cell r="AB460" t="str">
            <v>Jayme Truong May 13, 2025 9:46 AM</v>
          </cell>
          <cell r="AC460">
            <v>45790</v>
          </cell>
          <cell r="AD460">
            <v>45796</v>
          </cell>
          <cell r="AE460">
            <v>45966</v>
          </cell>
          <cell r="AF460">
            <v>45966</v>
          </cell>
          <cell r="AG460">
            <v>45971</v>
          </cell>
          <cell r="AH460" t="str">
            <v>Integrated Glass Concepts, Inc</v>
          </cell>
          <cell r="AI460" t="str">
            <v/>
          </cell>
        </row>
        <row r="461">
          <cell r="C461">
            <v>87204</v>
          </cell>
          <cell r="D461" t="str">
            <v/>
          </cell>
          <cell r="E461" t="str">
            <v/>
          </cell>
          <cell r="F461" t="str">
            <v>Final</v>
          </cell>
          <cell r="G461" t="str">
            <v>Final Collected</v>
          </cell>
          <cell r="H461" t="str">
            <v>No</v>
          </cell>
          <cell r="I461" t="str">
            <v>Stefan Monetta</v>
          </cell>
          <cell r="J461" t="str">
            <v/>
          </cell>
          <cell r="K461" t="str">
            <v>https://panda-windows-and-doors.monday.com/protected_static/21046287/resources/2404859217/QQ#87204 Ingram Addition 09082025.pdf</v>
          </cell>
          <cell r="L461" t="str">
            <v>https://panda-windows-and-doors.monday.com/protected_static/21046287/resources/2405673330/smtp.office365.com_20250908_124655.pdf</v>
          </cell>
          <cell r="M461" t="str">
            <v/>
          </cell>
          <cell r="N461" t="str">
            <v>https://panda-windows-and-doors.monday.com/protected_static/21046287/resources/2407197995/87204 Deposit Invoice.pdf</v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>Completed - Closed Out</v>
          </cell>
          <cell r="T461" t="str">
            <v/>
          </cell>
          <cell r="U461">
            <v>4876</v>
          </cell>
          <cell r="V461">
            <v>5461.12</v>
          </cell>
          <cell r="W461" t="str">
            <v>George Bails Nov 11, 2025 8:06 AM</v>
          </cell>
          <cell r="X461" t="str">
            <v>2025-09-05 00:00</v>
          </cell>
          <cell r="Y461">
            <v>45908</v>
          </cell>
          <cell r="Z461" t="str">
            <v/>
          </cell>
          <cell r="AA461">
            <v>45908</v>
          </cell>
          <cell r="AB461" t="str">
            <v>Jayme Truong Sep 8, 2025 4:15 PM</v>
          </cell>
          <cell r="AC461">
            <v>45909</v>
          </cell>
          <cell r="AD461">
            <v>45909</v>
          </cell>
          <cell r="AE461">
            <v>45968</v>
          </cell>
          <cell r="AF461">
            <v>45968</v>
          </cell>
          <cell r="AG461">
            <v>45971</v>
          </cell>
          <cell r="AH461" t="str">
            <v>Hervia Ingram</v>
          </cell>
          <cell r="AI461" t="str">
            <v/>
          </cell>
        </row>
        <row r="462">
          <cell r="C462">
            <v>74870</v>
          </cell>
          <cell r="D462">
            <v>45853</v>
          </cell>
          <cell r="E462" t="str">
            <v/>
          </cell>
          <cell r="F462" t="str">
            <v>Final</v>
          </cell>
          <cell r="G462" t="str">
            <v>Final Collected</v>
          </cell>
          <cell r="H462" t="str">
            <v>No</v>
          </cell>
          <cell r="I462" t="str">
            <v>Luke Valles</v>
          </cell>
          <cell r="J462" t="str">
            <v/>
          </cell>
          <cell r="K462" t="str">
            <v>https://panda-windows-and-doors.monday.com/protected_static/21046287/resources/2289660683/PO 16407 - Panda TS.30 Multi-Slide_Signed.pdf</v>
          </cell>
          <cell r="L462" t="str">
            <v>https://panda-windows-and-doors.monday.com/protected_static/21046287/resources/2356116331/1901 N. Moore ST. TS.30 - 082823.pdf, https://panda-windows-and-doors.monday.com/protected_static/21046287/resources/2356119679/1901 N Moore ST LTS.30 - CO #1 071525.pdf</v>
          </cell>
          <cell r="M462" t="str">
            <v/>
          </cell>
          <cell r="N462" t="str">
            <v>https://panda-windows-and-doors.monday.com/protected_static/21046287/resources/2292421034/09052023_Deposit Invoice.pdf</v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>Completed - Closed Out</v>
          </cell>
          <cell r="T462" t="str">
            <v/>
          </cell>
          <cell r="U462">
            <v>17866.5</v>
          </cell>
          <cell r="V462">
            <v>21629.9</v>
          </cell>
          <cell r="W462" t="str">
            <v>Sean Lopez Mar 13, 2026 11:33 AM</v>
          </cell>
          <cell r="X462" t="str">
            <v>2025-07-15 00:00</v>
          </cell>
          <cell r="Y462">
            <v>45853</v>
          </cell>
          <cell r="Z462" t="str">
            <v/>
          </cell>
          <cell r="AA462">
            <v>45853</v>
          </cell>
          <cell r="AB462" t="str">
            <v>Jayme Truong Jul 15, 2025 11:46 AM</v>
          </cell>
          <cell r="AC462" t="str">
            <v/>
          </cell>
          <cell r="AD462" t="str">
            <v/>
          </cell>
          <cell r="AE462">
            <v>45965</v>
          </cell>
          <cell r="AF462">
            <v>45965</v>
          </cell>
          <cell r="AG462">
            <v>45971</v>
          </cell>
          <cell r="AH462" t="str">
            <v>Advanced Window</v>
          </cell>
          <cell r="AI462">
            <v>45853</v>
          </cell>
        </row>
        <row r="463">
          <cell r="C463">
            <v>86211</v>
          </cell>
          <cell r="D463" t="str">
            <v/>
          </cell>
          <cell r="E463" t="str">
            <v/>
          </cell>
          <cell r="F463" t="str">
            <v>Final</v>
          </cell>
          <cell r="G463" t="str">
            <v>Final Collected</v>
          </cell>
          <cell r="H463" t="str">
            <v>No</v>
          </cell>
          <cell r="I463" t="str">
            <v>Trevor Benthagen, Efrain Zarate</v>
          </cell>
          <cell r="J463" t="str">
            <v/>
          </cell>
          <cell r="K463" t="str">
            <v>https://panda-windows-and-doors.monday.com/protected_static/21046287/resources/2311893004/smtp.office365.com_20250725_082308.pdf</v>
          </cell>
          <cell r="L463" t="str">
            <v>https://panda-windows-and-doors.monday.com/protected_static/21046287/resources/2311892360/smtp.office365.com_20250725_082257.pdf</v>
          </cell>
          <cell r="M463" t="str">
            <v/>
          </cell>
          <cell r="N463" t="str">
            <v>https://panda-windows-and-doors.monday.com/protected_static/21046287/resources/2311923490/86211 deposit Invoice.pdf</v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>Completed - Closed Out</v>
          </cell>
          <cell r="T463" t="str">
            <v/>
          </cell>
          <cell r="U463">
            <v>7419</v>
          </cell>
          <cell r="V463">
            <v>8660.6</v>
          </cell>
          <cell r="W463" t="str">
            <v>George Bails Nov 11, 2025 9:12 AM</v>
          </cell>
          <cell r="X463" t="str">
            <v>2025-07-02 00:00</v>
          </cell>
          <cell r="Y463">
            <v>45863</v>
          </cell>
          <cell r="Z463" t="str">
            <v/>
          </cell>
          <cell r="AA463">
            <v>45863</v>
          </cell>
          <cell r="AB463" t="str">
            <v>Jayme Truong Jul 25, 2025 10:43 AM</v>
          </cell>
          <cell r="AC463">
            <v>45863</v>
          </cell>
          <cell r="AD463">
            <v>45866</v>
          </cell>
          <cell r="AE463">
            <v>45960</v>
          </cell>
          <cell r="AF463">
            <v>45960</v>
          </cell>
          <cell r="AG463">
            <v>45971</v>
          </cell>
          <cell r="AH463" t="str">
            <v>Living Interiors</v>
          </cell>
          <cell r="AI463" t="str">
            <v/>
          </cell>
        </row>
        <row r="464">
          <cell r="C464">
            <v>82943</v>
          </cell>
          <cell r="D464" t="str">
            <v/>
          </cell>
          <cell r="E464" t="str">
            <v/>
          </cell>
          <cell r="F464" t="str">
            <v>Final</v>
          </cell>
          <cell r="G464" t="str">
            <v>Final Collected</v>
          </cell>
          <cell r="H464" t="str">
            <v>No</v>
          </cell>
          <cell r="I464" t="str">
            <v>Derrick McCall</v>
          </cell>
          <cell r="J464" t="str">
            <v/>
          </cell>
          <cell r="K464" t="str">
            <v>https://panda-windows-and-doors.monday.com/protected_static/21046287/resources/1945695167/QQ #82943 - Kaiser Caretakers House - Signed.pdf</v>
          </cell>
          <cell r="L464" t="str">
            <v>https://panda-windows-and-doors.monday.com/protected_static/21046287/resources/2083306992/Kaiser Caretakers House - BACKER.pdf</v>
          </cell>
          <cell r="M464" t="str">
            <v/>
          </cell>
          <cell r="N464" t="str">
            <v>https://panda-windows-and-doors.monday.com/protected_static/21046287/resources/1946914647/82943 Deposit invoice NV sales tax.pdf</v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>Completed - Closed Out</v>
          </cell>
          <cell r="T464" t="str">
            <v/>
          </cell>
          <cell r="U464">
            <v>34195</v>
          </cell>
          <cell r="V464">
            <v>42730.51</v>
          </cell>
          <cell r="W464" t="str">
            <v>George Bails Nov 11, 2025 8:49 AM</v>
          </cell>
          <cell r="X464" t="str">
            <v>2025-02-06 00:00</v>
          </cell>
          <cell r="Y464">
            <v>45695</v>
          </cell>
          <cell r="Z464" t="str">
            <v/>
          </cell>
          <cell r="AA464">
            <v>45698</v>
          </cell>
          <cell r="AB464" t="str">
            <v>Jayme Truong Feb 7, 2025 9:53 AM</v>
          </cell>
          <cell r="AC464">
            <v>45698</v>
          </cell>
          <cell r="AD464">
            <v>45726</v>
          </cell>
          <cell r="AE464">
            <v>45957</v>
          </cell>
          <cell r="AF464">
            <v>45957</v>
          </cell>
          <cell r="AG464">
            <v>45971</v>
          </cell>
          <cell r="AH464" t="str">
            <v>KCR Development</v>
          </cell>
          <cell r="AI464" t="str">
            <v/>
          </cell>
        </row>
        <row r="465">
          <cell r="C465">
            <v>85569</v>
          </cell>
          <cell r="D465" t="str">
            <v/>
          </cell>
          <cell r="E465" t="str">
            <v/>
          </cell>
          <cell r="F465" t="str">
            <v>Final</v>
          </cell>
          <cell r="G465" t="str">
            <v>Final Collected</v>
          </cell>
          <cell r="H465" t="str">
            <v>No</v>
          </cell>
          <cell r="I465" t="str">
            <v>Luke Valles</v>
          </cell>
          <cell r="J465" t="str">
            <v/>
          </cell>
          <cell r="K465" t="str">
            <v>https://panda-windows-and-doors.monday.com/protected_static/21046287/resources/2286755899/QQ #85569 - El Vaquero Restaurant - 06252025 (1).pdf</v>
          </cell>
          <cell r="L465" t="str">
            <v>https://panda-windows-and-doors.monday.com/protected_static/21046287/resources/2286751934/85569 - El Vaquero Restaurant - Sign backer 071425.pdf</v>
          </cell>
          <cell r="M465" t="str">
            <v/>
          </cell>
          <cell r="N465" t="str">
            <v>https://panda-windows-and-doors.monday.com/protected_static/21046287/resources/2290307748/85569 Deposit Invoice.pdf</v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>Completed - Closed Out</v>
          </cell>
          <cell r="T465" t="str">
            <v/>
          </cell>
          <cell r="U465">
            <v>20836</v>
          </cell>
          <cell r="V465">
            <v>23916.7</v>
          </cell>
          <cell r="W465" t="str">
            <v>George Bails Nov 11, 2025 8:34 AM</v>
          </cell>
          <cell r="X465" t="str">
            <v>2025-05-14 00:00</v>
          </cell>
          <cell r="Y465">
            <v>45853</v>
          </cell>
          <cell r="Z465" t="str">
            <v/>
          </cell>
          <cell r="AA465">
            <v>45853</v>
          </cell>
          <cell r="AB465" t="str">
            <v>Jayme Truong Jul 15, 2025 9:10 AM</v>
          </cell>
          <cell r="AC465">
            <v>45853</v>
          </cell>
          <cell r="AD465">
            <v>45862</v>
          </cell>
          <cell r="AE465">
            <v>45960</v>
          </cell>
          <cell r="AF465">
            <v>45960</v>
          </cell>
          <cell r="AG465">
            <v>45971</v>
          </cell>
          <cell r="AH465" t="str">
            <v>United Exteriors Group</v>
          </cell>
          <cell r="AI465" t="str">
            <v/>
          </cell>
        </row>
        <row r="466">
          <cell r="C466">
            <v>84773</v>
          </cell>
          <cell r="D466" t="str">
            <v/>
          </cell>
          <cell r="E466" t="str">
            <v/>
          </cell>
          <cell r="F466" t="str">
            <v>Final</v>
          </cell>
          <cell r="G466" t="str">
            <v>Final Collected</v>
          </cell>
          <cell r="H466" t="str">
            <v>No</v>
          </cell>
          <cell r="I466" t="str">
            <v>Trevor Benthagen, Efrain Zarate</v>
          </cell>
          <cell r="J466" t="str">
            <v/>
          </cell>
          <cell r="K466" t="str">
            <v>https://panda-windows-and-doors.monday.com/protected_static/21046287/resources/2355546118/Q#84773 SIGNED PROPOSAL.pdf</v>
          </cell>
          <cell r="L466" t="str">
            <v>https://panda-windows-and-doors.monday.com/protected_static/21046287/resources/2356163957/smtp.office365.com_20250815_080420.pdf</v>
          </cell>
          <cell r="M466" t="str">
            <v/>
          </cell>
          <cell r="N466" t="str">
            <v>https://panda-windows-and-doors.monday.com/protected_static/21046287/resources/2356852000/84773 Deposit Invoice.pdf</v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>Completed - Closed Out</v>
          </cell>
          <cell r="T466" t="str">
            <v/>
          </cell>
          <cell r="U466">
            <v>16434</v>
          </cell>
          <cell r="V466">
            <v>20337.23</v>
          </cell>
          <cell r="W466" t="str">
            <v>George Bails Nov 11, 2025 9:16 AM</v>
          </cell>
          <cell r="X466" t="str">
            <v>2025-04-02 00:00</v>
          </cell>
          <cell r="Y466">
            <v>45883</v>
          </cell>
          <cell r="Z466" t="str">
            <v/>
          </cell>
          <cell r="AA466">
            <v>45883</v>
          </cell>
          <cell r="AB466" t="str">
            <v>Jayme Truong Aug 14, 2025 11:51 PM</v>
          </cell>
          <cell r="AC466">
            <v>45884</v>
          </cell>
          <cell r="AD466">
            <v>45884</v>
          </cell>
          <cell r="AE466">
            <v>45960</v>
          </cell>
          <cell r="AF466">
            <v>45960</v>
          </cell>
          <cell r="AG466">
            <v>45971</v>
          </cell>
          <cell r="AH466" t="str">
            <v>BlackRock Southwest Development</v>
          </cell>
          <cell r="AI466" t="str">
            <v/>
          </cell>
        </row>
        <row r="467">
          <cell r="C467">
            <v>87158</v>
          </cell>
          <cell r="D467" t="str">
            <v/>
          </cell>
          <cell r="E467" t="str">
            <v/>
          </cell>
          <cell r="F467" t="str">
            <v>Final</v>
          </cell>
          <cell r="G467" t="str">
            <v>Final Collected</v>
          </cell>
          <cell r="H467" t="str">
            <v>No</v>
          </cell>
          <cell r="I467" t="str">
            <v>Trevor Benthagen, Efrain Zarate</v>
          </cell>
          <cell r="J467" t="str">
            <v/>
          </cell>
          <cell r="K467" t="str">
            <v>https://panda-windows-and-doors.monday.com/protected_static/21046287/resources/2408373673/smtp.office365.com_20250909_112057.pdf</v>
          </cell>
          <cell r="L467" t="str">
            <v>https://panda-windows-and-doors.monday.com/protected_static/21046287/resources/2408373493/smtp.office365.com_20250909_112104.pdf</v>
          </cell>
          <cell r="M467" t="str">
            <v/>
          </cell>
          <cell r="N467" t="str">
            <v>https://panda-windows-and-doors.monday.com/protected_static/21046287/resources/2408574890/87158 deposit invoice.pdf</v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>Completed - Closed Out</v>
          </cell>
          <cell r="T467" t="str">
            <v/>
          </cell>
          <cell r="U467">
            <v>5155</v>
          </cell>
          <cell r="V467">
            <v>6017.37</v>
          </cell>
          <cell r="W467" t="str">
            <v>George Bails Nov 11, 2025 9:09 AM</v>
          </cell>
          <cell r="X467" t="str">
            <v>2025-09-09 00:00</v>
          </cell>
          <cell r="Y467">
            <v>45909</v>
          </cell>
          <cell r="Z467" t="str">
            <v/>
          </cell>
          <cell r="AA467">
            <v>45909</v>
          </cell>
          <cell r="AB467" t="str">
            <v>Jayme Truong Sep 9, 2025 2:11 PM</v>
          </cell>
          <cell r="AC467">
            <v>45909</v>
          </cell>
          <cell r="AD467">
            <v>45910</v>
          </cell>
          <cell r="AE467">
            <v>45968</v>
          </cell>
          <cell r="AF467">
            <v>45971</v>
          </cell>
          <cell r="AG467">
            <v>45971</v>
          </cell>
          <cell r="AH467" t="str">
            <v>Amir Merikhian</v>
          </cell>
          <cell r="AI467" t="str">
            <v/>
          </cell>
        </row>
        <row r="468">
          <cell r="C468">
            <v>86699</v>
          </cell>
          <cell r="D468" t="str">
            <v/>
          </cell>
          <cell r="E468" t="str">
            <v/>
          </cell>
          <cell r="F468" t="str">
            <v>Final</v>
          </cell>
          <cell r="G468" t="str">
            <v>Final Collected</v>
          </cell>
          <cell r="H468" t="str">
            <v>No</v>
          </cell>
          <cell r="I468" t="str">
            <v>Tyler Clark</v>
          </cell>
          <cell r="J468" t="str">
            <v/>
          </cell>
          <cell r="K468" t="str">
            <v>https://panda-windows-and-doors.monday.com/protected_static/21046287/resources/2368121945/signed QQ#86699 570 Mountainside Dr SW 8-21-2025.pdf</v>
          </cell>
          <cell r="L468" t="str">
            <v>https://panda-windows-and-doors.monday.com/protected_static/21046287/resources/2368122239/86699_Signed Backer_082125.pdf</v>
          </cell>
          <cell r="M468" t="str">
            <v/>
          </cell>
          <cell r="N468" t="str">
            <v>https://panda-windows-and-doors.monday.com/protected_static/21046287/resources/2368702603/86699 Deposit Invoice.pdf</v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>Completed - Closed Out</v>
          </cell>
          <cell r="T468" t="str">
            <v/>
          </cell>
          <cell r="U468">
            <v>17716.3</v>
          </cell>
          <cell r="V468">
            <v>0</v>
          </cell>
          <cell r="W468" t="str">
            <v>George Bails Nov 12, 2025 5:10 PM</v>
          </cell>
          <cell r="X468" t="str">
            <v/>
          </cell>
          <cell r="Y468">
            <v>45890</v>
          </cell>
          <cell r="Z468" t="str">
            <v/>
          </cell>
          <cell r="AA468">
            <v>45890</v>
          </cell>
          <cell r="AB468" t="str">
            <v>Jayme Truong Aug 21, 2025 9:15 AM</v>
          </cell>
          <cell r="AC468">
            <v>45890</v>
          </cell>
          <cell r="AD468">
            <v>45891</v>
          </cell>
          <cell r="AE468">
            <v>45973</v>
          </cell>
          <cell r="AF468" t="str">
            <v/>
          </cell>
          <cell r="AG468">
            <v>45973</v>
          </cell>
          <cell r="AH468" t="str">
            <v>James Stewart</v>
          </cell>
          <cell r="AI468" t="str">
            <v/>
          </cell>
        </row>
        <row r="469">
          <cell r="C469">
            <v>87385</v>
          </cell>
          <cell r="D469" t="str">
            <v/>
          </cell>
          <cell r="E469" t="str">
            <v/>
          </cell>
          <cell r="F469" t="str">
            <v>Final</v>
          </cell>
          <cell r="G469" t="str">
            <v>Final Collected</v>
          </cell>
          <cell r="H469" t="str">
            <v>⚠️ Expedited</v>
          </cell>
          <cell r="I469" t="str">
            <v>Tyler Clark</v>
          </cell>
          <cell r="J469" t="str">
            <v/>
          </cell>
          <cell r="K469" t="str">
            <v>https://panda-windows-and-doors.monday.com/protected_static/21046287/resources/2432445781/smtp.office365.com_20250919_135606.pdf</v>
          </cell>
          <cell r="L469" t="str">
            <v>https://panda-windows-and-doors.monday.com/protected_static/21046287/resources/2432445933/smtp.office365.com_20250919_135606.pdf</v>
          </cell>
          <cell r="M469" t="str">
            <v/>
          </cell>
          <cell r="N469" t="str">
            <v>https://panda-windows-and-doors.monday.com/protected_static/21046287/resources/2435525210/87385 Deposit Invoice.pdf</v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>Completed - Closed Out</v>
          </cell>
          <cell r="T469" t="str">
            <v/>
          </cell>
          <cell r="U469">
            <v>26358</v>
          </cell>
          <cell r="V469">
            <v>17334.64</v>
          </cell>
          <cell r="W469" t="str">
            <v>George Bails Nov 12, 2025 5:05 PM</v>
          </cell>
          <cell r="X469" t="str">
            <v>2025-09-17 11:27</v>
          </cell>
          <cell r="Y469">
            <v>45922</v>
          </cell>
          <cell r="Z469" t="str">
            <v/>
          </cell>
          <cell r="AA469">
            <v>45919</v>
          </cell>
          <cell r="AB469" t="str">
            <v>Jayme Truong Sep 19, 2025 4:32 PM</v>
          </cell>
          <cell r="AC469">
            <v>45922</v>
          </cell>
          <cell r="AD469">
            <v>45923</v>
          </cell>
          <cell r="AE469">
            <v>45971</v>
          </cell>
          <cell r="AF469">
            <v>45971</v>
          </cell>
          <cell r="AG469">
            <v>45973</v>
          </cell>
          <cell r="AH469" t="str">
            <v>christine martin</v>
          </cell>
          <cell r="AI469" t="str">
            <v/>
          </cell>
        </row>
        <row r="470">
          <cell r="C470">
            <v>81748</v>
          </cell>
          <cell r="D470" t="str">
            <v/>
          </cell>
          <cell r="E470" t="str">
            <v/>
          </cell>
          <cell r="F470" t="str">
            <v>Final</v>
          </cell>
          <cell r="G470" t="str">
            <v>Final Collected</v>
          </cell>
          <cell r="H470" t="str">
            <v>No</v>
          </cell>
          <cell r="I470" t="str">
            <v>Spencer Anderson</v>
          </cell>
          <cell r="J470" t="str">
            <v/>
          </cell>
          <cell r="K470" t="str">
            <v>https://panda-windows-and-doors.monday.com/protected_static/21046287/resources/2351558461/81748 Signed.pdf</v>
          </cell>
          <cell r="L470" t="str">
            <v>https://panda-windows-and-doors.monday.com/protected_static/21046287/resources/2351558750/Signed Backer.pdf</v>
          </cell>
          <cell r="M470" t="str">
            <v/>
          </cell>
          <cell r="N470" t="str">
            <v>https://panda-windows-and-doors.monday.com/protected_static/21046287/resources/2353595109/9972 Deposit Invoice.pdf</v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>Completed - Closed Out</v>
          </cell>
          <cell r="T470" t="str">
            <v/>
          </cell>
          <cell r="U470">
            <v>29237.67</v>
          </cell>
          <cell r="V470">
            <v>29827.33</v>
          </cell>
          <cell r="W470" t="str">
            <v>George Bails Nov 12, 2025 5:17 PM</v>
          </cell>
          <cell r="X470" t="str">
            <v/>
          </cell>
          <cell r="Y470">
            <v>45874</v>
          </cell>
          <cell r="Z470" t="str">
            <v/>
          </cell>
          <cell r="AA470">
            <v>45883</v>
          </cell>
          <cell r="AB470" t="str">
            <v>Annalene Conde Aug 5, 2025 4:18 PM</v>
          </cell>
          <cell r="AC470">
            <v>45883</v>
          </cell>
          <cell r="AD470">
            <v>45892</v>
          </cell>
          <cell r="AE470">
            <v>45966</v>
          </cell>
          <cell r="AF470">
            <v>45966</v>
          </cell>
          <cell r="AG470">
            <v>45973</v>
          </cell>
          <cell r="AH470" t="str">
            <v>Nalin Maxfield</v>
          </cell>
          <cell r="AI470" t="str">
            <v/>
          </cell>
        </row>
        <row r="471">
          <cell r="C471">
            <v>84975</v>
          </cell>
          <cell r="D471" t="str">
            <v/>
          </cell>
          <cell r="E471" t="str">
            <v/>
          </cell>
          <cell r="F471" t="str">
            <v>Final</v>
          </cell>
          <cell r="G471" t="str">
            <v>Final Collected</v>
          </cell>
          <cell r="H471" t="str">
            <v>No</v>
          </cell>
          <cell r="I471" t="str">
            <v>Sean Torre</v>
          </cell>
          <cell r="J471" t="str">
            <v/>
          </cell>
          <cell r="K471" t="str">
            <v>https://panda-windows-and-doors.monday.com/protected_static/21046287/resources/2330541676/PANDA DOORS ORDER.pdf, https://panda-windows-and-doors.monday.com/protected_static/21046287/resources/2330541677/PANDA DOORS ORDER.pdf</v>
          </cell>
          <cell r="L471" t="str">
            <v>https://panda-windows-and-doors.monday.com/protected_static/21046287/resources/2356304335/CamScanner 7-17-25 11.22 (1).pdf</v>
          </cell>
          <cell r="M471" t="str">
            <v/>
          </cell>
          <cell r="N471" t="str">
            <v>https://panda-windows-and-doors.monday.com/protected_static/21046287/resources/2338565058/84975 Deposit Invoice.pdf</v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>Completed - Closed Out</v>
          </cell>
          <cell r="T471" t="str">
            <v/>
          </cell>
          <cell r="U471">
            <v>15904</v>
          </cell>
          <cell r="V471">
            <v>18270.55</v>
          </cell>
          <cell r="W471" t="str">
            <v>George Bails Nov 12, 2025 4:52 PM</v>
          </cell>
          <cell r="X471" t="str">
            <v>2025-07-17 00:00</v>
          </cell>
          <cell r="Y471">
            <v>45873</v>
          </cell>
          <cell r="Z471" t="str">
            <v/>
          </cell>
          <cell r="AA471">
            <v>45972</v>
          </cell>
          <cell r="AB471" t="str">
            <v>Jayme Truong Aug 4, 2025 10:40 AM</v>
          </cell>
          <cell r="AC471" t="str">
            <v/>
          </cell>
          <cell r="AD471">
            <v>45876</v>
          </cell>
          <cell r="AE471">
            <v>45972</v>
          </cell>
          <cell r="AF471">
            <v>45972</v>
          </cell>
          <cell r="AG471">
            <v>45973</v>
          </cell>
          <cell r="AH471" t="str">
            <v>Mansour Residence</v>
          </cell>
          <cell r="AI471" t="str">
            <v/>
          </cell>
        </row>
        <row r="472">
          <cell r="C472">
            <v>83559</v>
          </cell>
          <cell r="D472" t="str">
            <v/>
          </cell>
          <cell r="E472" t="str">
            <v/>
          </cell>
          <cell r="F472" t="str">
            <v>Final</v>
          </cell>
          <cell r="G472" t="str">
            <v>Final Collected</v>
          </cell>
          <cell r="H472" t="str">
            <v>No</v>
          </cell>
          <cell r="I472" t="str">
            <v>Trevor Benthagen, Efrain Zarate</v>
          </cell>
          <cell r="J472" t="str">
            <v/>
          </cell>
          <cell r="K472" t="str">
            <v>https://panda-windows-and-doors.monday.com/protected_static/21046287/resources/2315076569/smtp.office365.com_20250725_132230.pdf</v>
          </cell>
          <cell r="L472" t="str">
            <v>https://panda-windows-and-doors.monday.com/protected_static/21046287/resources/2315075710/smtp.office365.com_20250725_132218.pdf</v>
          </cell>
          <cell r="M472" t="str">
            <v/>
          </cell>
          <cell r="N472" t="str">
            <v>https://panda-windows-and-doors.monday.com/protected_static/21046287/resources/2315102655/83559 Deposit Invoice.pdf</v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>Completed - Closed Out</v>
          </cell>
          <cell r="T472" t="str">
            <v/>
          </cell>
          <cell r="U472">
            <v>15478</v>
          </cell>
          <cell r="V472">
            <v>9632.49</v>
          </cell>
          <cell r="W472" t="str">
            <v>George Bails Nov 10, 2025 8:16 AM</v>
          </cell>
          <cell r="X472" t="str">
            <v>2025-02-03 00:00</v>
          </cell>
          <cell r="Y472">
            <v>45863</v>
          </cell>
          <cell r="Z472" t="str">
            <v/>
          </cell>
          <cell r="AA472">
            <v>45863</v>
          </cell>
          <cell r="AB472" t="str">
            <v>Jayme Truong Jul 25, 2025 4:00 PM</v>
          </cell>
          <cell r="AC472">
            <v>45866</v>
          </cell>
          <cell r="AD472">
            <v>45967</v>
          </cell>
          <cell r="AE472">
            <v>45957</v>
          </cell>
          <cell r="AF472">
            <v>45967</v>
          </cell>
          <cell r="AG472">
            <v>45967</v>
          </cell>
          <cell r="AH472" t="str">
            <v>Kristine Creel</v>
          </cell>
          <cell r="AI472" t="str">
            <v/>
          </cell>
        </row>
        <row r="473">
          <cell r="C473">
            <v>85395</v>
          </cell>
          <cell r="D473" t="str">
            <v/>
          </cell>
          <cell r="E473" t="str">
            <v/>
          </cell>
          <cell r="F473" t="str">
            <v>Final</v>
          </cell>
          <cell r="G473" t="str">
            <v>Final Collected</v>
          </cell>
          <cell r="H473" t="str">
            <v>No</v>
          </cell>
          <cell r="I473" t="str">
            <v>Derrick McCall</v>
          </cell>
          <cell r="J473" t="str">
            <v/>
          </cell>
          <cell r="K473" t="str">
            <v>https://panda-windows-and-doors.monday.com/protected_static/21046287/resources/2293036185/QQ#85395  Reposado Restaurant 07102025- signed.pdf</v>
          </cell>
          <cell r="L473" t="str">
            <v>https://panda-windows-and-doors.monday.com/protected_static/21046287/resources/2293036354/Q85395 AB.pdf</v>
          </cell>
          <cell r="M473" t="str">
            <v/>
          </cell>
          <cell r="N473" t="str">
            <v>https://panda-windows-and-doors.monday.com/protected_static/21046287/resources/2293129991/85395-Deposit.pdf</v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>Completed - Closed Out</v>
          </cell>
          <cell r="T473" t="str">
            <v/>
          </cell>
          <cell r="U473">
            <v>16927</v>
          </cell>
          <cell r="V473">
            <v>16927</v>
          </cell>
          <cell r="W473" t="str">
            <v>George Bails Nov 12, 2025 4:44 PM</v>
          </cell>
          <cell r="X473" t="str">
            <v>2025-07-16 00:00</v>
          </cell>
          <cell r="Y473">
            <v>45854</v>
          </cell>
          <cell r="Z473" t="str">
            <v/>
          </cell>
          <cell r="AA473">
            <v>45854</v>
          </cell>
          <cell r="AB473" t="str">
            <v>Jayme Truong Jul 16, 2025 3:14 PM</v>
          </cell>
          <cell r="AC473">
            <v>45854</v>
          </cell>
          <cell r="AD473">
            <v>45884</v>
          </cell>
          <cell r="AE473">
            <v>45908</v>
          </cell>
          <cell r="AF473">
            <v>45908</v>
          </cell>
          <cell r="AG473">
            <v>45973</v>
          </cell>
          <cell r="AH473" t="str">
            <v>Chaix Company</v>
          </cell>
          <cell r="AI473" t="str">
            <v/>
          </cell>
        </row>
        <row r="474">
          <cell r="C474">
            <v>84097</v>
          </cell>
          <cell r="D474">
            <v>45902</v>
          </cell>
          <cell r="E474" t="str">
            <v/>
          </cell>
          <cell r="F474" t="str">
            <v>Final</v>
          </cell>
          <cell r="G474" t="str">
            <v>Final Collected</v>
          </cell>
          <cell r="H474" t="str">
            <v>No</v>
          </cell>
          <cell r="I474" t="str">
            <v>Troy Kite</v>
          </cell>
          <cell r="J474" t="str">
            <v/>
          </cell>
          <cell r="K474" t="str">
            <v>https://panda-windows-and-doors.monday.com/protected_static/21046287/resources/2196999761/Signed Proposal  Lady of Hope Mausoleum.pdf</v>
          </cell>
          <cell r="L474" t="str">
            <v>https://panda-windows-and-doors.monday.com/protected_static/21046287/resources/2197000529/Backer Lady of Hope Mausoleum.pdf</v>
          </cell>
          <cell r="M474" t="str">
            <v/>
          </cell>
          <cell r="N474" t="str">
            <v>https://panda-windows-and-doors.monday.com/protected_static/21046287/resources/2197161223/84097 Deposit Invoice.pdf, https://panda-windows-and-doors.monday.com/protected_static/21046287/resources/2391994427/84097 Revised Deposit Invoice CO 1.pdf</v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>Completed - Closed Out</v>
          </cell>
          <cell r="T474" t="str">
            <v/>
          </cell>
          <cell r="U474">
            <v>28979</v>
          </cell>
          <cell r="V474">
            <v>25675</v>
          </cell>
          <cell r="W474" t="str">
            <v>Annalene Conde Nov 13, 2025 8:53 AM</v>
          </cell>
          <cell r="X474" t="str">
            <v>2025-05-09 00:00</v>
          </cell>
          <cell r="Y474">
            <v>45818</v>
          </cell>
          <cell r="Z474" t="str">
            <v/>
          </cell>
          <cell r="AA474">
            <v>45818</v>
          </cell>
          <cell r="AB474" t="str">
            <v>Jayme Truong Jun 10, 2025 2:09 PM</v>
          </cell>
          <cell r="AC474">
            <v>45818</v>
          </cell>
          <cell r="AD474">
            <v>45834</v>
          </cell>
          <cell r="AE474">
            <v>45966</v>
          </cell>
          <cell r="AF474">
            <v>45966</v>
          </cell>
          <cell r="AG474">
            <v>45974</v>
          </cell>
          <cell r="AH474" t="str">
            <v>Brett Peck</v>
          </cell>
          <cell r="AI474">
            <v>45902</v>
          </cell>
        </row>
        <row r="475">
          <cell r="C475">
            <v>83613</v>
          </cell>
          <cell r="D475" t="str">
            <v/>
          </cell>
          <cell r="E475" t="str">
            <v/>
          </cell>
          <cell r="F475" t="str">
            <v>Final</v>
          </cell>
          <cell r="G475" t="str">
            <v>Final Collected</v>
          </cell>
          <cell r="H475" t="str">
            <v>No</v>
          </cell>
          <cell r="I475" t="str">
            <v>Derrick McCall</v>
          </cell>
          <cell r="J475" t="str">
            <v/>
          </cell>
          <cell r="K475" t="str">
            <v>https://panda-windows-and-doors.monday.com/protected_static/21046287/resources/1957688580/QQ#83613 Durant 01292025.pdf</v>
          </cell>
          <cell r="L475" t="str">
            <v>https://panda-windows-and-doors.monday.com/protected_static/21046287/resources/2083312446/smtp.office365.com_20250214_052326.pdf</v>
          </cell>
          <cell r="M475" t="str">
            <v/>
          </cell>
          <cell r="N475" t="str">
            <v>https://panda-windows-and-doors.monday.com/protected_static/21046287/resources/1959609867/83613 Deposit Invoice.pdf</v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>Completed - Closed Out</v>
          </cell>
          <cell r="T475" t="str">
            <v/>
          </cell>
          <cell r="U475">
            <v>9153</v>
          </cell>
          <cell r="V475">
            <v>10778.13</v>
          </cell>
          <cell r="W475" t="str">
            <v>Annalene Conde Nov 13, 2025 9:13 AM</v>
          </cell>
          <cell r="X475" t="str">
            <v>2025-02-03 00:00</v>
          </cell>
          <cell r="Y475">
            <v>45702</v>
          </cell>
          <cell r="Z475" t="str">
            <v/>
          </cell>
          <cell r="AA475">
            <v>45702</v>
          </cell>
          <cell r="AB475" t="str">
            <v>Jayme Truong Feb 14, 2025 7:09 AM</v>
          </cell>
          <cell r="AC475">
            <v>45702</v>
          </cell>
          <cell r="AD475">
            <v>45709</v>
          </cell>
          <cell r="AE475" t="str">
            <v/>
          </cell>
          <cell r="AF475">
            <v>45959</v>
          </cell>
          <cell r="AG475">
            <v>45974</v>
          </cell>
          <cell r="AH475" t="str">
            <v>HTI Glass &amp; Construction</v>
          </cell>
          <cell r="AI475" t="str">
            <v/>
          </cell>
        </row>
        <row r="476">
          <cell r="C476">
            <v>84921</v>
          </cell>
          <cell r="D476">
            <v>45875</v>
          </cell>
          <cell r="E476" t="str">
            <v/>
          </cell>
          <cell r="F476" t="str">
            <v>Final</v>
          </cell>
          <cell r="G476" t="str">
            <v>Final Collected</v>
          </cell>
          <cell r="H476" t="str">
            <v>No</v>
          </cell>
          <cell r="I476" t="str">
            <v>Tyler Clark</v>
          </cell>
          <cell r="J476" t="str">
            <v/>
          </cell>
          <cell r="K476" t="str">
            <v>https://panda-windows-and-doors.monday.com/protected_static/21046287/resources/2280249412/Signed Sales Order_041125.pdf</v>
          </cell>
          <cell r="L476" t="str">
            <v>https://panda-windows-and-doors.monday.com/protected_static/21046287/resources/2347723949/Signed Backer 041125.pdf</v>
          </cell>
          <cell r="M476" t="str">
            <v/>
          </cell>
          <cell r="N476" t="str">
            <v>https://panda-windows-and-doors.monday.com/protected_static/21046287/resources/2080442593/84921 Deposit Invoice.pdf, https://panda-windows-and-doors.monday.com/protected_static/21046287/resources/2372106405/84921 Deposit Invoice CO 1 REV.pdf</v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>
            <v>59264</v>
          </cell>
          <cell r="V476">
            <v>59262</v>
          </cell>
          <cell r="W476" t="str">
            <v>Annalene Conde Nov 13, 2025 9:31 AM</v>
          </cell>
          <cell r="X476" t="str">
            <v>2025-04-09 00:00</v>
          </cell>
          <cell r="Y476">
            <v>45875</v>
          </cell>
          <cell r="Z476" t="str">
            <v/>
          </cell>
          <cell r="AA476">
            <v>45882</v>
          </cell>
          <cell r="AB476" t="str">
            <v>Jayme Truong Apr 11, 2025 3:27 PM</v>
          </cell>
          <cell r="AC476">
            <v>45761</v>
          </cell>
          <cell r="AD476">
            <v>45762</v>
          </cell>
          <cell r="AE476">
            <v>45967</v>
          </cell>
          <cell r="AF476">
            <v>45967</v>
          </cell>
          <cell r="AG476">
            <v>45974</v>
          </cell>
          <cell r="AH476" t="str">
            <v>Wenatchee Glass</v>
          </cell>
          <cell r="AI476">
            <v>45875</v>
          </cell>
        </row>
        <row r="477">
          <cell r="C477">
            <v>86802</v>
          </cell>
          <cell r="D477" t="str">
            <v/>
          </cell>
          <cell r="E477" t="str">
            <v/>
          </cell>
          <cell r="F477" t="str">
            <v>Final</v>
          </cell>
          <cell r="G477" t="str">
            <v>Final Collected</v>
          </cell>
          <cell r="H477" t="str">
            <v>No</v>
          </cell>
          <cell r="I477" t="str">
            <v>Stefan Monetta</v>
          </cell>
          <cell r="J477" t="str">
            <v/>
          </cell>
          <cell r="K477" t="str">
            <v>https://panda-windows-and-doors.monday.com/protected_static/21046287/resources/2457986096/Signed Sales Order.pdf</v>
          </cell>
          <cell r="L477" t="str">
            <v>https://panda-windows-and-doors.monday.com/protected_static/21046287/resources/2458006021/smtp.office365.com_20251001_143355.pdf</v>
          </cell>
          <cell r="M477" t="str">
            <v/>
          </cell>
          <cell r="N477" t="str">
            <v>https://panda-windows-and-doors.monday.com/protected_static/21046287/resources/2459808268/86802 Deposit Invoice.pdf</v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>Completed - Closed Out</v>
          </cell>
          <cell r="T477" t="str">
            <v/>
          </cell>
          <cell r="U477">
            <v>6792.48</v>
          </cell>
          <cell r="V477">
            <v>0</v>
          </cell>
          <cell r="W477" t="str">
            <v>Annalene Conde Nov 13, 2025 9:52 AM</v>
          </cell>
          <cell r="X477" t="str">
            <v>2025-08-21 00:00</v>
          </cell>
          <cell r="Y477">
            <v>45890</v>
          </cell>
          <cell r="Z477" t="str">
            <v/>
          </cell>
          <cell r="AA477">
            <v>45923</v>
          </cell>
          <cell r="AB477" t="str">
            <v>Jayme Truong Aug 21, 2025 3:10 PM</v>
          </cell>
          <cell r="AC477">
            <v>45932</v>
          </cell>
          <cell r="AD477" t="str">
            <v/>
          </cell>
          <cell r="AE477">
            <v>45960</v>
          </cell>
          <cell r="AF477">
            <v>45960</v>
          </cell>
          <cell r="AG477">
            <v>45974</v>
          </cell>
          <cell r="AH477" t="str">
            <v>HHI Windows and Doors</v>
          </cell>
          <cell r="AI477" t="str">
            <v/>
          </cell>
        </row>
        <row r="478">
          <cell r="C478">
            <v>85642</v>
          </cell>
          <cell r="D478" t="str">
            <v/>
          </cell>
          <cell r="E478" t="str">
            <v/>
          </cell>
          <cell r="F478" t="str">
            <v>Final</v>
          </cell>
          <cell r="G478" t="str">
            <v>Final Collected</v>
          </cell>
          <cell r="H478" t="str">
            <v>No</v>
          </cell>
          <cell r="I478" t="str">
            <v>Sean Torre</v>
          </cell>
          <cell r="J478" t="str">
            <v/>
          </cell>
          <cell r="K478" t="str">
            <v>https://panda-windows-and-doors.monday.com/protected_static/21046287/resources/2347675767/85642_Signed Sales Order_081225.pdf</v>
          </cell>
          <cell r="L478" t="str">
            <v>https://panda-windows-and-doors.monday.com/protected_static/21046287/resources/2347676020/85642_Signed Backer_081225.pdf</v>
          </cell>
          <cell r="M478" t="str">
            <v/>
          </cell>
          <cell r="N478" t="str">
            <v>https://panda-windows-and-doors.monday.com/protected_static/21046287/resources/2348124182/85642 Deposit Invoice.pdf</v>
          </cell>
          <cell r="O478" t="str">
            <v/>
          </cell>
          <cell r="P478" t="str">
            <v/>
          </cell>
          <cell r="Q478" t="str">
            <v/>
          </cell>
          <cell r="R478" t="str">
            <v>https://panda-windows-and-doors.monday.com/protected_static/21046287/resources/2289680111/Precision Glass Co  - Resale Certificate 9-29-2023 - CA.pdf, https://panda-windows-and-doors.monday.com/protected_static/21046287/resources/2289680112/Precision Glass CO PO BOX 549 effective 2-2-2023 - CA.pdf, https://panda-windows-and-doors.monday.com/protected_static/21046287/resources/2289680122/Precision Glass Co. - California resale Certificate Effective 2-28-19 - CA.pdf</v>
          </cell>
          <cell r="S478" t="str">
            <v>Completed - Closed Out</v>
          </cell>
          <cell r="T478" t="str">
            <v/>
          </cell>
          <cell r="U478">
            <v>6425</v>
          </cell>
          <cell r="V478">
            <v>6525</v>
          </cell>
          <cell r="W478" t="str">
            <v>George Bails Nov 14, 2025 8:20 AM</v>
          </cell>
          <cell r="X478" t="str">
            <v>2025-05-19 00:00</v>
          </cell>
          <cell r="Y478">
            <v>45881</v>
          </cell>
          <cell r="Z478" t="str">
            <v>No</v>
          </cell>
          <cell r="AA478">
            <v>45881</v>
          </cell>
          <cell r="AB478" t="str">
            <v>Jayme Truong Aug 12, 2025 9:48 AM</v>
          </cell>
          <cell r="AC478">
            <v>45881</v>
          </cell>
          <cell r="AD478">
            <v>45896</v>
          </cell>
          <cell r="AE478">
            <v>45974</v>
          </cell>
          <cell r="AF478">
            <v>45974</v>
          </cell>
          <cell r="AG478">
            <v>45975</v>
          </cell>
          <cell r="AH478" t="str">
            <v>Precision Glass</v>
          </cell>
          <cell r="AI478" t="str">
            <v/>
          </cell>
        </row>
        <row r="479">
          <cell r="C479">
            <v>84645</v>
          </cell>
          <cell r="D479" t="str">
            <v/>
          </cell>
          <cell r="E479" t="str">
            <v/>
          </cell>
          <cell r="F479" t="str">
            <v>Final</v>
          </cell>
          <cell r="G479" t="str">
            <v>Final Collected</v>
          </cell>
          <cell r="H479" t="str">
            <v>No</v>
          </cell>
          <cell r="I479" t="str">
            <v>Troy Kite</v>
          </cell>
          <cell r="J479" t="str">
            <v/>
          </cell>
          <cell r="K479" t="str">
            <v>https://panda-windows-and-doors.monday.com/protected_static/21046287/resources/2080959007/QQ #84645 - Matt Residence_TAVI - 04102025.pdf</v>
          </cell>
          <cell r="L479" t="str">
            <v>https://panda-windows-and-doors.monday.com/protected_static/21046287/resources/2083435768/smtp.office365.com_20250414_095910.pdf, https://panda-windows-and-doors.monday.com/protected_static/21046287/resources/2083435778/Matt Residence_TAVI - 04072025.xlsx, https://panda-windows-and-doors.monday.com/protected_static/21046287/resources/2092589231/Matt Res..pdf</v>
          </cell>
          <cell r="M479" t="str">
            <v/>
          </cell>
          <cell r="N479" t="str">
            <v>https://panda-windows-and-doors.monday.com/protected_static/21046287/resources/2081104768/84645 Deposit Invoice.pdf</v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>Completed - Closed Out</v>
          </cell>
          <cell r="T479" t="str">
            <v/>
          </cell>
          <cell r="U479">
            <v>45138</v>
          </cell>
          <cell r="V479">
            <v>51331.32</v>
          </cell>
          <cell r="W479" t="str">
            <v>Annalene Conde Nov 17, 2025 8:15 AM</v>
          </cell>
          <cell r="X479" t="str">
            <v>2025-03-19 13:23</v>
          </cell>
          <cell r="Y479">
            <v>45761</v>
          </cell>
          <cell r="Z479" t="str">
            <v/>
          </cell>
          <cell r="AA479">
            <v>45761</v>
          </cell>
          <cell r="AB479" t="str">
            <v>Jayme Truong Apr 14, 2025 2:28 PM</v>
          </cell>
          <cell r="AC479">
            <v>45761</v>
          </cell>
          <cell r="AD479">
            <v>45764</v>
          </cell>
          <cell r="AE479">
            <v>45960</v>
          </cell>
          <cell r="AF479">
            <v>45960</v>
          </cell>
          <cell r="AG479">
            <v>45978</v>
          </cell>
          <cell r="AH479" t="str">
            <v>Top Notch Glass</v>
          </cell>
          <cell r="AI479" t="str">
            <v/>
          </cell>
        </row>
        <row r="480">
          <cell r="C480">
            <v>79571</v>
          </cell>
          <cell r="D480" t="str">
            <v/>
          </cell>
          <cell r="E480" t="str">
            <v/>
          </cell>
          <cell r="F480" t="str">
            <v>Final</v>
          </cell>
          <cell r="G480" t="str">
            <v>Final Collected</v>
          </cell>
          <cell r="H480" t="str">
            <v>No</v>
          </cell>
          <cell r="I480" t="str">
            <v>Trevor Benthagen, Efrain Zarate</v>
          </cell>
          <cell r="J480" t="str">
            <v/>
          </cell>
          <cell r="K480" t="str">
            <v>https://panda-windows-and-doors.monday.com/protected_static/21046287/resources/1938124793/Q#79571 SIGNED SALES ORDER.pdf</v>
          </cell>
          <cell r="L480" t="str">
            <v>https://panda-windows-and-doors.monday.com/protected_static/21046287/resources/2083290425/Q_79571 SIGNED BACKER.pdf</v>
          </cell>
          <cell r="M480" t="str">
            <v/>
          </cell>
          <cell r="N480" t="str">
            <v>https://panda-windows-and-doors.monday.com/protected_static/21046287/resources/1938396234/79571 REVISED DEPOSIT INVOICE.pdf</v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>Completed - Closed Out</v>
          </cell>
          <cell r="T480" t="str">
            <v/>
          </cell>
          <cell r="U480">
            <v>71241.5</v>
          </cell>
          <cell r="V480">
            <v>71241.5</v>
          </cell>
          <cell r="W480" t="str">
            <v>George Bails Nov 18, 2025 11:19 AM</v>
          </cell>
          <cell r="X480" t="str">
            <v>2024-12-26 00:00</v>
          </cell>
          <cell r="Y480">
            <v>45691</v>
          </cell>
          <cell r="Z480" t="str">
            <v/>
          </cell>
          <cell r="AA480">
            <v>45692</v>
          </cell>
          <cell r="AB480" t="str">
            <v>Jayme Truong Jan 23, 2025 12:58 PM</v>
          </cell>
          <cell r="AC480">
            <v>45692</v>
          </cell>
          <cell r="AD480">
            <v>45698</v>
          </cell>
          <cell r="AE480">
            <v>45953</v>
          </cell>
          <cell r="AF480">
            <v>45953</v>
          </cell>
          <cell r="AG480">
            <v>45978</v>
          </cell>
          <cell r="AH480" t="str">
            <v>Tamarack Custom Homes LLC</v>
          </cell>
          <cell r="AI480" t="str">
            <v/>
          </cell>
        </row>
        <row r="481">
          <cell r="C481">
            <v>86499</v>
          </cell>
          <cell r="D481">
            <v>45891</v>
          </cell>
          <cell r="E481" t="str">
            <v/>
          </cell>
          <cell r="F481" t="str">
            <v>Final</v>
          </cell>
          <cell r="G481" t="str">
            <v>Final Collected</v>
          </cell>
          <cell r="H481" t="str">
            <v>No</v>
          </cell>
          <cell r="I481" t="str">
            <v>Efrain Zarate, Trevor Benthagen</v>
          </cell>
          <cell r="J481" t="str">
            <v/>
          </cell>
          <cell r="K481" t="str">
            <v>https://panda-windows-and-doors.monday.com/protected_static/21046287/resources/2316188301/smtp.office365.com_20250728_131409.pdf</v>
          </cell>
          <cell r="L481" t="str">
            <v>https://panda-windows-and-doors.monday.com/protected_static/21046287/resources/2316187971/smtp.office365.com_20250728_131423.pdf</v>
          </cell>
          <cell r="M481" t="str">
            <v/>
          </cell>
          <cell r="N481" t="str">
            <v>https://panda-windows-and-doors.monday.com/protected_static/21046287/resources/2317873761/86499 Deposit Invoice.pdf, https://panda-windows-and-doors.monday.com/protected_static/21046287/resources/2372120467/86499 Deposit Invoice CO 1.pdf, https://panda-windows-and-doors.monday.com/protected_static/21046287/resources/2377098493/86499 Change ORder 1 Deposit Payment.pdf</v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>
            <v>23541</v>
          </cell>
          <cell r="V481">
            <v>27464.27</v>
          </cell>
          <cell r="W481" t="str">
            <v>George Bails Nov 18, 2025 11:23 AM</v>
          </cell>
          <cell r="X481" t="str">
            <v>2025-07-16 00:00</v>
          </cell>
          <cell r="Y481">
            <v>45866</v>
          </cell>
          <cell r="Z481" t="str">
            <v/>
          </cell>
          <cell r="AA481">
            <v>45866</v>
          </cell>
          <cell r="AB481" t="str">
            <v>Jayme Truong Jul 28, 2025 3:41 PM</v>
          </cell>
          <cell r="AC481">
            <v>45867</v>
          </cell>
          <cell r="AD481" t="str">
            <v/>
          </cell>
          <cell r="AE481">
            <v>45974</v>
          </cell>
          <cell r="AF481">
            <v>45974</v>
          </cell>
          <cell r="AG481">
            <v>45978</v>
          </cell>
          <cell r="AH481" t="str">
            <v>Elham Taherian</v>
          </cell>
          <cell r="AI481">
            <v>45891</v>
          </cell>
        </row>
        <row r="482">
          <cell r="C482">
            <v>86632</v>
          </cell>
          <cell r="D482">
            <v>45895</v>
          </cell>
          <cell r="E482" t="str">
            <v/>
          </cell>
          <cell r="F482" t="str">
            <v>Final</v>
          </cell>
          <cell r="G482" t="str">
            <v>Final Collected</v>
          </cell>
          <cell r="H482" t="str">
            <v>No</v>
          </cell>
          <cell r="I482" t="str">
            <v>Sean Torre</v>
          </cell>
          <cell r="J482" t="str">
            <v/>
          </cell>
          <cell r="K482" t="str">
            <v>https://panda-windows-and-doors.monday.com/protected_static/21046287/resources/2336724424/Attachment-1.pdf</v>
          </cell>
          <cell r="L482" t="str">
            <v>https://panda-windows-and-doors.monday.com/protected_static/21046287/resources/2336729443/CamScanner 8-6-25 12.11 (1).pdf</v>
          </cell>
          <cell r="M482" t="str">
            <v/>
          </cell>
          <cell r="N482" t="str">
            <v>https://panda-windows-and-doors.monday.com/protected_static/21046287/resources/2338504614/86632 Deposit Invoice.pdf, https://panda-windows-and-doors.monday.com/protected_static/21046287/resources/2392300187/86632 Deposit Invoice CO 1.pdf</v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>Completed - Closed Out</v>
          </cell>
          <cell r="T482" t="str">
            <v/>
          </cell>
          <cell r="U482">
            <v>6584</v>
          </cell>
          <cell r="V482">
            <v>9409.98</v>
          </cell>
          <cell r="W482" t="str">
            <v>George Bails Nov 18, 2025 11:30 AM</v>
          </cell>
          <cell r="X482" t="str">
            <v>2025-08-06 00:00</v>
          </cell>
          <cell r="Y482">
            <v>45875</v>
          </cell>
          <cell r="Z482" t="str">
            <v/>
          </cell>
          <cell r="AA482">
            <v>45877</v>
          </cell>
          <cell r="AB482" t="str">
            <v>Jayme Truong Aug 6, 2025 1:27 PM</v>
          </cell>
          <cell r="AC482">
            <v>45876</v>
          </cell>
          <cell r="AD482">
            <v>45880</v>
          </cell>
          <cell r="AE482">
            <v>45968</v>
          </cell>
          <cell r="AF482">
            <v>45968</v>
          </cell>
          <cell r="AG482">
            <v>45978</v>
          </cell>
          <cell r="AH482" t="str">
            <v>El sol installs</v>
          </cell>
          <cell r="AI482">
            <v>45895</v>
          </cell>
        </row>
        <row r="483">
          <cell r="C483">
            <v>86914</v>
          </cell>
          <cell r="D483" t="str">
            <v/>
          </cell>
          <cell r="E483" t="str">
            <v/>
          </cell>
          <cell r="F483" t="str">
            <v>Final</v>
          </cell>
          <cell r="G483" t="str">
            <v>Final Collected</v>
          </cell>
          <cell r="H483" t="str">
            <v>No</v>
          </cell>
          <cell r="I483" t="str">
            <v>Sean Torre</v>
          </cell>
          <cell r="J483" t="str">
            <v/>
          </cell>
          <cell r="K483" t="str">
            <v>https://panda-windows-and-doors.monday.com/protected_static/21046287/resources/2374875468/Arun signed2 (1).pdf</v>
          </cell>
          <cell r="L483" t="str">
            <v>https://panda-windows-and-doors.monday.com/protected_static/21046287/resources/2374876455/CamScanner 8-25-25 12.03.pdf</v>
          </cell>
          <cell r="M483" t="str">
            <v/>
          </cell>
          <cell r="N483" t="str">
            <v>https://panda-windows-and-doors.monday.com/protected_static/21046287/resources/2375051597/86914 Deposit Invoice.pdf</v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>Completed - Closed Out</v>
          </cell>
          <cell r="T483" t="str">
            <v/>
          </cell>
          <cell r="U483">
            <v>11084</v>
          </cell>
          <cell r="V483">
            <v>11083</v>
          </cell>
          <cell r="W483" t="str">
            <v>George Bails Nov 20, 2025 8:47 AM</v>
          </cell>
          <cell r="X483" t="str">
            <v>2025-08-25 00:00</v>
          </cell>
          <cell r="Y483">
            <v>45894</v>
          </cell>
          <cell r="Z483" t="str">
            <v/>
          </cell>
          <cell r="AA483">
            <v>45894</v>
          </cell>
          <cell r="AB483" t="str">
            <v>Jayme Truong Aug 25, 2025 1:09 PM</v>
          </cell>
          <cell r="AC483">
            <v>45894</v>
          </cell>
          <cell r="AD483">
            <v>45898</v>
          </cell>
          <cell r="AE483">
            <v>45978</v>
          </cell>
          <cell r="AF483">
            <v>45978</v>
          </cell>
          <cell r="AG483">
            <v>45979</v>
          </cell>
          <cell r="AH483" t="str">
            <v>Joel H</v>
          </cell>
          <cell r="AI483" t="str">
            <v/>
          </cell>
        </row>
        <row r="484">
          <cell r="C484">
            <v>85710</v>
          </cell>
          <cell r="D484">
            <v>45896</v>
          </cell>
          <cell r="E484" t="str">
            <v/>
          </cell>
          <cell r="F484" t="str">
            <v>Final</v>
          </cell>
          <cell r="G484" t="str">
            <v>Final Collected</v>
          </cell>
          <cell r="H484" t="str">
            <v>No</v>
          </cell>
          <cell r="I484" t="str">
            <v>Derrick McCall</v>
          </cell>
          <cell r="J484" t="str">
            <v/>
          </cell>
          <cell r="K484" t="str">
            <v>https://panda-windows-and-doors.monday.com/protected_static/21046287/resources/2283889981/QQ#85710 200 Fitness Center 07112025.pdf</v>
          </cell>
          <cell r="L484" t="str">
            <v>https://panda-windows-and-doors.monday.com/protected_static/21046287/resources/2283890169/Q84710 SB.pdf</v>
          </cell>
          <cell r="M484" t="str">
            <v/>
          </cell>
          <cell r="N484" t="str">
            <v>https://panda-windows-and-doors.monday.com/protected_static/21046287/resources/2283954372/85710 Deposit Invoice.pdf, https://panda-windows-and-doors.monday.com/protected_static/21046287/resources/2392093503/85710 Deposit Invoice CO 1.pdf</v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>
            <v>18392</v>
          </cell>
          <cell r="V484">
            <v>11672.73</v>
          </cell>
          <cell r="W484" t="str">
            <v>George Bails Nov 20, 2025 8:37 AM</v>
          </cell>
          <cell r="X484" t="str">
            <v>2025-05-22 00:00</v>
          </cell>
          <cell r="Y484">
            <v>45849</v>
          </cell>
          <cell r="Z484" t="str">
            <v/>
          </cell>
          <cell r="AA484">
            <v>45849</v>
          </cell>
          <cell r="AB484" t="str">
            <v>Jayme Truong Jul 11, 2025 3:35 PM</v>
          </cell>
          <cell r="AC484">
            <v>45849</v>
          </cell>
          <cell r="AD484">
            <v>45980</v>
          </cell>
          <cell r="AE484">
            <v>45978</v>
          </cell>
          <cell r="AF484">
            <v>45978</v>
          </cell>
          <cell r="AG484">
            <v>45980</v>
          </cell>
          <cell r="AH484" t="str">
            <v>Pacific GlassWorks Inc</v>
          </cell>
          <cell r="AI484">
            <v>45896</v>
          </cell>
        </row>
        <row r="485">
          <cell r="C485">
            <v>86170</v>
          </cell>
          <cell r="D485" t="str">
            <v/>
          </cell>
          <cell r="E485" t="str">
            <v/>
          </cell>
          <cell r="F485" t="str">
            <v>Final</v>
          </cell>
          <cell r="G485" t="str">
            <v>Final Collected</v>
          </cell>
          <cell r="H485" t="str">
            <v>No</v>
          </cell>
          <cell r="I485" t="str">
            <v>Sean Torre</v>
          </cell>
          <cell r="J485" t="str">
            <v/>
          </cell>
          <cell r="K485" t="str">
            <v>https://panda-windows-and-doors.monday.com/protected_static/21046287/resources/2255794868/Chen Residence - proposal signed.pdf</v>
          </cell>
          <cell r="L485" t="str">
            <v>https://panda-windows-and-doors.monday.com/protected_static/21046287/resources/2255794264/CamScanner _6-27-25 13.45_.pdf</v>
          </cell>
          <cell r="M485" t="str">
            <v/>
          </cell>
          <cell r="N485" t="str">
            <v>https://panda-windows-and-doors.monday.com/protected_static/21046287/resources/2259095605/86170 Deposit Invoice 1.pdf</v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>Completed - Closed Out</v>
          </cell>
          <cell r="T485" t="str">
            <v/>
          </cell>
          <cell r="U485">
            <v>6191</v>
          </cell>
          <cell r="V485">
            <v>6190.84</v>
          </cell>
          <cell r="W485" t="str">
            <v>George Bails Nov 20, 2025 2:24 PM</v>
          </cell>
          <cell r="X485" t="str">
            <v/>
          </cell>
          <cell r="Y485">
            <v>45835</v>
          </cell>
          <cell r="Z485" t="str">
            <v/>
          </cell>
          <cell r="AA485">
            <v>45835</v>
          </cell>
          <cell r="AB485" t="str">
            <v>Jayme Truong Jun 27, 2025 2:50 PM</v>
          </cell>
          <cell r="AC485">
            <v>45838</v>
          </cell>
          <cell r="AD485">
            <v>45839</v>
          </cell>
          <cell r="AE485">
            <v>45958</v>
          </cell>
          <cell r="AF485">
            <v>45958</v>
          </cell>
          <cell r="AG485">
            <v>45981</v>
          </cell>
          <cell r="AH485" t="str">
            <v>James David Custom Home</v>
          </cell>
          <cell r="AI485" t="str">
            <v/>
          </cell>
        </row>
        <row r="486">
          <cell r="C486">
            <v>84496</v>
          </cell>
          <cell r="D486">
            <v>45910</v>
          </cell>
          <cell r="E486" t="str">
            <v/>
          </cell>
          <cell r="F486" t="str">
            <v>Final</v>
          </cell>
          <cell r="G486" t="str">
            <v>Final Collected</v>
          </cell>
          <cell r="H486" t="str">
            <v>No</v>
          </cell>
          <cell r="I486" t="str">
            <v>Tyler Clark</v>
          </cell>
          <cell r="J486" t="str">
            <v/>
          </cell>
          <cell r="K486" t="str">
            <v>https://panda-windows-and-doors.monday.com/protected_static/21046287/resources/2339051130/Panda Sales Order - Approved as Noted - Signed.pdf</v>
          </cell>
          <cell r="L486" t="str">
            <v>https://panda-windows-and-doors.monday.com/protected_static/21046287/resources/2339051514/84496_2331 Jackson St. 2_Signed Backer_080725.pdf</v>
          </cell>
          <cell r="M486" t="str">
            <v/>
          </cell>
          <cell r="N486" t="str">
            <v>https://panda-windows-and-doors.monday.com/protected_static/21046287/resources/2339720322/84496 Deposit Invoice.pdf, https://panda-windows-and-doors.monday.com/protected_static/21046287/resources/2414718676/84496 Deposit Invoice CO 1.pdf</v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>Completed - Closed Out</v>
          </cell>
          <cell r="T486" t="str">
            <v/>
          </cell>
          <cell r="U486">
            <v>7039</v>
          </cell>
          <cell r="V486">
            <v>9393.26</v>
          </cell>
          <cell r="W486" t="str">
            <v>George Bails Nov 20, 2025 2:27 PM</v>
          </cell>
          <cell r="X486" t="str">
            <v/>
          </cell>
          <cell r="Y486">
            <v>45876</v>
          </cell>
          <cell r="Z486" t="str">
            <v/>
          </cell>
          <cell r="AA486">
            <v>45876</v>
          </cell>
          <cell r="AB486" t="str">
            <v>Jayme Truong Aug 7, 2025 1:39 PM</v>
          </cell>
          <cell r="AC486">
            <v>45876</v>
          </cell>
          <cell r="AD486">
            <v>45881</v>
          </cell>
          <cell r="AE486">
            <v>45980</v>
          </cell>
          <cell r="AF486">
            <v>45980</v>
          </cell>
          <cell r="AG486">
            <v>45981</v>
          </cell>
          <cell r="AH486" t="str">
            <v>John Leighton</v>
          </cell>
          <cell r="AI486">
            <v>45910</v>
          </cell>
        </row>
        <row r="487">
          <cell r="C487">
            <v>85640</v>
          </cell>
          <cell r="D487" t="str">
            <v/>
          </cell>
          <cell r="E487" t="str">
            <v/>
          </cell>
          <cell r="F487" t="str">
            <v>Final</v>
          </cell>
          <cell r="G487" t="str">
            <v>Final Collected</v>
          </cell>
          <cell r="H487" t="str">
            <v>No</v>
          </cell>
          <cell r="I487" t="str">
            <v>Sean Torre</v>
          </cell>
          <cell r="J487" t="str">
            <v/>
          </cell>
          <cell r="K487" t="str">
            <v>https://panda-windows-and-doors.monday.com/protected_static/21046287/resources/2352834993/2171 Bella VIsta Sales Order-2.pdf</v>
          </cell>
          <cell r="L487" t="str">
            <v>https://panda-windows-and-doors.monday.com/protected_static/21046287/resources/2352835199/85640_Signed Backer_081325.pdf</v>
          </cell>
          <cell r="M487" t="str">
            <v/>
          </cell>
          <cell r="N487" t="str">
            <v>https://panda-windows-and-doors.monday.com/protected_static/21046287/resources/2356739354/85640 Deposit Invoice.pdf</v>
          </cell>
          <cell r="O487" t="str">
            <v/>
          </cell>
          <cell r="P487" t="str">
            <v/>
          </cell>
          <cell r="Q487" t="str">
            <v/>
          </cell>
          <cell r="R487" t="str">
            <v>https://panda-windows-and-doors.monday.com/protected_static/21046287/resources/2289680111/Precision Glass Co  - Resale Certificate 9-29-2023 - CA.pdf, https://panda-windows-and-doors.monday.com/protected_static/21046287/resources/2289680112/Precision Glass CO PO BOX 549 effective 2-2-2023 - CA.pdf, https://panda-windows-and-doors.monday.com/protected_static/21046287/resources/2289680122/Precision Glass Co. - California resale Certificate Effective 2-28-19 - CA.pdf</v>
          </cell>
          <cell r="S487" t="str">
            <v>Completed - Closed Out</v>
          </cell>
          <cell r="T487" t="str">
            <v/>
          </cell>
          <cell r="U487">
            <v>13755</v>
          </cell>
          <cell r="V487">
            <v>13755</v>
          </cell>
          <cell r="W487" t="str">
            <v>George Bails Nov 21, 2025 9:15 AM</v>
          </cell>
          <cell r="X487" t="str">
            <v>2025-05-19 00:00</v>
          </cell>
          <cell r="Y487">
            <v>45883</v>
          </cell>
          <cell r="Z487" t="str">
            <v/>
          </cell>
          <cell r="AA487">
            <v>45883</v>
          </cell>
          <cell r="AB487" t="str">
            <v>Jayme Truong Aug 14, 2025 6:46 AM</v>
          </cell>
          <cell r="AC487">
            <v>45884</v>
          </cell>
          <cell r="AD487">
            <v>45896</v>
          </cell>
          <cell r="AE487">
            <v>45981</v>
          </cell>
          <cell r="AF487">
            <v>45981</v>
          </cell>
          <cell r="AG487">
            <v>45982</v>
          </cell>
          <cell r="AH487" t="str">
            <v>Precision Glass</v>
          </cell>
          <cell r="AI487" t="str">
            <v/>
          </cell>
        </row>
        <row r="488">
          <cell r="C488">
            <v>87214</v>
          </cell>
          <cell r="D488" t="str">
            <v/>
          </cell>
          <cell r="E488" t="str">
            <v/>
          </cell>
          <cell r="F488" t="str">
            <v>Final</v>
          </cell>
          <cell r="G488" t="str">
            <v>Final Collected</v>
          </cell>
          <cell r="H488" t="str">
            <v>No</v>
          </cell>
          <cell r="I488" t="str">
            <v>Troy Kite, Trevor Benthagen</v>
          </cell>
          <cell r="J488" t="str">
            <v/>
          </cell>
          <cell r="K488" t="str">
            <v>https://panda-windows-and-doors.monday.com/protected_static/21046287/resources/2425855273/smtp.office365.com_20250917_074333.pdf</v>
          </cell>
          <cell r="L488" t="str">
            <v>https://panda-windows-and-doors.monday.com/protected_static/21046287/resources/2425855430/smtp.office365.com_20250917_074346.pdf, https://panda-windows-and-doors.monday.com/protected_static/21046287/resources/2441572839/smtp.office365.com_20250924_132049.pdf</v>
          </cell>
          <cell r="M488" t="str">
            <v/>
          </cell>
          <cell r="N488" t="str">
            <v>https://panda-windows-and-doors.monday.com/protected_static/21046287/resources/2426260417/87214 Deposit Invoice.pdf</v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>Completed - Closed Out</v>
          </cell>
          <cell r="T488" t="str">
            <v/>
          </cell>
          <cell r="U488">
            <v>5378</v>
          </cell>
          <cell r="V488">
            <v>6210.52</v>
          </cell>
          <cell r="W488" t="str">
            <v>George Bails Nov 24, 2025 3:52 PM</v>
          </cell>
          <cell r="X488" t="str">
            <v>2025-08-27 09:40</v>
          </cell>
          <cell r="Y488">
            <v>45917</v>
          </cell>
          <cell r="Z488" t="str">
            <v/>
          </cell>
          <cell r="AA488">
            <v>45917</v>
          </cell>
          <cell r="AB488" t="str">
            <v>Jayme Truong Sep 17, 2025 10:42 AM</v>
          </cell>
          <cell r="AC488">
            <v>45917</v>
          </cell>
          <cell r="AD488">
            <v>45929</v>
          </cell>
          <cell r="AE488">
            <v>45981</v>
          </cell>
          <cell r="AF488">
            <v>45981</v>
          </cell>
          <cell r="AG488">
            <v>45982</v>
          </cell>
          <cell r="AH488" t="str">
            <v>Adam Lutz</v>
          </cell>
          <cell r="AI488" t="str">
            <v/>
          </cell>
        </row>
        <row r="489">
          <cell r="C489">
            <v>86929</v>
          </cell>
          <cell r="D489" t="str">
            <v/>
          </cell>
          <cell r="E489" t="str">
            <v/>
          </cell>
          <cell r="F489" t="str">
            <v>Final</v>
          </cell>
          <cell r="G489" t="str">
            <v>Final Collected</v>
          </cell>
          <cell r="H489" t="str">
            <v>No</v>
          </cell>
          <cell r="I489" t="str">
            <v>Sean Torre</v>
          </cell>
          <cell r="J489" t="str">
            <v/>
          </cell>
          <cell r="K489" t="str">
            <v>https://panda-windows-and-doors.monday.com/protected_static/21046287/resources/2394534763/Q#86929 Asia Residence - Signed.pdf</v>
          </cell>
          <cell r="L489" t="str">
            <v>https://panda-windows-and-doors.monday.com/protected_static/21046287/resources/2394534896/CamScanner 9-3-25 07.32 (1).pdf</v>
          </cell>
          <cell r="M489" t="str">
            <v/>
          </cell>
          <cell r="N489" t="str">
            <v>https://panda-windows-and-doors.monday.com/protected_static/21046287/resources/2397734929/86929 - Deposit Invoice.pdf</v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>Completed - Closed Out</v>
          </cell>
          <cell r="T489" t="str">
            <v/>
          </cell>
          <cell r="U489">
            <v>15180</v>
          </cell>
          <cell r="V489">
            <v>17950.36</v>
          </cell>
          <cell r="W489" t="str">
            <v>George Bails Nov 24, 2025 3:42 PM</v>
          </cell>
          <cell r="X489" t="str">
            <v>2025-07-30 00:23</v>
          </cell>
          <cell r="Y489">
            <v>45903</v>
          </cell>
          <cell r="Z489" t="str">
            <v/>
          </cell>
          <cell r="AA489">
            <v>45903</v>
          </cell>
          <cell r="AB489" t="str">
            <v>Jayme Truong Sep 3, 2025 8:51 AM</v>
          </cell>
          <cell r="AC489">
            <v>45904</v>
          </cell>
          <cell r="AD489">
            <v>45904</v>
          </cell>
          <cell r="AE489">
            <v>45971</v>
          </cell>
          <cell r="AF489">
            <v>45971</v>
          </cell>
          <cell r="AG489">
            <v>45985</v>
          </cell>
          <cell r="AH489" t="str">
            <v>Lily Asia</v>
          </cell>
          <cell r="AI489" t="str">
            <v/>
          </cell>
        </row>
        <row r="490">
          <cell r="C490">
            <v>86937</v>
          </cell>
          <cell r="D490" t="str">
            <v/>
          </cell>
          <cell r="E490" t="str">
            <v/>
          </cell>
          <cell r="F490" t="str">
            <v>Final</v>
          </cell>
          <cell r="G490" t="str">
            <v>Final Collected</v>
          </cell>
          <cell r="H490" t="str">
            <v>No</v>
          </cell>
          <cell r="I490" t="str">
            <v>Sean Torre</v>
          </cell>
          <cell r="J490" t="str">
            <v/>
          </cell>
          <cell r="K490" t="str">
            <v>https://panda-windows-and-doors.monday.com/protected_static/21046287/resources/2414256407/QQ#86937 Schoepe Slider 08182025_signed.pdf</v>
          </cell>
          <cell r="L490" t="str">
            <v>https://panda-windows-and-doors.monday.com/protected_static/21046287/resources/2414256497/CamScanner 9-11-25 07.09.pdf</v>
          </cell>
          <cell r="M490" t="str">
            <v/>
          </cell>
          <cell r="N490" t="str">
            <v>https://panda-windows-and-doors.monday.com/protected_static/21046287/resources/2414318978/86937 Deposit Invoice.pdf</v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>Completed - Closed Out</v>
          </cell>
          <cell r="T490" t="str">
            <v/>
          </cell>
          <cell r="U490">
            <v>3751.5</v>
          </cell>
          <cell r="V490">
            <v>4379.88</v>
          </cell>
          <cell r="W490" t="str">
            <v>George Bails Nov 25, 2025 3:50 PM</v>
          </cell>
          <cell r="X490" t="str">
            <v>2025-08-14 19:58</v>
          </cell>
          <cell r="Y490">
            <v>45911</v>
          </cell>
          <cell r="Z490" t="str">
            <v/>
          </cell>
          <cell r="AA490">
            <v>45911</v>
          </cell>
          <cell r="AB490" t="str">
            <v>Jayme Truong Sep 11, 2025 8:40 AM</v>
          </cell>
          <cell r="AC490">
            <v>45911</v>
          </cell>
          <cell r="AD490">
            <v>45915</v>
          </cell>
          <cell r="AE490" t="str">
            <v/>
          </cell>
          <cell r="AF490">
            <v>45985</v>
          </cell>
          <cell r="AG490">
            <v>45985</v>
          </cell>
          <cell r="AH490" t="str">
            <v>Sebastian Schoepe</v>
          </cell>
          <cell r="AI490" t="str">
            <v/>
          </cell>
        </row>
        <row r="491">
          <cell r="C491">
            <v>85301</v>
          </cell>
          <cell r="D491" t="str">
            <v/>
          </cell>
          <cell r="E491" t="str">
            <v/>
          </cell>
          <cell r="F491" t="str">
            <v>Final</v>
          </cell>
          <cell r="G491" t="str">
            <v>Final Collected</v>
          </cell>
          <cell r="H491" t="str">
            <v>No</v>
          </cell>
          <cell r="I491" t="str">
            <v>Spencer Anderson</v>
          </cell>
          <cell r="J491" t="str">
            <v/>
          </cell>
          <cell r="K491" t="str">
            <v>https://panda-windows-and-doors.monday.com/protected_static/21046287/resources/2344838400/BP Signed QQ #85301 - Waterline Tower Floor 72 - 08082025.pdf</v>
          </cell>
          <cell r="L491" t="str">
            <v>https://panda-windows-and-doors.monday.com/protected_static/21046287/resources/2344838765/46 Spencer.pdf</v>
          </cell>
          <cell r="M491" t="str">
            <v/>
          </cell>
          <cell r="N491" t="str">
            <v>https://panda-windows-and-doors.monday.com/protected_static/21046287/resources/2347794284/85301 Deposit Invoice.pdf</v>
          </cell>
          <cell r="O491" t="str">
            <v/>
          </cell>
          <cell r="P491" t="str">
            <v/>
          </cell>
          <cell r="Q491" t="str">
            <v/>
          </cell>
          <cell r="R491" t="str">
            <v>https://panda-windows-and-doors.monday.com/protected_static/21046287/resources/2289664617/Polk Architectural - Sales &amp; Use Tax Permit  12-3-2019 - TX.pdf</v>
          </cell>
          <cell r="S491" t="str">
            <v>Completed - Closed Out</v>
          </cell>
          <cell r="T491" t="str">
            <v/>
          </cell>
          <cell r="U491">
            <v>28910.5</v>
          </cell>
          <cell r="V491">
            <v>28910.5</v>
          </cell>
          <cell r="W491" t="str">
            <v>George Bails Nov 25, 2025 4:25 PM</v>
          </cell>
          <cell r="X491" t="str">
            <v/>
          </cell>
          <cell r="Y491">
            <v>45880</v>
          </cell>
          <cell r="Z491" t="str">
            <v/>
          </cell>
          <cell r="AA491">
            <v>45880</v>
          </cell>
          <cell r="AB491" t="str">
            <v>Annalene Conde Aug 11, 2025 9:06 AM</v>
          </cell>
          <cell r="AC491">
            <v>45881</v>
          </cell>
          <cell r="AD491">
            <v>45888</v>
          </cell>
          <cell r="AE491">
            <v>45982</v>
          </cell>
          <cell r="AF491">
            <v>45982</v>
          </cell>
          <cell r="AG491">
            <v>45986</v>
          </cell>
          <cell r="AH491" t="str">
            <v>Bill Polkinghorn</v>
          </cell>
          <cell r="AI491" t="str">
            <v/>
          </cell>
        </row>
        <row r="492">
          <cell r="C492">
            <v>86640</v>
          </cell>
          <cell r="D492" t="str">
            <v/>
          </cell>
          <cell r="E492" t="str">
            <v/>
          </cell>
          <cell r="F492" t="str">
            <v>Final</v>
          </cell>
          <cell r="G492" t="str">
            <v>Final Collected</v>
          </cell>
          <cell r="H492" t="str">
            <v>No</v>
          </cell>
          <cell r="I492" t="str">
            <v>Tyler Clark</v>
          </cell>
          <cell r="J492" t="str">
            <v/>
          </cell>
          <cell r="K492" t="str">
            <v>https://panda-windows-and-doors.monday.com/protected_static/21046287/resources/2339372689/QQ#86640 Marino Hinge Door 7-25-2025.pdf</v>
          </cell>
          <cell r="L492" t="str">
            <v>https://panda-windows-and-doors.monday.com/protected_static/21046287/resources/2339372869/86640_Marino Hinge Door_Signed Backer_080725.pdf</v>
          </cell>
          <cell r="M492" t="str">
            <v/>
          </cell>
          <cell r="N492" t="str">
            <v>https://panda-windows-and-doors.monday.com/protected_static/21046287/resources/2339746567/86640 Deposit Invoice.pdf</v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>Completed - Closed Out</v>
          </cell>
          <cell r="T492" t="str">
            <v/>
          </cell>
          <cell r="U492">
            <v>5588</v>
          </cell>
          <cell r="V492">
            <v>5737</v>
          </cell>
          <cell r="W492" t="str">
            <v>George Bails Nov 25, 2025 3:45 PM</v>
          </cell>
          <cell r="X492" t="str">
            <v>2025-07-25 00:00</v>
          </cell>
          <cell r="Y492">
            <v>45876</v>
          </cell>
          <cell r="Z492" t="str">
            <v/>
          </cell>
          <cell r="AA492">
            <v>45876</v>
          </cell>
          <cell r="AB492" t="str">
            <v>Jayme Truong Aug 7, 2025 1:34 PM</v>
          </cell>
          <cell r="AC492">
            <v>45876</v>
          </cell>
          <cell r="AD492">
            <v>45887</v>
          </cell>
          <cell r="AE492">
            <v>45979</v>
          </cell>
          <cell r="AF492">
            <v>45979</v>
          </cell>
          <cell r="AG492">
            <v>45986</v>
          </cell>
          <cell r="AH492" t="str">
            <v>J Shuman Door Installation</v>
          </cell>
          <cell r="AI492" t="str">
            <v/>
          </cell>
        </row>
        <row r="493">
          <cell r="C493">
            <v>87273</v>
          </cell>
          <cell r="D493" t="str">
            <v/>
          </cell>
          <cell r="E493" t="str">
            <v/>
          </cell>
          <cell r="F493" t="str">
            <v>Final</v>
          </cell>
          <cell r="G493" t="str">
            <v>Final Collected</v>
          </cell>
          <cell r="H493" t="str">
            <v>No</v>
          </cell>
          <cell r="I493" t="str">
            <v>Spencer Anderson</v>
          </cell>
          <cell r="J493" t="str">
            <v/>
          </cell>
          <cell r="K493" t="str">
            <v>https://panda-windows-and-doors.monday.com/protected_static/21046287/resources/2437318843/Signed Sales Order.pdf</v>
          </cell>
          <cell r="L493" t="str">
            <v>https://panda-windows-and-doors.monday.com/protected_static/21046287/resources/2437317968/Signed Backer.pdf</v>
          </cell>
          <cell r="M493" t="str">
            <v/>
          </cell>
          <cell r="N493" t="str">
            <v>https://panda-windows-and-doors.monday.com/protected_static/21046287/resources/2437900067/87273 Deposit Invoice.pdf</v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>Completed - Closed Out</v>
          </cell>
          <cell r="T493" t="str">
            <v/>
          </cell>
          <cell r="U493">
            <v>11032.56</v>
          </cell>
          <cell r="V493">
            <v>11254.44</v>
          </cell>
          <cell r="W493" t="str">
            <v>Annalene Conde Nov 26, 2025 7:50 AM</v>
          </cell>
          <cell r="X493" t="str">
            <v/>
          </cell>
          <cell r="Y493">
            <v>45923</v>
          </cell>
          <cell r="Z493" t="str">
            <v/>
          </cell>
          <cell r="AA493">
            <v>45923</v>
          </cell>
          <cell r="AB493" t="str">
            <v>Annalene Conde Sep 23, 2025 8:13 AM</v>
          </cell>
          <cell r="AC493">
            <v>45923</v>
          </cell>
          <cell r="AD493">
            <v>45929</v>
          </cell>
          <cell r="AE493">
            <v>45982</v>
          </cell>
          <cell r="AF493">
            <v>45982</v>
          </cell>
          <cell r="AG493">
            <v>45987</v>
          </cell>
          <cell r="AH493" t="str">
            <v>Ted Rice</v>
          </cell>
          <cell r="AI493" t="str">
            <v/>
          </cell>
        </row>
        <row r="494">
          <cell r="C494">
            <v>80950</v>
          </cell>
          <cell r="D494" t="str">
            <v/>
          </cell>
          <cell r="E494" t="str">
            <v/>
          </cell>
          <cell r="F494" t="str">
            <v>Final</v>
          </cell>
          <cell r="G494" t="str">
            <v>Final Collected</v>
          </cell>
          <cell r="H494" t="str">
            <v>No</v>
          </cell>
          <cell r="I494" t="str">
            <v>Stefan Monetta</v>
          </cell>
          <cell r="J494" t="str">
            <v/>
          </cell>
          <cell r="K494" t="str">
            <v>https://panda-windows-and-doors.monday.com/protected_static/21046287/resources/2135828124/QQ #80950 FalconCrest Pivot Door 041125- Signed Order.pdf</v>
          </cell>
          <cell r="L494" t="str">
            <v>https://panda-windows-and-doors.monday.com/protected_static/21046287/resources/2138675859/Image - 2025-05-13T141811.851.jpg</v>
          </cell>
          <cell r="M494" t="str">
            <v/>
          </cell>
          <cell r="N494" t="str">
            <v>https://panda-windows-and-doors.monday.com/protected_static/21046287/resources/2168908190/80950 Deposit Invoice.pdf</v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>Completed - Closed Out</v>
          </cell>
          <cell r="T494" t="str">
            <v/>
          </cell>
          <cell r="U494">
            <v>21210</v>
          </cell>
          <cell r="V494">
            <v>21210</v>
          </cell>
          <cell r="W494" t="str">
            <v>Annalene Conde Dec 1, 2025 7:34 AM</v>
          </cell>
          <cell r="X494" t="str">
            <v>2025-05-12 00:00</v>
          </cell>
          <cell r="Y494">
            <v>45790</v>
          </cell>
          <cell r="Z494" t="str">
            <v/>
          </cell>
          <cell r="AA494">
            <v>45790</v>
          </cell>
          <cell r="AB494" t="str">
            <v>Jayme Truong May 13, 2025 3:14 PM</v>
          </cell>
          <cell r="AC494">
            <v>45791</v>
          </cell>
          <cell r="AD494">
            <v>45805</v>
          </cell>
          <cell r="AE494">
            <v>45979</v>
          </cell>
          <cell r="AF494">
            <v>45979</v>
          </cell>
          <cell r="AG494">
            <v>45992</v>
          </cell>
          <cell r="AH494" t="str">
            <v>Mansion Windows &amp; Doors</v>
          </cell>
          <cell r="AI494" t="str">
            <v/>
          </cell>
        </row>
        <row r="495">
          <cell r="C495">
            <v>86658</v>
          </cell>
          <cell r="D495" t="str">
            <v/>
          </cell>
          <cell r="E495" t="str">
            <v/>
          </cell>
          <cell r="F495" t="str">
            <v>Final</v>
          </cell>
          <cell r="G495" t="str">
            <v>Final Collected</v>
          </cell>
          <cell r="H495" t="str">
            <v>No</v>
          </cell>
          <cell r="I495" t="str">
            <v>Spencer Anderson</v>
          </cell>
          <cell r="J495" t="str">
            <v/>
          </cell>
          <cell r="K495" t="str">
            <v>https://panda-windows-and-doors.monday.com/protected_static/21046287/resources/2429349670/Signed Order #CM 86658.pdf</v>
          </cell>
          <cell r="L495" t="str">
            <v>https://panda-windows-and-doors.monday.com/protected_static/21046287/resources/2429350006/Signed Backer.pdf</v>
          </cell>
          <cell r="M495" t="str">
            <v/>
          </cell>
          <cell r="N495" t="str">
            <v>https://panda-windows-and-doors.monday.com/protected_static/21046287/resources/2437771301/86658 Deposit Invoice.pdf</v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>Completed - Closed Out</v>
          </cell>
          <cell r="T495" t="str">
            <v/>
          </cell>
          <cell r="U495">
            <v>20505.87</v>
          </cell>
          <cell r="V495">
            <v>20919.13</v>
          </cell>
          <cell r="W495" t="str">
            <v>Annalene Conde Dec 1, 2025 7:44 AM</v>
          </cell>
          <cell r="X495" t="str">
            <v/>
          </cell>
          <cell r="Y495">
            <v>45918</v>
          </cell>
          <cell r="Z495" t="str">
            <v/>
          </cell>
          <cell r="AA495">
            <v>45918</v>
          </cell>
          <cell r="AB495" t="str">
            <v>Annalene Conde Sep 18, 2025 10:33 AM</v>
          </cell>
          <cell r="AC495">
            <v>45923</v>
          </cell>
          <cell r="AD495">
            <v>45929</v>
          </cell>
          <cell r="AE495">
            <v>45982</v>
          </cell>
          <cell r="AF495">
            <v>45982</v>
          </cell>
          <cell r="AG495">
            <v>45992</v>
          </cell>
          <cell r="AH495" t="str">
            <v>Nalin Maxfield</v>
          </cell>
          <cell r="AI495" t="str">
            <v/>
          </cell>
        </row>
        <row r="496">
          <cell r="C496">
            <v>83425</v>
          </cell>
          <cell r="D496">
            <v>45938</v>
          </cell>
          <cell r="E496" t="str">
            <v/>
          </cell>
          <cell r="F496" t="str">
            <v>Final</v>
          </cell>
          <cell r="G496" t="str">
            <v>Final Collected</v>
          </cell>
          <cell r="H496" t="str">
            <v>No</v>
          </cell>
          <cell r="I496" t="str">
            <v>Derrick McCall</v>
          </cell>
          <cell r="J496" t="str">
            <v/>
          </cell>
          <cell r="K496" t="str">
            <v>https://panda-windows-and-doors.monday.com/protected_static/21046287/resources/2111556659/Q83425 SO.pdf</v>
          </cell>
          <cell r="L496" t="str">
            <v>https://panda-windows-and-doors.monday.com/protected_static/21046287/resources/2083398786/smtp.office365.com_20250408_051726.pdf</v>
          </cell>
          <cell r="M496" t="str">
            <v/>
          </cell>
          <cell r="N496" t="str">
            <v>https://panda-windows-and-doors.monday.com/protected_static/21046287/resources/2069421795/83425 Deposit Invoice.pdf, https://panda-windows-and-doors.monday.com/protected_static/21046287/resources/2473066950/83425 Deposit Invoice CO 1.pdf</v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>Completed - Closed Out</v>
          </cell>
          <cell r="T496" t="str">
            <v/>
          </cell>
          <cell r="U496">
            <v>50370</v>
          </cell>
          <cell r="V496">
            <v>51046</v>
          </cell>
          <cell r="W496" t="str">
            <v>George Bails Dec 15, 2025 8:01 AM</v>
          </cell>
          <cell r="X496" t="str">
            <v>2025-01-16 00:00</v>
          </cell>
          <cell r="Y496">
            <v>45755</v>
          </cell>
          <cell r="Z496" t="str">
            <v/>
          </cell>
          <cell r="AA496">
            <v>45755</v>
          </cell>
          <cell r="AB496" t="str">
            <v>Jayme Truong Apr 8, 2025 8:37 AM</v>
          </cell>
          <cell r="AC496">
            <v>45755</v>
          </cell>
          <cell r="AD496">
            <v>45761</v>
          </cell>
          <cell r="AE496">
            <v>45980</v>
          </cell>
          <cell r="AF496">
            <v>45980</v>
          </cell>
          <cell r="AG496">
            <v>45992</v>
          </cell>
          <cell r="AH496" t="str">
            <v>AGA</v>
          </cell>
          <cell r="AI496">
            <v>45938</v>
          </cell>
        </row>
        <row r="497">
          <cell r="C497">
            <v>83448</v>
          </cell>
          <cell r="D497" t="str">
            <v/>
          </cell>
          <cell r="E497" t="str">
            <v/>
          </cell>
          <cell r="F497" t="str">
            <v>Final</v>
          </cell>
          <cell r="G497" t="str">
            <v>Final Collected</v>
          </cell>
          <cell r="H497" t="str">
            <v>No</v>
          </cell>
          <cell r="I497" t="str">
            <v>Derrick McCall</v>
          </cell>
          <cell r="J497" t="str">
            <v>Elizabet Lopez</v>
          </cell>
          <cell r="K497" t="str">
            <v>https://panda-windows-and-doors.monday.com/protected_static/21046287/resources/2222519130/Q83448_UTS60_HTS60_R6.pdf</v>
          </cell>
          <cell r="L497" t="str">
            <v>https://panda-windows-and-doors.monday.com/protected_static/21046287/resources/2083314869/smtp.office365.com_20250219_075323.pdf</v>
          </cell>
          <cell r="M497" t="str">
            <v/>
          </cell>
          <cell r="N497" t="str">
            <v>https://panda-windows-and-doors.monday.com/protected_static/21046287/resources/1977886729/83448 Deposit Invoice.pdf</v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>Completed - Closed Out</v>
          </cell>
          <cell r="T497" t="str">
            <v/>
          </cell>
          <cell r="U497">
            <v>211965</v>
          </cell>
          <cell r="V497">
            <v>211965</v>
          </cell>
          <cell r="W497" t="str">
            <v>George Bails Dec 15, 2025 8:03 AM</v>
          </cell>
          <cell r="X497" t="str">
            <v>2025-01-17 00:00</v>
          </cell>
          <cell r="Y497">
            <v>45707</v>
          </cell>
          <cell r="Z497" t="str">
            <v/>
          </cell>
          <cell r="AA497">
            <v>45707</v>
          </cell>
          <cell r="AB497" t="str">
            <v>Jayme Truong Feb 19, 2025 10:17 AM</v>
          </cell>
          <cell r="AC497">
            <v>45707</v>
          </cell>
          <cell r="AD497">
            <v>45797</v>
          </cell>
          <cell r="AE497">
            <v>45980</v>
          </cell>
          <cell r="AF497">
            <v>45980</v>
          </cell>
          <cell r="AG497">
            <v>45992</v>
          </cell>
          <cell r="AH497" t="str">
            <v>AGA</v>
          </cell>
          <cell r="AI497" t="str">
            <v/>
          </cell>
        </row>
        <row r="498">
          <cell r="C498">
            <v>84036</v>
          </cell>
          <cell r="D498" t="str">
            <v/>
          </cell>
          <cell r="E498" t="str">
            <v/>
          </cell>
          <cell r="F498" t="str">
            <v>Final</v>
          </cell>
          <cell r="G498" t="str">
            <v>Final Collected</v>
          </cell>
          <cell r="H498" t="str">
            <v>No</v>
          </cell>
          <cell r="I498" t="str">
            <v>Derrick McCall</v>
          </cell>
          <cell r="J498" t="str">
            <v/>
          </cell>
          <cell r="K498" t="str">
            <v>https://panda-windows-and-doors.monday.com/protected_static/21046287/resources/2029612410/Q84036.pdf</v>
          </cell>
          <cell r="L498" t="str">
            <v>https://panda-windows-and-doors.monday.com/protected_static/21046287/resources/2083343852/Stewart Residence 3 - 031925.xlsx, https://panda-windows-and-doors.monday.com/protected_static/21046287/resources/2083343848/Q84036 SB.pdf</v>
          </cell>
          <cell r="M498" t="str">
            <v/>
          </cell>
          <cell r="N498" t="str">
            <v>https://panda-windows-and-doors.monday.com/protected_static/21046287/resources/2035028990/84036 Deposit Invoice.pdf</v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>Completed - Closed Out</v>
          </cell>
          <cell r="T498" t="str">
            <v/>
          </cell>
          <cell r="U498">
            <v>187803</v>
          </cell>
          <cell r="V498">
            <v>203802</v>
          </cell>
          <cell r="W498" t="str">
            <v>George Bails Dec 15, 2025 7:52 AM</v>
          </cell>
          <cell r="X498" t="str">
            <v>2025-03-20 15:52</v>
          </cell>
          <cell r="Y498">
            <v>45736</v>
          </cell>
          <cell r="Z498" t="str">
            <v/>
          </cell>
          <cell r="AA498">
            <v>45736</v>
          </cell>
          <cell r="AB498" t="str">
            <v>Jayme Truong Mar 20, 2025 5:06 PM</v>
          </cell>
          <cell r="AC498">
            <v>45737</v>
          </cell>
          <cell r="AD498">
            <v>45743</v>
          </cell>
          <cell r="AE498">
            <v>45981</v>
          </cell>
          <cell r="AF498">
            <v>45981</v>
          </cell>
          <cell r="AG498">
            <v>45992</v>
          </cell>
          <cell r="AH498" t="str">
            <v>Isaac</v>
          </cell>
          <cell r="AI498" t="str">
            <v/>
          </cell>
        </row>
        <row r="499">
          <cell r="C499">
            <v>86486</v>
          </cell>
          <cell r="D499" t="str">
            <v/>
          </cell>
          <cell r="E499" t="str">
            <v/>
          </cell>
          <cell r="F499" t="str">
            <v>Final</v>
          </cell>
          <cell r="G499" t="str">
            <v>Final Collected</v>
          </cell>
          <cell r="H499" t="str">
            <v>No</v>
          </cell>
          <cell r="I499" t="str">
            <v>Derrick McCall</v>
          </cell>
          <cell r="J499" t="str">
            <v/>
          </cell>
          <cell r="K499" t="str">
            <v>https://panda-windows-and-doors.monday.com/protected_static/21046287/resources/2300427781/IKirkpatrick Const, Panda Signed Sales Order #86486.pdf</v>
          </cell>
          <cell r="L499" t="str">
            <v>https://panda-windows-and-doors.monday.com/protected_static/21046287/resources/2300428270/Q86486 AB.pdf</v>
          </cell>
          <cell r="M499" t="str">
            <v/>
          </cell>
          <cell r="N499" t="str">
            <v>https://panda-windows-and-doors.monday.com/protected_static/21046287/resources/2301762152/86486 Deposit Invoice.pdf</v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>Completed - Closed Out</v>
          </cell>
          <cell r="T499" t="str">
            <v/>
          </cell>
          <cell r="U499">
            <v>32623</v>
          </cell>
          <cell r="V499">
            <v>48622</v>
          </cell>
          <cell r="W499" t="str">
            <v>George Bails Dec 15, 2025 7:50 AM</v>
          </cell>
          <cell r="X499" t="str">
            <v>2025-07-15 00:00</v>
          </cell>
          <cell r="Y499">
            <v>45859</v>
          </cell>
          <cell r="Z499" t="str">
            <v/>
          </cell>
          <cell r="AA499">
            <v>45859</v>
          </cell>
          <cell r="AB499" t="str">
            <v>Jayme Truong Jul 21, 2025 9:37 AM</v>
          </cell>
          <cell r="AC499">
            <v>45859</v>
          </cell>
          <cell r="AD499">
            <v>45869</v>
          </cell>
          <cell r="AE499">
            <v>45981</v>
          </cell>
          <cell r="AF499">
            <v>45981</v>
          </cell>
          <cell r="AG499">
            <v>45992</v>
          </cell>
          <cell r="AH499" t="str">
            <v>iKirkpatrick Construction</v>
          </cell>
          <cell r="AI499" t="str">
            <v/>
          </cell>
        </row>
        <row r="500">
          <cell r="C500">
            <v>84713</v>
          </cell>
          <cell r="D500">
            <v>45882</v>
          </cell>
          <cell r="E500" t="str">
            <v/>
          </cell>
          <cell r="F500" t="str">
            <v>Final</v>
          </cell>
          <cell r="G500" t="str">
            <v>Final Collected</v>
          </cell>
          <cell r="H500" t="str">
            <v>No</v>
          </cell>
          <cell r="I500" t="str">
            <v>Derrick McCall</v>
          </cell>
          <cell r="J500" t="str">
            <v/>
          </cell>
          <cell r="K500" t="str">
            <v>https://panda-windows-and-doors.monday.com/protected_static/21046287/resources/2095638506/QQ#84713 Pacifica 04022025.pdf</v>
          </cell>
          <cell r="L500" t="str">
            <v>https://panda-windows-and-doors.monday.com/protected_static/21046287/resources/2095638225/smtp.office365.com_20250422_114247.pdf</v>
          </cell>
          <cell r="M500" t="str">
            <v/>
          </cell>
          <cell r="N500" t="str">
            <v>https://panda-windows-and-doors.monday.com/protected_static/21046287/resources/2095910861/84713 Deposit Invoice.pdf, https://panda-windows-and-doors.monday.com/protected_static/21046287/resources/2351009978/84713 Deposit Invoice CO 1.pdf</v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>
            <v>27146</v>
          </cell>
          <cell r="V500">
            <v>6984.71</v>
          </cell>
          <cell r="W500" t="str">
            <v>George Bails Dec 15, 2025 7:58 AM</v>
          </cell>
          <cell r="X500" t="str">
            <v>2025-04-01 00:00</v>
          </cell>
          <cell r="Y500">
            <v>45769</v>
          </cell>
          <cell r="Z500" t="str">
            <v/>
          </cell>
          <cell r="AA500">
            <v>45769</v>
          </cell>
          <cell r="AB500" t="str">
            <v>Jayme Truong Apr 22, 2025 2:18 PM</v>
          </cell>
          <cell r="AC500">
            <v>45769</v>
          </cell>
          <cell r="AD500">
            <v>45798</v>
          </cell>
          <cell r="AE500">
            <v>45979</v>
          </cell>
          <cell r="AF500">
            <v>45979</v>
          </cell>
          <cell r="AG500">
            <v>45992</v>
          </cell>
          <cell r="AH500" t="str">
            <v>Pacific Glass Works</v>
          </cell>
          <cell r="AI500">
            <v>45882</v>
          </cell>
        </row>
        <row r="501">
          <cell r="C501">
            <v>86133</v>
          </cell>
          <cell r="D501" t="str">
            <v/>
          </cell>
          <cell r="E501" t="str">
            <v/>
          </cell>
          <cell r="F501" t="str">
            <v>Final</v>
          </cell>
          <cell r="G501" t="str">
            <v>Final Collected</v>
          </cell>
          <cell r="H501" t="str">
            <v>No</v>
          </cell>
          <cell r="I501" t="str">
            <v>Spencer Anderson</v>
          </cell>
          <cell r="J501" t="str">
            <v/>
          </cell>
          <cell r="K501" t="str">
            <v>https://panda-windows-and-doors.monday.com/protected_static/21046287/resources/2473085849/Panda Bifold Window.pdf</v>
          </cell>
          <cell r="L501" t="str">
            <v>https://panda-windows-and-doors.monday.com/protected_static/21046287/resources/2473132838/smtp.office365.com_20251008_114639.pdf</v>
          </cell>
          <cell r="M501" t="str">
            <v/>
          </cell>
          <cell r="N501" t="str">
            <v>https://panda-windows-and-doors.monday.com/protected_static/21046287/resources/2475917564/86133 Deposit Invoice.pdf</v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>Completed - Closed Out</v>
          </cell>
          <cell r="T501" t="str">
            <v/>
          </cell>
          <cell r="U501">
            <v>3031.38</v>
          </cell>
          <cell r="V501">
            <v>3696.62</v>
          </cell>
          <cell r="W501" t="str">
            <v>Annalene Conde Dec 2, 2025 9:44 AM</v>
          </cell>
          <cell r="X501" t="str">
            <v/>
          </cell>
          <cell r="Y501">
            <v>45938</v>
          </cell>
          <cell r="Z501" t="str">
            <v/>
          </cell>
          <cell r="AA501">
            <v>45939</v>
          </cell>
          <cell r="AB501" t="str">
            <v>Annalene Conde Oct 8, 2025 2:18 PM</v>
          </cell>
          <cell r="AC501">
            <v>45939</v>
          </cell>
          <cell r="AD501">
            <v>45946</v>
          </cell>
          <cell r="AE501">
            <v>45986</v>
          </cell>
          <cell r="AF501">
            <v>45986</v>
          </cell>
          <cell r="AG501">
            <v>45993</v>
          </cell>
          <cell r="AH501" t="str">
            <v>Aaron Wonder</v>
          </cell>
          <cell r="AI501" t="str">
            <v/>
          </cell>
        </row>
        <row r="502">
          <cell r="C502">
            <v>86994</v>
          </cell>
          <cell r="D502" t="str">
            <v/>
          </cell>
          <cell r="E502" t="str">
            <v/>
          </cell>
          <cell r="F502" t="str">
            <v>Final</v>
          </cell>
          <cell r="G502" t="str">
            <v>Final Collected</v>
          </cell>
          <cell r="H502" t="str">
            <v>No</v>
          </cell>
          <cell r="I502" t="str">
            <v>Trevor Benthagen, Efrain Zarate</v>
          </cell>
          <cell r="J502" t="str">
            <v/>
          </cell>
          <cell r="K502" t="str">
            <v>https://panda-windows-and-doors.monday.com/protected_static/21046287/resources/2432432001/Signed Sales Order_2025-09-19_145231.pdf</v>
          </cell>
          <cell r="L502" t="str">
            <v>https://panda-windows-and-doors.monday.com/protected_static/21046287/resources/2434789171/smtp.office365.com_20250922_063032.pdf</v>
          </cell>
          <cell r="M502" t="str">
            <v/>
          </cell>
          <cell r="N502" t="str">
            <v>https://panda-windows-and-doors.monday.com/protected_static/21046287/resources/2435383911/86994 Deposit Invoice.pdf</v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>Completed - Closed Out</v>
          </cell>
          <cell r="T502" t="str">
            <v/>
          </cell>
          <cell r="U502">
            <v>5798</v>
          </cell>
          <cell r="V502">
            <v>6768.08</v>
          </cell>
          <cell r="W502" t="str">
            <v>Annalene Conde Dec 2, 2025 10:56 AM</v>
          </cell>
          <cell r="X502" t="str">
            <v>2025-09-19 00:00</v>
          </cell>
          <cell r="Y502">
            <v>45919</v>
          </cell>
          <cell r="Z502" t="str">
            <v>Yes</v>
          </cell>
          <cell r="AA502">
            <v>45919</v>
          </cell>
          <cell r="AB502" t="str">
            <v>Jayme Truong Sep 19, 2025 4:35 PM</v>
          </cell>
          <cell r="AC502">
            <v>45922</v>
          </cell>
          <cell r="AD502">
            <v>45922</v>
          </cell>
          <cell r="AE502">
            <v>45972</v>
          </cell>
          <cell r="AF502">
            <v>45972</v>
          </cell>
          <cell r="AG502">
            <v>45993</v>
          </cell>
          <cell r="AH502" t="str">
            <v>Scott Carey</v>
          </cell>
          <cell r="AI502" t="str">
            <v/>
          </cell>
        </row>
        <row r="503">
          <cell r="C503">
            <v>84826</v>
          </cell>
          <cell r="D503">
            <v>45915</v>
          </cell>
          <cell r="E503" t="str">
            <v/>
          </cell>
          <cell r="F503" t="str">
            <v>Final</v>
          </cell>
          <cell r="G503" t="str">
            <v>Final Collected</v>
          </cell>
          <cell r="H503" t="str">
            <v>No</v>
          </cell>
          <cell r="I503" t="str">
            <v>Sean Torre</v>
          </cell>
          <cell r="J503" t="str">
            <v/>
          </cell>
          <cell r="K503" t="str">
            <v>https://panda-windows-and-doors.monday.com/protected_static/21046287/resources/2322180147/Signed Sales Order 073025.pdf</v>
          </cell>
          <cell r="L503" t="str">
            <v>https://panda-windows-and-doors.monday.com/protected_static/21046287/resources/2322199776/84826_Signed Backer_073025.pdf</v>
          </cell>
          <cell r="M503" t="str">
            <v/>
          </cell>
          <cell r="N503" t="str">
            <v>https://panda-windows-and-doors.monday.com/protected_static/21046287/resources/2423299784/84826 Deposit Invoice.pdf, https://panda-windows-and-doors.monday.com/protected_static/21046287/resources/2425473451/84826 DEPOSIT INVOICE CO 1.pdf</v>
          </cell>
          <cell r="O503" t="str">
            <v/>
          </cell>
          <cell r="P503" t="str">
            <v/>
          </cell>
          <cell r="Q503" t="str">
            <v/>
          </cell>
          <cell r="R503" t="str">
            <v>https://panda-windows-and-doors.monday.com/protected_static/21046287/resources/2287034539/Builders Directly Supply Effective 2-2-2023 - CA.pdf, https://panda-windows-and-doors.monday.com/protected_static/21046287/resources/2287034538/Builders Direct Supply Inc - Resale Permit - CA.pdf</v>
          </cell>
          <cell r="S503" t="str">
            <v/>
          </cell>
          <cell r="T503" t="str">
            <v/>
          </cell>
          <cell r="U503">
            <v>87261</v>
          </cell>
          <cell r="V503">
            <v>93204</v>
          </cell>
          <cell r="W503" t="str">
            <v>George Bails Dec 3, 2025 10:13 AM</v>
          </cell>
          <cell r="X503" t="str">
            <v>2025-04-04 00:00</v>
          </cell>
          <cell r="Y503">
            <v>45868</v>
          </cell>
          <cell r="Z503" t="str">
            <v/>
          </cell>
          <cell r="AA503">
            <v>45868</v>
          </cell>
          <cell r="AB503" t="str">
            <v>Jayme Truong Jul 30, 2025 3:12 PM</v>
          </cell>
          <cell r="AC503">
            <v>45870</v>
          </cell>
          <cell r="AD503">
            <v>45993</v>
          </cell>
          <cell r="AE503">
            <v>45981</v>
          </cell>
          <cell r="AF503">
            <v>45981</v>
          </cell>
          <cell r="AG503">
            <v>45993</v>
          </cell>
          <cell r="AH503" t="str">
            <v>Builder's Direct Supply</v>
          </cell>
          <cell r="AI503">
            <v>45915</v>
          </cell>
        </row>
        <row r="504">
          <cell r="C504">
            <v>85292</v>
          </cell>
          <cell r="D504" t="str">
            <v/>
          </cell>
          <cell r="E504" t="str">
            <v/>
          </cell>
          <cell r="F504" t="str">
            <v>Final</v>
          </cell>
          <cell r="G504" t="str">
            <v>Final Collected</v>
          </cell>
          <cell r="H504" t="str">
            <v>No</v>
          </cell>
          <cell r="I504" t="str">
            <v>Efrain Zarate, Trevor Benthagen</v>
          </cell>
          <cell r="J504" t="str">
            <v/>
          </cell>
          <cell r="K504" t="str">
            <v>https://panda-windows-and-doors.monday.com/protected_static/21046287/resources/2144237522/smtp.office365.com_20250515_092834.pdf</v>
          </cell>
          <cell r="L504" t="str">
            <v>https://panda-windows-and-doors.monday.com/protected_static/21046287/resources/2144237890/smtp.office365.com_20250515_092843.pdf</v>
          </cell>
          <cell r="M504" t="str">
            <v/>
          </cell>
          <cell r="N504" t="str">
            <v>https://panda-windows-and-doors.monday.com/protected_static/21046287/resources/2144666210/85292 Deposit Invoice.pdf</v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>Completed - Closed Out</v>
          </cell>
          <cell r="T504" t="str">
            <v/>
          </cell>
          <cell r="U504">
            <v>16636</v>
          </cell>
          <cell r="V504">
            <v>18423.62</v>
          </cell>
          <cell r="W504" t="str">
            <v>George Bails Dec 3, 2025 10:16 AM</v>
          </cell>
          <cell r="X504" t="str">
            <v>2025-04-30 00:00</v>
          </cell>
          <cell r="Y504">
            <v>45792</v>
          </cell>
          <cell r="Z504" t="str">
            <v/>
          </cell>
          <cell r="AA504">
            <v>45792</v>
          </cell>
          <cell r="AB504" t="str">
            <v>Jayme Truong May 15, 2025 12:10 PM</v>
          </cell>
          <cell r="AC504">
            <v>45792</v>
          </cell>
          <cell r="AD504">
            <v>45846</v>
          </cell>
          <cell r="AE504">
            <v>45976</v>
          </cell>
          <cell r="AF504">
            <v>45978</v>
          </cell>
          <cell r="AG504">
            <v>45993</v>
          </cell>
          <cell r="AH504" t="str">
            <v>Jules Rudick</v>
          </cell>
          <cell r="AI504" t="str">
            <v/>
          </cell>
        </row>
        <row r="505">
          <cell r="C505">
            <v>86511</v>
          </cell>
          <cell r="D505" t="str">
            <v/>
          </cell>
          <cell r="E505" t="str">
            <v/>
          </cell>
          <cell r="F505" t="str">
            <v>Final</v>
          </cell>
          <cell r="G505" t="str">
            <v>Final Collected</v>
          </cell>
          <cell r="H505" t="str">
            <v>No</v>
          </cell>
          <cell r="I505" t="str">
            <v>Trevor Benthagen, Efrain Zarate</v>
          </cell>
          <cell r="J505" t="str">
            <v/>
          </cell>
          <cell r="K505" t="str">
            <v>https://panda-windows-and-doors.monday.com/protected_static/21046287/resources/2420490373/smtp.office365.com_20250915_082956.pdf</v>
          </cell>
          <cell r="L505" t="str">
            <v>https://panda-windows-and-doors.monday.com/protected_static/21046287/resources/2420489815/smtp.office365.com_20250915_082944.pdf</v>
          </cell>
          <cell r="M505" t="str">
            <v/>
          </cell>
          <cell r="N505" t="str">
            <v>https://panda-windows-and-doors.monday.com/protected_static/21046287/resources/2420609439/86511 Deposit Invoice.pdf</v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>Completed - Closed Out</v>
          </cell>
          <cell r="T505" t="str">
            <v/>
          </cell>
          <cell r="U505">
            <v>16000</v>
          </cell>
          <cell r="V505">
            <v>12514.44</v>
          </cell>
          <cell r="W505" t="str">
            <v>George Bails Dec 4, 2025 1:52 PM</v>
          </cell>
          <cell r="X505" t="str">
            <v>2025-09-11 09:00</v>
          </cell>
          <cell r="Y505">
            <v>45915</v>
          </cell>
          <cell r="Z505" t="str">
            <v/>
          </cell>
          <cell r="AA505">
            <v>45915</v>
          </cell>
          <cell r="AB505" t="str">
            <v>Jayme Truong Sep 15, 2025 11:08 AM</v>
          </cell>
          <cell r="AC505">
            <v>45915</v>
          </cell>
          <cell r="AD505">
            <v>45919</v>
          </cell>
          <cell r="AE505">
            <v>45982</v>
          </cell>
          <cell r="AF505">
            <v>45982</v>
          </cell>
          <cell r="AG505">
            <v>45994</v>
          </cell>
          <cell r="AH505" t="str">
            <v>German Miranda</v>
          </cell>
          <cell r="AI505" t="str">
            <v/>
          </cell>
        </row>
        <row r="506">
          <cell r="C506">
            <v>87651</v>
          </cell>
          <cell r="D506" t="str">
            <v/>
          </cell>
          <cell r="E506" t="str">
            <v/>
          </cell>
          <cell r="F506" t="str">
            <v>Final</v>
          </cell>
          <cell r="G506" t="str">
            <v>Final Collected</v>
          </cell>
          <cell r="H506" t="str">
            <v>No</v>
          </cell>
          <cell r="I506" t="str">
            <v>Trevor Benthagen, Efrain Zarate</v>
          </cell>
          <cell r="J506" t="str">
            <v/>
          </cell>
          <cell r="K506" t="str">
            <v>https://panda-windows-and-doors.monday.com/protected_static/21046287/resources/2472190337/smtp.office365.com_20251008_071406.pdf</v>
          </cell>
          <cell r="L506" t="str">
            <v>https://panda-windows-and-doors.monday.com/protected_static/21046287/resources/2472190885/smtp.office365.com_20251008_071418.pdf</v>
          </cell>
          <cell r="M506" t="str">
            <v/>
          </cell>
          <cell r="N506" t="str">
            <v>https://panda-windows-and-doors.monday.com/protected_static/21046287/resources/2472414194/87651 Deposit Invoice.pdf</v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>
            <v>3739</v>
          </cell>
          <cell r="V506">
            <v>0</v>
          </cell>
          <cell r="W506" t="str">
            <v>George Bails Dec 9, 2025 10:00 AM</v>
          </cell>
          <cell r="X506" t="str">
            <v>2025-10-08 00:00</v>
          </cell>
          <cell r="Y506">
            <v>45938</v>
          </cell>
          <cell r="Z506" t="str">
            <v/>
          </cell>
          <cell r="AA506">
            <v>45938</v>
          </cell>
          <cell r="AB506" t="str">
            <v>Annalene Conde Oct 8, 2025 8:46 AM</v>
          </cell>
          <cell r="AC506">
            <v>45938</v>
          </cell>
          <cell r="AD506">
            <v>45940</v>
          </cell>
          <cell r="AE506">
            <v>45996</v>
          </cell>
          <cell r="AF506">
            <v>45996</v>
          </cell>
          <cell r="AG506">
            <v>45996</v>
          </cell>
          <cell r="AH506" t="str">
            <v>Andrew Matosich</v>
          </cell>
          <cell r="AI506" t="str">
            <v/>
          </cell>
        </row>
        <row r="507">
          <cell r="C507">
            <v>83447</v>
          </cell>
          <cell r="D507" t="str">
            <v/>
          </cell>
          <cell r="E507" t="str">
            <v/>
          </cell>
          <cell r="F507" t="str">
            <v>Final</v>
          </cell>
          <cell r="G507" t="str">
            <v>Final Collected</v>
          </cell>
          <cell r="H507" t="str">
            <v>No</v>
          </cell>
          <cell r="I507" t="str">
            <v>Derrick McCall</v>
          </cell>
          <cell r="J507" t="str">
            <v>Tiranit Shoshan</v>
          </cell>
          <cell r="K507" t="str">
            <v>https://panda-windows-and-doors.monday.com/protected_static/21046287/resources/2083774984/QQ_83447 OC Part 2 02182025.pdf</v>
          </cell>
          <cell r="L507" t="str">
            <v>https://panda-windows-and-doors.monday.com/protected_static/21046287/resources/2083315733/smtp.office365.com_20250219_075352.pdf</v>
          </cell>
          <cell r="M507" t="str">
            <v/>
          </cell>
          <cell r="N507" t="str">
            <v>https://panda-windows-and-doors.monday.com/protected_static/21046287/resources/1968641859/83447 Deposit Invoice.pdf</v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>Completed - Closed Out</v>
          </cell>
          <cell r="T507" t="str">
            <v/>
          </cell>
          <cell r="U507">
            <v>248638</v>
          </cell>
          <cell r="V507">
            <v>248638</v>
          </cell>
          <cell r="W507" t="str">
            <v>George Bails Dec 9, 2025 9:13 AM</v>
          </cell>
          <cell r="X507" t="str">
            <v>2025-01-17 00:00</v>
          </cell>
          <cell r="Y507">
            <v>45707</v>
          </cell>
          <cell r="Z507" t="str">
            <v/>
          </cell>
          <cell r="AA507">
            <v>45707</v>
          </cell>
          <cell r="AB507" t="str">
            <v>Jayme Truong Feb 19, 2025 10:45 AM</v>
          </cell>
          <cell r="AC507">
            <v>45707</v>
          </cell>
          <cell r="AD507">
            <v>45797</v>
          </cell>
          <cell r="AE507">
            <v>45993</v>
          </cell>
          <cell r="AF507">
            <v>45993</v>
          </cell>
          <cell r="AG507">
            <v>45999</v>
          </cell>
          <cell r="AH507" t="str">
            <v>AGA</v>
          </cell>
          <cell r="AI507" t="str">
            <v/>
          </cell>
        </row>
        <row r="508">
          <cell r="C508">
            <v>86442</v>
          </cell>
          <cell r="D508" t="str">
            <v/>
          </cell>
          <cell r="E508" t="str">
            <v/>
          </cell>
          <cell r="F508" t="str">
            <v>Final</v>
          </cell>
          <cell r="G508" t="str">
            <v>Final Collected</v>
          </cell>
          <cell r="H508" t="str">
            <v>No</v>
          </cell>
          <cell r="I508" t="str">
            <v>Efrain Zarate</v>
          </cell>
          <cell r="J508" t="str">
            <v/>
          </cell>
          <cell r="K508" t="str">
            <v>https://panda-windows-and-doors.monday.com/protected_static/21046287/resources/2353690404/smtp.office365.com_20250814_082423.pdf</v>
          </cell>
          <cell r="L508" t="str">
            <v>https://panda-windows-and-doors.monday.com/protected_static/21046287/resources/2353690130/smtp.office365.com_20250814_082431.pdf</v>
          </cell>
          <cell r="M508" t="str">
            <v/>
          </cell>
          <cell r="N508" t="str">
            <v>https://panda-windows-and-doors.monday.com/protected_static/21046287/resources/2356351383/86442 Deposit Invoice.pdf</v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>Completed - Closed Out</v>
          </cell>
          <cell r="T508" t="str">
            <v/>
          </cell>
          <cell r="U508">
            <v>6267</v>
          </cell>
          <cell r="V508">
            <v>6266</v>
          </cell>
          <cell r="W508" t="str">
            <v>George Bails Dec 9, 2025 9:47 AM</v>
          </cell>
          <cell r="X508" t="str">
            <v>2025-07-11 00:00</v>
          </cell>
          <cell r="Y508">
            <v>45883</v>
          </cell>
          <cell r="Z508" t="str">
            <v/>
          </cell>
          <cell r="AA508">
            <v>45883</v>
          </cell>
          <cell r="AB508" t="str">
            <v>Jayme Truong Aug 14, 2025 11:03 AM</v>
          </cell>
          <cell r="AC508">
            <v>45884</v>
          </cell>
          <cell r="AD508">
            <v>45894</v>
          </cell>
          <cell r="AE508">
            <v>45996</v>
          </cell>
          <cell r="AF508">
            <v>45996</v>
          </cell>
          <cell r="AG508">
            <v>45999</v>
          </cell>
          <cell r="AH508" t="str">
            <v>Triple R Construction</v>
          </cell>
          <cell r="AI508" t="str">
            <v/>
          </cell>
        </row>
        <row r="509">
          <cell r="C509">
            <v>86720</v>
          </cell>
          <cell r="D509" t="str">
            <v/>
          </cell>
          <cell r="E509" t="str">
            <v/>
          </cell>
          <cell r="F509" t="str">
            <v>Final</v>
          </cell>
          <cell r="G509" t="str">
            <v>Final Collected</v>
          </cell>
          <cell r="H509" t="str">
            <v>No</v>
          </cell>
          <cell r="I509" t="str">
            <v>Tyler Clark</v>
          </cell>
          <cell r="J509" t="str">
            <v/>
          </cell>
          <cell r="K509" t="str">
            <v>https://panda-windows-and-doors.monday.com/protected_static/21046287/resources/2437994729/smtp.office365.com_20250923_084506.pdf</v>
          </cell>
          <cell r="L509" t="str">
            <v>https://panda-windows-and-doors.monday.com/protected_static/21046287/resources/2437995948/smtp.office365.com_20250923_085008.pdf</v>
          </cell>
          <cell r="M509" t="str">
            <v/>
          </cell>
          <cell r="N509" t="str">
            <v>https://panda-windows-and-doors.monday.com/protected_static/21046287/resources/2442984938/86720 Deposit Invoice.pdf</v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>Completed - Closed Out</v>
          </cell>
          <cell r="T509" t="str">
            <v/>
          </cell>
          <cell r="U509">
            <v>11851</v>
          </cell>
          <cell r="V509">
            <v>13303.84</v>
          </cell>
          <cell r="W509" t="str">
            <v>George Bails Dec 9, 2025 9:29 AM</v>
          </cell>
          <cell r="X509" t="str">
            <v>2025-07-29 16:37</v>
          </cell>
          <cell r="Y509">
            <v>45923</v>
          </cell>
          <cell r="Z509" t="str">
            <v/>
          </cell>
          <cell r="AA509">
            <v>45924</v>
          </cell>
          <cell r="AB509" t="str">
            <v>Jayme Truong Sep 23, 2025 11:28 AM</v>
          </cell>
          <cell r="AC509">
            <v>45925</v>
          </cell>
          <cell r="AD509">
            <v>45925</v>
          </cell>
          <cell r="AE509">
            <v>45985</v>
          </cell>
          <cell r="AF509">
            <v>45985</v>
          </cell>
          <cell r="AG509">
            <v>45999</v>
          </cell>
          <cell r="AH509" t="str">
            <v>James Stevens</v>
          </cell>
          <cell r="AI509" t="str">
            <v/>
          </cell>
        </row>
        <row r="510">
          <cell r="C510">
            <v>82386</v>
          </cell>
          <cell r="D510">
            <v>45874</v>
          </cell>
          <cell r="E510" t="str">
            <v/>
          </cell>
          <cell r="F510" t="str">
            <v>Final</v>
          </cell>
          <cell r="G510" t="str">
            <v>Final Collected</v>
          </cell>
          <cell r="H510" t="str">
            <v>No</v>
          </cell>
          <cell r="I510" t="str">
            <v>Tyler Clark</v>
          </cell>
          <cell r="J510" t="str">
            <v/>
          </cell>
          <cell r="K510" t="str">
            <v>https://panda-windows-and-doors.monday.com/protected_static/21046287/resources/2199514163/QQ #82386 - Villa Kanola - 120924.pdf</v>
          </cell>
          <cell r="L510" t="str">
            <v>https://panda-windows-and-doors.monday.com/protected_static/21046287/resources/2199514705/Villa Kanola - 120924.pdf</v>
          </cell>
          <cell r="M510" t="str">
            <v/>
          </cell>
          <cell r="N510" t="str">
            <v>https://panda-windows-and-doors.monday.com/protected_static/21046287/resources/2205717581/82386 Deposit Invoice.pdf, https://panda-windows-and-doors.monday.com/protected_static/21046287/resources/2417028447/84496 Deposit Invoice CO 1.pdf</v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>Completed - Closed Out</v>
          </cell>
          <cell r="T510" t="str">
            <v/>
          </cell>
          <cell r="U510">
            <v>269856</v>
          </cell>
          <cell r="V510">
            <v>283149.81</v>
          </cell>
          <cell r="W510" t="str">
            <v>Sean Lopez Dec 9, 2025 3:17 PM</v>
          </cell>
          <cell r="X510" t="str">
            <v>2024-12-10 10:00</v>
          </cell>
          <cell r="Y510">
            <v>45898</v>
          </cell>
          <cell r="Z510" t="str">
            <v/>
          </cell>
          <cell r="AA510">
            <v>45819</v>
          </cell>
          <cell r="AB510" t="str">
            <v>Jayme Truong Jun 11, 2025 12:08 PM</v>
          </cell>
          <cell r="AC510">
            <v>45819</v>
          </cell>
          <cell r="AD510">
            <v>45819</v>
          </cell>
          <cell r="AE510">
            <v>45987</v>
          </cell>
          <cell r="AF510">
            <v>45987</v>
          </cell>
          <cell r="AG510">
            <v>45999</v>
          </cell>
          <cell r="AH510" t="str">
            <v>Kevin Yang</v>
          </cell>
          <cell r="AI510">
            <v>45874</v>
          </cell>
        </row>
        <row r="511">
          <cell r="C511">
            <v>87153</v>
          </cell>
          <cell r="D511" t="str">
            <v/>
          </cell>
          <cell r="E511" t="str">
            <v/>
          </cell>
          <cell r="F511" t="str">
            <v>Final</v>
          </cell>
          <cell r="G511" t="str">
            <v>Final Collected</v>
          </cell>
          <cell r="H511" t="str">
            <v>No</v>
          </cell>
          <cell r="I511" t="str">
            <v>Sean Torre</v>
          </cell>
          <cell r="J511" t="str">
            <v/>
          </cell>
          <cell r="K511" t="str">
            <v>https://panda-windows-and-doors.monday.com/protected_static/21046287/resources/2482646332/Panda signed quote.pdf</v>
          </cell>
          <cell r="L511" t="str">
            <v>https://panda-windows-and-doors.monday.com/protected_static/21046287/resources/2482646719/Signed Backer_87153_Slim Windows_101325.pdf</v>
          </cell>
          <cell r="M511" t="str">
            <v/>
          </cell>
          <cell r="N511" t="str">
            <v>https://panda-windows-and-doors.monday.com/protected_static/21046287/resources/2485824875/87153 Deposit Invoice.pdf</v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>Completed - Closed Out</v>
          </cell>
          <cell r="T511" t="str">
            <v/>
          </cell>
          <cell r="U511">
            <v>5916.01</v>
          </cell>
          <cell r="V511">
            <v>5975.99</v>
          </cell>
          <cell r="W511" t="str">
            <v>Sean Lopez Dec 15, 2025 4:20 PM</v>
          </cell>
          <cell r="X511" t="str">
            <v>2025-08-25 00:00</v>
          </cell>
          <cell r="Y511">
            <v>45944</v>
          </cell>
          <cell r="Z511" t="str">
            <v/>
          </cell>
          <cell r="AA511">
            <v>45943</v>
          </cell>
          <cell r="AB511" t="str">
            <v>Annalene Conde Oct 13, 2025 3:14 PM</v>
          </cell>
          <cell r="AC511">
            <v>45944</v>
          </cell>
          <cell r="AD511">
            <v>45950</v>
          </cell>
          <cell r="AE511">
            <v>45996</v>
          </cell>
          <cell r="AF511">
            <v>45996</v>
          </cell>
          <cell r="AG511">
            <v>46001</v>
          </cell>
          <cell r="AH511" t="str">
            <v>Castle House</v>
          </cell>
          <cell r="AI511" t="str">
            <v/>
          </cell>
        </row>
        <row r="512">
          <cell r="C512">
            <v>86419</v>
          </cell>
          <cell r="D512">
            <v>45946</v>
          </cell>
          <cell r="E512" t="str">
            <v/>
          </cell>
          <cell r="F512" t="str">
            <v>Final</v>
          </cell>
          <cell r="G512" t="str">
            <v>Final Collected</v>
          </cell>
          <cell r="H512" t="str">
            <v>No</v>
          </cell>
          <cell r="I512" t="str">
            <v>Sean Torre</v>
          </cell>
          <cell r="J512" t="str">
            <v/>
          </cell>
          <cell r="K512" t="str">
            <v>https://panda-windows-and-doors.monday.com/protected_static/21046287/resources/2451193072/smtp.office365.com_20250929_121707.pdf</v>
          </cell>
          <cell r="L512" t="str">
            <v>https://panda-windows-and-doors.monday.com/protected_static/21046287/resources/2451193711/smtp.office365.com_20250929_121655.pdf</v>
          </cell>
          <cell r="M512" t="str">
            <v/>
          </cell>
          <cell r="N512" t="str">
            <v>https://panda-windows-and-doors.monday.com/protected_static/21046287/resources/2453962829/86419  Deposit Invoice.pdf, https://panda-windows-and-doors.monday.com/protected_static/21046287/resources/2493516523/86419 Deposit invoice CO 1.pdf</v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>
            <v>8767</v>
          </cell>
          <cell r="V512">
            <v>11281.29</v>
          </cell>
          <cell r="W512" t="str">
            <v>George Bails Dec 12, 2025 8:47 AM</v>
          </cell>
          <cell r="X512" t="str">
            <v>2025-09-29 00:00</v>
          </cell>
          <cell r="Y512">
            <v>45929</v>
          </cell>
          <cell r="Z512" t="str">
            <v/>
          </cell>
          <cell r="AA512">
            <v>45929</v>
          </cell>
          <cell r="AB512" t="str">
            <v>Jayme Truong Sep 29, 2025 4:36 PM</v>
          </cell>
          <cell r="AC512">
            <v>45930</v>
          </cell>
          <cell r="AD512">
            <v>45932</v>
          </cell>
          <cell r="AE512">
            <v>45996</v>
          </cell>
          <cell r="AF512">
            <v>45996</v>
          </cell>
          <cell r="AG512">
            <v>46001</v>
          </cell>
          <cell r="AH512" t="str">
            <v>AFR Construction</v>
          </cell>
          <cell r="AI512">
            <v>45946</v>
          </cell>
        </row>
        <row r="513">
          <cell r="C513">
            <v>87231</v>
          </cell>
          <cell r="D513" t="str">
            <v/>
          </cell>
          <cell r="E513" t="str">
            <v/>
          </cell>
          <cell r="F513" t="str">
            <v>Final</v>
          </cell>
          <cell r="G513" t="str">
            <v>Final Collected</v>
          </cell>
          <cell r="H513" t="str">
            <v>No</v>
          </cell>
          <cell r="I513" t="str">
            <v>Sean Torre</v>
          </cell>
          <cell r="J513" t="str">
            <v/>
          </cell>
          <cell r="K513" t="str">
            <v>https://panda-windows-and-doors.monday.com/protected_static/21046287/resources/2428741927/77984044968__5BA57FD0-3DDB-4466-96FD-30FA617ADE84.jpg, https://panda-windows-and-doors.monday.com/protected_static/21046287/resources/2428742168/77984046081__49943120-24B3-4BE0-B72D-CA26B57759D4.jpg</v>
          </cell>
          <cell r="L513" t="str">
            <v>https://panda-windows-and-doors.monday.com/protected_static/21046287/resources/2428742120/CamScanner 9-18-25 08.32.pdf</v>
          </cell>
          <cell r="M513" t="str">
            <v/>
          </cell>
          <cell r="N513" t="str">
            <v>https://panda-windows-and-doors.monday.com/protected_static/21046287/resources/2429652468/87231 Deposit Invoice.pdf</v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>Completed - Closed Out</v>
          </cell>
          <cell r="T513" t="str">
            <v/>
          </cell>
          <cell r="U513">
            <v>10699</v>
          </cell>
          <cell r="V513">
            <v>10867.63</v>
          </cell>
          <cell r="W513" t="str">
            <v>George Bails Dec 12, 2025 8:38 AM</v>
          </cell>
          <cell r="X513" t="str">
            <v>2025-09-18 00:00</v>
          </cell>
          <cell r="Y513">
            <v>45918</v>
          </cell>
          <cell r="Z513" t="str">
            <v/>
          </cell>
          <cell r="AA513">
            <v>45918</v>
          </cell>
          <cell r="AB513" t="str">
            <v>Jayme Truong Sep 18, 2025 9:49 AM</v>
          </cell>
          <cell r="AC513">
            <v>45918</v>
          </cell>
          <cell r="AD513">
            <v>45925</v>
          </cell>
          <cell r="AE513">
            <v>46000</v>
          </cell>
          <cell r="AF513">
            <v>46000</v>
          </cell>
          <cell r="AG513">
            <v>46001</v>
          </cell>
          <cell r="AH513" t="str">
            <v>Stanley</v>
          </cell>
          <cell r="AI513" t="str">
            <v/>
          </cell>
        </row>
        <row r="514">
          <cell r="C514">
            <v>86931</v>
          </cell>
          <cell r="D514" t="str">
            <v/>
          </cell>
          <cell r="E514" t="str">
            <v/>
          </cell>
          <cell r="F514" t="str">
            <v>Final</v>
          </cell>
          <cell r="G514" t="str">
            <v>Final Collected</v>
          </cell>
          <cell r="H514" t="str">
            <v>No</v>
          </cell>
          <cell r="I514" t="str">
            <v>Sean Torre</v>
          </cell>
          <cell r="J514" t="str">
            <v/>
          </cell>
          <cell r="K514" t="str">
            <v>https://panda-windows-and-doors.monday.com/protected_static/21046287/resources/2373849096/CamScanner 8-25-25 07.29.pdf</v>
          </cell>
          <cell r="L514" t="str">
            <v>https://panda-windows-and-doors.monday.com/protected_static/21046287/resources/2373848994/CamScanner 8-25-25 07.30.pdf</v>
          </cell>
          <cell r="M514" t="str">
            <v/>
          </cell>
          <cell r="N514" t="str">
            <v>https://panda-windows-and-doors.monday.com/protected_static/21046287/resources/2374537590/86931 Deposit Invoice.pdf</v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>Completed - Closed Out</v>
          </cell>
          <cell r="T514" t="str">
            <v/>
          </cell>
          <cell r="U514">
            <v>10015</v>
          </cell>
          <cell r="V514">
            <v>11692.52</v>
          </cell>
          <cell r="W514" t="str">
            <v>Elizabet Lopez Feb 25, 2026 3:26 PM</v>
          </cell>
          <cell r="X514" t="str">
            <v>2025-08-25 00:00</v>
          </cell>
          <cell r="Y514">
            <v>45894</v>
          </cell>
          <cell r="Z514" t="str">
            <v/>
          </cell>
          <cell r="AA514">
            <v>45894</v>
          </cell>
          <cell r="AB514" t="str">
            <v>Jayme Truong Aug 25, 2025 8:34 AM</v>
          </cell>
          <cell r="AC514">
            <v>45894</v>
          </cell>
          <cell r="AD514">
            <v>45894</v>
          </cell>
          <cell r="AE514">
            <v>46000</v>
          </cell>
          <cell r="AF514">
            <v>46001</v>
          </cell>
          <cell r="AG514">
            <v>46006</v>
          </cell>
          <cell r="AH514" t="str">
            <v>Roberto Valenzuela</v>
          </cell>
          <cell r="AI514" t="str">
            <v/>
          </cell>
        </row>
        <row r="515">
          <cell r="C515">
            <v>84218</v>
          </cell>
          <cell r="D515" t="str">
            <v/>
          </cell>
          <cell r="E515" t="str">
            <v/>
          </cell>
          <cell r="F515" t="str">
            <v>Final</v>
          </cell>
          <cell r="G515" t="str">
            <v>Final Collected</v>
          </cell>
          <cell r="H515" t="str">
            <v>No</v>
          </cell>
          <cell r="I515" t="str">
            <v>Spencer Anderson</v>
          </cell>
          <cell r="J515" t="str">
            <v/>
          </cell>
          <cell r="K515" t="str">
            <v>https://panda-windows-and-doors.monday.com/protected_static/21046287/resources/2214847513/QQ #84218 - SPW_Ley Residence Laguna Beach - SIGNED.pdf</v>
          </cell>
          <cell r="L515" t="str">
            <v>https://panda-windows-and-doors.monday.com/protected_static/21046287/resources/2214855757/Ley Backer.pdf</v>
          </cell>
          <cell r="M515" t="str">
            <v/>
          </cell>
          <cell r="N515" t="str">
            <v>https://panda-windows-and-doors.monday.com/protected_static/21046287/resources/2216667770/84218 REV. Deposit Invoice.pdf</v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>Completed - Closed Out</v>
          </cell>
          <cell r="T515" t="str">
            <v/>
          </cell>
          <cell r="U515">
            <v>107302</v>
          </cell>
          <cell r="V515">
            <v>107302</v>
          </cell>
          <cell r="W515" t="str">
            <v>George Bails Dec 15, 2025 4:16 PM</v>
          </cell>
          <cell r="X515" t="str">
            <v/>
          </cell>
          <cell r="Y515">
            <v>45821</v>
          </cell>
          <cell r="Z515" t="str">
            <v/>
          </cell>
          <cell r="AA515">
            <v>45826</v>
          </cell>
          <cell r="AB515" t="str">
            <v>Jayme Truong Jun 13, 2025 9:52 AM</v>
          </cell>
          <cell r="AC515">
            <v>45827</v>
          </cell>
          <cell r="AD515">
            <v>45840</v>
          </cell>
          <cell r="AE515">
            <v>46001</v>
          </cell>
          <cell r="AF515">
            <v>46001</v>
          </cell>
          <cell r="AG515">
            <v>46006</v>
          </cell>
          <cell r="AH515" t="str">
            <v>Steve Hernandez</v>
          </cell>
          <cell r="AI515" t="str">
            <v/>
          </cell>
        </row>
        <row r="516">
          <cell r="C516">
            <v>86971</v>
          </cell>
          <cell r="D516">
            <v>45940</v>
          </cell>
          <cell r="E516" t="str">
            <v/>
          </cell>
          <cell r="F516" t="str">
            <v>Final</v>
          </cell>
          <cell r="G516" t="str">
            <v>Final Collected</v>
          </cell>
          <cell r="H516" t="str">
            <v>No</v>
          </cell>
          <cell r="I516" t="str">
            <v>Trevor Benthagen, Efrain Zarate</v>
          </cell>
          <cell r="J516" t="str">
            <v/>
          </cell>
          <cell r="K516" t="str">
            <v>https://panda-windows-and-doors.monday.com/protected_static/21046287/resources/2398896263/Q86971 SIGNED SALES ORDER.pdf</v>
          </cell>
          <cell r="L516" t="str">
            <v>https://panda-windows-and-doors.monday.com/protected_static/21046287/resources/2398896456/Q86971 SIGNED BACKER.pdf</v>
          </cell>
          <cell r="M516" t="str">
            <v/>
          </cell>
          <cell r="N516" t="str">
            <v>https://panda-windows-and-doors.monday.com/protected_static/21046287/resources/2401076359/86971 DEPOSIT INVOICE.pdf, https://panda-windows-and-doors.monday.com/protected_static/21046287/resources/2485803042/86971 Deposit Invoice CO 1.pdf</v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>
            <v>12625</v>
          </cell>
          <cell r="V516">
            <v>15390.99</v>
          </cell>
          <cell r="W516" t="str">
            <v>George Bails Dec 15, 2025 4:20 PM</v>
          </cell>
          <cell r="X516" t="str">
            <v>2025-08-19 00:00</v>
          </cell>
          <cell r="Y516">
            <v>45904</v>
          </cell>
          <cell r="Z516" t="str">
            <v/>
          </cell>
          <cell r="AA516">
            <v>45904</v>
          </cell>
          <cell r="AB516" t="str">
            <v>Jayme Truong Sep 4, 2025 3:06 PM</v>
          </cell>
          <cell r="AC516">
            <v>45905</v>
          </cell>
          <cell r="AD516">
            <v>45910</v>
          </cell>
          <cell r="AE516">
            <v>45985</v>
          </cell>
          <cell r="AF516">
            <v>45985</v>
          </cell>
          <cell r="AG516">
            <v>46006</v>
          </cell>
          <cell r="AH516" t="str">
            <v>Jason Matthews</v>
          </cell>
          <cell r="AI516">
            <v>45940</v>
          </cell>
        </row>
        <row r="517">
          <cell r="C517">
            <v>85182</v>
          </cell>
          <cell r="D517" t="str">
            <v/>
          </cell>
          <cell r="E517" t="str">
            <v/>
          </cell>
          <cell r="F517" t="str">
            <v>Final</v>
          </cell>
          <cell r="G517" t="str">
            <v>Final Collected</v>
          </cell>
          <cell r="H517" t="str">
            <v>No</v>
          </cell>
          <cell r="I517" t="str">
            <v>Sean Torre, Trevor Benthagen</v>
          </cell>
          <cell r="J517" t="str">
            <v/>
          </cell>
          <cell r="K517" t="str">
            <v>https://panda-windows-and-doors.monday.com/protected_static/21046287/resources/2316259877/CamScanner 7-28-25 15.23.pdf</v>
          </cell>
          <cell r="L517" t="str">
            <v>https://panda-windows-and-doors.monday.com/protected_static/21046287/resources/2316259687/CamScanner 7-28-25 15.22.pdf</v>
          </cell>
          <cell r="M517" t="str">
            <v/>
          </cell>
          <cell r="N517" t="str">
            <v>https://panda-windows-and-doors.monday.com/protected_static/21046287/resources/2317827133/85182 Depsoit Invoice.pdf</v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>Completed - Closed Out</v>
          </cell>
          <cell r="T517" t="str">
            <v/>
          </cell>
          <cell r="U517">
            <v>12383</v>
          </cell>
          <cell r="V517">
            <v>14102.76</v>
          </cell>
          <cell r="W517" t="str">
            <v>George Bails Dec 15, 2025 4:13 PM</v>
          </cell>
          <cell r="X517" t="str">
            <v>2025-04-24 00:00</v>
          </cell>
          <cell r="Y517">
            <v>45866</v>
          </cell>
          <cell r="Z517" t="str">
            <v/>
          </cell>
          <cell r="AA517">
            <v>45866</v>
          </cell>
          <cell r="AB517" t="str">
            <v>Jayme Truong Jul 28, 2025 4:25 PM</v>
          </cell>
          <cell r="AC517">
            <v>45867</v>
          </cell>
          <cell r="AD517">
            <v>45868</v>
          </cell>
          <cell r="AE517">
            <v>46001</v>
          </cell>
          <cell r="AF517">
            <v>46001</v>
          </cell>
          <cell r="AG517">
            <v>46006</v>
          </cell>
          <cell r="AH517" t="str">
            <v>6313 Orange Hue St</v>
          </cell>
          <cell r="AI517" t="str">
            <v/>
          </cell>
        </row>
        <row r="518">
          <cell r="C518">
            <v>86541</v>
          </cell>
          <cell r="D518" t="str">
            <v/>
          </cell>
          <cell r="E518" t="str">
            <v/>
          </cell>
          <cell r="F518" t="str">
            <v>Final</v>
          </cell>
          <cell r="G518" t="str">
            <v>Final Collected</v>
          </cell>
          <cell r="H518" t="str">
            <v>No</v>
          </cell>
          <cell r="I518" t="str">
            <v>Sean Torre</v>
          </cell>
          <cell r="J518" t="str">
            <v/>
          </cell>
          <cell r="K518" t="str">
            <v>https://panda-windows-and-doors.monday.com/protected_static/21046287/resources/2300285700/QQ#86541 JW Marriot 07182025 (2) (2) (2).pdf, https://panda-windows-and-doors.monday.com/protected_static/21046287/resources/2579294144/QQ#86541 JW Marriot 07182025 (2) (2) (2).pdf, https://panda-windows-and-doors.monday.com/protected_static/21046287/resources/2656831460/QQ#86541 JW Marriot 07182025 (2) (2) (2).pdf</v>
          </cell>
          <cell r="L518" t="str">
            <v>https://panda-windows-and-doors.monday.com/protected_static/21046287/resources/2297215452/CamScanner 7-18-25 08.59.pdf, https://panda-windows-and-doors.monday.com/protected_static/21046287/resources/2579294353/CamScanner 7-18-25 08.59.pdf, https://panda-windows-and-doors.monday.com/protected_static/21046287/resources/2656831670/CamScanner 7-18-25 08.59.pdf</v>
          </cell>
          <cell r="M518" t="str">
            <v/>
          </cell>
          <cell r="N518" t="str">
            <v>https://panda-windows-and-doors.monday.com/protected_static/21046287/resources/2303660331/86541 Deposit Invoice.pdf</v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>Completed - Closed Out</v>
          </cell>
          <cell r="T518" t="str">
            <v/>
          </cell>
          <cell r="U518">
            <v>8827</v>
          </cell>
          <cell r="V518">
            <v>8827</v>
          </cell>
          <cell r="W518" t="str">
            <v>George Bails Dec 15, 2025 4:10 PM</v>
          </cell>
          <cell r="X518" t="str">
            <v>2025-07-18 00:00, 2026-01-05 00:00</v>
          </cell>
          <cell r="Y518">
            <v>45856</v>
          </cell>
          <cell r="Z518" t="str">
            <v/>
          </cell>
          <cell r="AA518">
            <v>45856</v>
          </cell>
          <cell r="AB518" t="str">
            <v>Jayme Truong Jul 18, 2025 9:59 AM</v>
          </cell>
          <cell r="AC518">
            <v>45856</v>
          </cell>
          <cell r="AD518">
            <v>45951</v>
          </cell>
          <cell r="AE518">
            <v>45982</v>
          </cell>
          <cell r="AF518">
            <v>45982</v>
          </cell>
          <cell r="AG518">
            <v>46006</v>
          </cell>
          <cell r="AH518" t="str">
            <v>Sunshine Glass, Sunshine Glass, Sunshine Glass</v>
          </cell>
          <cell r="AI518" t="str">
            <v/>
          </cell>
        </row>
        <row r="519">
          <cell r="C519">
            <v>86269</v>
          </cell>
          <cell r="D519" t="str">
            <v/>
          </cell>
          <cell r="E519" t="str">
            <v/>
          </cell>
          <cell r="F519" t="str">
            <v>Final</v>
          </cell>
          <cell r="G519" t="str">
            <v>Final Collected</v>
          </cell>
          <cell r="H519" t="str">
            <v>No</v>
          </cell>
          <cell r="I519" t="str">
            <v>Stefan Monetta</v>
          </cell>
          <cell r="J519" t="str">
            <v/>
          </cell>
          <cell r="K519" t="str">
            <v>https://panda-windows-and-doors.monday.com/protected_static/21046287/resources/2353182756/Signed QQ#86269 Brooks North Apartments 08132025.pdf</v>
          </cell>
          <cell r="L519" t="str">
            <v>https://panda-windows-and-doors.monday.com/protected_static/21046287/resources/2353184969/smtp.office365.com_20250814_055407.pdf</v>
          </cell>
          <cell r="M519" t="str">
            <v/>
          </cell>
          <cell r="N519" t="str">
            <v>https://panda-windows-and-doors.monday.com/protected_static/21046287/resources/2353432869/86269 Deposit Invoice.pdf</v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>Completed - Closed Out</v>
          </cell>
          <cell r="T519" t="str">
            <v/>
          </cell>
          <cell r="U519">
            <v>6573</v>
          </cell>
          <cell r="V519">
            <v>7144.7</v>
          </cell>
          <cell r="W519" t="str">
            <v>George Bails Dec 17, 2025 4:02 PM</v>
          </cell>
          <cell r="X519" t="str">
            <v>2025-06-30 00:00</v>
          </cell>
          <cell r="Y519">
            <v>45883</v>
          </cell>
          <cell r="Z519" t="str">
            <v/>
          </cell>
          <cell r="AA519">
            <v>45883</v>
          </cell>
          <cell r="AB519" t="str">
            <v>Jayme Truong Aug 14, 2025 8:26 AM</v>
          </cell>
          <cell r="AC519">
            <v>45883</v>
          </cell>
          <cell r="AD519">
            <v>45908</v>
          </cell>
          <cell r="AE519">
            <v>45986</v>
          </cell>
          <cell r="AF519">
            <v>45986</v>
          </cell>
          <cell r="AG519">
            <v>46007</v>
          </cell>
          <cell r="AH519" t="str">
            <v>Custom Glass &amp; Doors</v>
          </cell>
          <cell r="AI519" t="str">
            <v/>
          </cell>
        </row>
        <row r="520">
          <cell r="C520">
            <v>83530</v>
          </cell>
          <cell r="D520" t="str">
            <v/>
          </cell>
          <cell r="E520" t="str">
            <v/>
          </cell>
          <cell r="F520" t="str">
            <v>Final</v>
          </cell>
          <cell r="G520" t="str">
            <v>Final Collected</v>
          </cell>
          <cell r="H520" t="str">
            <v>No</v>
          </cell>
          <cell r="I520" t="str">
            <v>Derrick McCall</v>
          </cell>
          <cell r="J520" t="str">
            <v/>
          </cell>
          <cell r="K520" t="str">
            <v>https://panda-windows-and-doors.monday.com/protected_static/21046287/resources/2366586807/QQ#83530 Shea Trilogy 08202025.pdf</v>
          </cell>
          <cell r="L520" t="str">
            <v>https://panda-windows-and-doors.monday.com/protected_static/21046287/resources/2366587753/Q83530.pdf</v>
          </cell>
          <cell r="M520" t="str">
            <v/>
          </cell>
          <cell r="N520" t="str">
            <v>https://panda-windows-and-doors.monday.com/protected_static/21046287/resources/2368173178/83530 Deposit Invoice.pdf</v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>Completed - Closed Out</v>
          </cell>
          <cell r="T520" t="str">
            <v/>
          </cell>
          <cell r="U520">
            <v>70099</v>
          </cell>
          <cell r="V520">
            <v>82751.06</v>
          </cell>
          <cell r="W520" t="str">
            <v>Annalene Conde Dec 16, 2025 3:34 PM</v>
          </cell>
          <cell r="X520" t="str">
            <v>2025-01-23 00:00</v>
          </cell>
          <cell r="Y520">
            <v>45889</v>
          </cell>
          <cell r="Z520" t="str">
            <v/>
          </cell>
          <cell r="AA520">
            <v>45889</v>
          </cell>
          <cell r="AB520" t="str">
            <v>Jayme Truong Aug 20, 2025 4:22 PM</v>
          </cell>
          <cell r="AC520">
            <v>45890</v>
          </cell>
          <cell r="AD520">
            <v>45903</v>
          </cell>
          <cell r="AE520">
            <v>46007</v>
          </cell>
          <cell r="AF520" t="str">
            <v/>
          </cell>
          <cell r="AG520">
            <v>46007</v>
          </cell>
          <cell r="AH520" t="str">
            <v>Horizon Contract Glazing</v>
          </cell>
          <cell r="AI520" t="str">
            <v/>
          </cell>
        </row>
        <row r="521">
          <cell r="C521">
            <v>81605</v>
          </cell>
          <cell r="D521">
            <v>45924</v>
          </cell>
          <cell r="E521" t="str">
            <v/>
          </cell>
          <cell r="F521" t="str">
            <v>Final</v>
          </cell>
          <cell r="G521" t="str">
            <v>Final Collected</v>
          </cell>
          <cell r="H521" t="str">
            <v>No</v>
          </cell>
          <cell r="I521" t="str">
            <v>Trevor Benthagen, Efrain Zarate</v>
          </cell>
          <cell r="J521" t="str">
            <v/>
          </cell>
          <cell r="K521" t="str">
            <v>https://panda-windows-and-doors.monday.com/protected_static/21046287/resources/2083762753/Q_81605 SIGNED SALES ORDER.pdf</v>
          </cell>
          <cell r="L521" t="str">
            <v>https://panda-windows-and-doors.monday.com/protected_static/21046287/resources/2083286325/Q_81605 BACKER.pdf</v>
          </cell>
          <cell r="M521" t="str">
            <v/>
          </cell>
          <cell r="N521" t="str">
            <v>https://panda-windows-and-doors.monday.com/protected_static/21046287/resources/1953154711/81605 Deposit Invoice.pdf, https://panda-windows-and-doors.monday.com/protected_static/21046287/resources/2445875117/81605 Deposit Invoice CO 1.pdf</v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>Completed - Closed Out</v>
          </cell>
          <cell r="T521" t="str">
            <v/>
          </cell>
          <cell r="U521">
            <v>123634</v>
          </cell>
          <cell r="V521">
            <v>112540</v>
          </cell>
          <cell r="W521" t="str">
            <v>Sean Lopez Mar 11, 2026 1:42 PM</v>
          </cell>
          <cell r="X521" t="str">
            <v>2024-12-26 00:00</v>
          </cell>
          <cell r="Y521">
            <v>45673</v>
          </cell>
          <cell r="Z521" t="str">
            <v/>
          </cell>
          <cell r="AA521">
            <v>45674</v>
          </cell>
          <cell r="AB521" t="str">
            <v>Jayme Truong Jan 16, 2025 3:53 PM</v>
          </cell>
          <cell r="AC521">
            <v>45674</v>
          </cell>
          <cell r="AD521">
            <v>45840</v>
          </cell>
          <cell r="AE521">
            <v>46001</v>
          </cell>
          <cell r="AF521">
            <v>46002</v>
          </cell>
          <cell r="AG521">
            <v>46008</v>
          </cell>
          <cell r="AH521" t="str">
            <v>Hardman Glazing Management, LLC</v>
          </cell>
          <cell r="AI521">
            <v>45924</v>
          </cell>
        </row>
        <row r="522">
          <cell r="C522">
            <v>81604</v>
          </cell>
          <cell r="D522">
            <v>45919</v>
          </cell>
          <cell r="E522" t="str">
            <v/>
          </cell>
          <cell r="F522" t="str">
            <v>Final</v>
          </cell>
          <cell r="G522" t="str">
            <v>Final Collected</v>
          </cell>
          <cell r="H522" t="str">
            <v>No</v>
          </cell>
          <cell r="I522" t="str">
            <v>Trevor Benthagen, Efrain Zarate</v>
          </cell>
          <cell r="J522" t="str">
            <v/>
          </cell>
          <cell r="K522" t="str">
            <v>https://panda-windows-and-doors.monday.com/protected_static/21046287/resources/2083763154/Q_81604 SIGNED SALES ORDER.pdf</v>
          </cell>
          <cell r="L522" t="str">
            <v>https://panda-windows-and-doors.monday.com/protected_static/21046287/resources/2083286988/Q_81604 BACKER.pdf</v>
          </cell>
          <cell r="M522" t="str">
            <v/>
          </cell>
          <cell r="N522" t="str">
            <v>https://panda-windows-and-doors.monday.com/protected_static/21046287/resources/1903896087/81604 deposit invoice.pdf, https://panda-windows-and-doors.monday.com/protected_static/21046287/resources/2438063125/81604 Deposit Invoice CO 1.pdf, https://panda-windows-and-doors.monday.com/protected_static/21046287/resources/2615003713/81604 Deposit Invoice CO 1 (no tax).pdf</v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>Completed - Closed Out</v>
          </cell>
          <cell r="T522" t="str">
            <v/>
          </cell>
          <cell r="U522">
            <v>48887.75</v>
          </cell>
          <cell r="V522">
            <v>53646</v>
          </cell>
          <cell r="W522" t="str">
            <v>George Bails Dec 17, 2025 4:12 PM</v>
          </cell>
          <cell r="X522" t="str">
            <v>2024-12-26 00:00</v>
          </cell>
          <cell r="Y522">
            <v>45673</v>
          </cell>
          <cell r="Z522" t="str">
            <v/>
          </cell>
          <cell r="AA522">
            <v>45674</v>
          </cell>
          <cell r="AB522" t="str">
            <v>Jayme Truong Jan 16, 2025 3:53 PM</v>
          </cell>
          <cell r="AC522">
            <v>45674</v>
          </cell>
          <cell r="AD522">
            <v>45840</v>
          </cell>
          <cell r="AE522">
            <v>46001</v>
          </cell>
          <cell r="AF522">
            <v>46002</v>
          </cell>
          <cell r="AG522">
            <v>46008</v>
          </cell>
          <cell r="AH522" t="str">
            <v>Hardman Glazing Management, LLC</v>
          </cell>
          <cell r="AI522">
            <v>45919</v>
          </cell>
        </row>
        <row r="523">
          <cell r="C523">
            <v>87268</v>
          </cell>
          <cell r="D523" t="str">
            <v/>
          </cell>
          <cell r="E523" t="str">
            <v/>
          </cell>
          <cell r="F523" t="str">
            <v>Final</v>
          </cell>
          <cell r="G523" t="str">
            <v>Final Collected</v>
          </cell>
          <cell r="H523" t="str">
            <v>No</v>
          </cell>
          <cell r="I523" t="str">
            <v>Sean Torre</v>
          </cell>
          <cell r="J523" t="str">
            <v/>
          </cell>
          <cell r="K523" t="str">
            <v>https://panda-windows-and-doors.monday.com/protected_static/21046287/resources/2428910076/250917 Panda Folding window.pdf</v>
          </cell>
          <cell r="L523" t="str">
            <v>https://panda-windows-and-doors.monday.com/protected_static/21046287/resources/2428910358/Signed Backer_87268_091825.pdf</v>
          </cell>
          <cell r="M523" t="str">
            <v/>
          </cell>
          <cell r="N523" t="str">
            <v>https://panda-windows-and-doors.monday.com/protected_static/21046287/resources/2429795277/87268 Deposit Invoice.pdf</v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>Completed - Closed Out</v>
          </cell>
          <cell r="T523" t="str">
            <v/>
          </cell>
          <cell r="U523">
            <v>4246</v>
          </cell>
          <cell r="V523">
            <v>5073.9799999999996</v>
          </cell>
          <cell r="W523" t="str">
            <v>George Bails Dec 19, 2025 10:26 AM</v>
          </cell>
          <cell r="X523" t="str">
            <v/>
          </cell>
          <cell r="Y523">
            <v>45918</v>
          </cell>
          <cell r="Z523" t="str">
            <v/>
          </cell>
          <cell r="AA523">
            <v>45918</v>
          </cell>
          <cell r="AB523" t="str">
            <v>Jayme Truong Sep 18, 2025 11:20 AM</v>
          </cell>
          <cell r="AC523">
            <v>45918</v>
          </cell>
          <cell r="AD523">
            <v>45929</v>
          </cell>
          <cell r="AE523">
            <v>46000</v>
          </cell>
          <cell r="AF523">
            <v>46000</v>
          </cell>
          <cell r="AG523">
            <v>46009</v>
          </cell>
          <cell r="AH523" t="str">
            <v>Chau Truong</v>
          </cell>
          <cell r="AI523" t="str">
            <v/>
          </cell>
        </row>
        <row r="524">
          <cell r="C524">
            <v>86065</v>
          </cell>
          <cell r="D524" t="str">
            <v/>
          </cell>
          <cell r="E524" t="str">
            <v/>
          </cell>
          <cell r="F524" t="str">
            <v>Final</v>
          </cell>
          <cell r="G524" t="str">
            <v>Final Collected</v>
          </cell>
          <cell r="H524" t="str">
            <v>No</v>
          </cell>
          <cell r="I524" t="str">
            <v>Derrick McCall</v>
          </cell>
          <cell r="J524" t="str">
            <v/>
          </cell>
          <cell r="K524" t="str">
            <v>https://panda-windows-and-doors.monday.com/protected_static/21046287/resources/2339411056/PANDA SIGNED CONF.pdf</v>
          </cell>
          <cell r="L524" t="str">
            <v>https://panda-windows-and-doors.monday.com/protected_static/21046287/resources/2339424176/Q86065 SB.pdf</v>
          </cell>
          <cell r="M524" t="str">
            <v/>
          </cell>
          <cell r="N524" t="str">
            <v>https://panda-windows-and-doors.monday.com/protected_static/21046287/resources/2341643056/RSM Invoice Form.pdf, https://panda-windows-and-doors.monday.com/protected_static/21046287/resources/2341719210/86065 Deposit Invoice.pdf</v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>Completed - Closed Out</v>
          </cell>
          <cell r="T524" t="str">
            <v/>
          </cell>
          <cell r="U524">
            <v>47405</v>
          </cell>
          <cell r="V524">
            <v>57405.05</v>
          </cell>
          <cell r="W524" t="str">
            <v>George Bails Dec 19, 2025 10:18 AM</v>
          </cell>
          <cell r="X524" t="str">
            <v>2025-06-16 00:00</v>
          </cell>
          <cell r="Y524">
            <v>45876</v>
          </cell>
          <cell r="Z524" t="str">
            <v/>
          </cell>
          <cell r="AA524">
            <v>45877</v>
          </cell>
          <cell r="AB524" t="str">
            <v>Jayme Truong Aug 7, 2025 1:47 PM</v>
          </cell>
          <cell r="AC524">
            <v>45877</v>
          </cell>
          <cell r="AD524">
            <v>45881</v>
          </cell>
          <cell r="AE524">
            <v>46001</v>
          </cell>
          <cell r="AF524">
            <v>46002</v>
          </cell>
          <cell r="AG524">
            <v>46009</v>
          </cell>
          <cell r="AH524" t="str">
            <v>Advanced Glazing Solutions</v>
          </cell>
          <cell r="AI524" t="str">
            <v/>
          </cell>
        </row>
        <row r="525">
          <cell r="C525">
            <v>86948</v>
          </cell>
          <cell r="D525" t="str">
            <v/>
          </cell>
          <cell r="E525" t="str">
            <v/>
          </cell>
          <cell r="F525" t="str">
            <v>Final</v>
          </cell>
          <cell r="G525" t="str">
            <v>Final Collected</v>
          </cell>
          <cell r="H525" t="str">
            <v>No</v>
          </cell>
          <cell r="I525" t="str">
            <v>Spencer Anderson</v>
          </cell>
          <cell r="J525" t="str">
            <v/>
          </cell>
          <cell r="K525" t="str">
            <v>https://panda-windows-and-doors.monday.com/protected_static/21046287/resources/2525514397/Order #CM 86948.pdf</v>
          </cell>
          <cell r="L525" t="str">
            <v>https://panda-windows-and-doors.monday.com/protected_static/21046287/resources/2525585766/BP-70M55_20251031_151642.pdf</v>
          </cell>
          <cell r="M525" t="str">
            <v/>
          </cell>
          <cell r="N525" t="str">
            <v>https://panda-windows-and-doors.monday.com/protected_static/21046287/resources/2532695642/86948 Deposit Invoice.pdf</v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>Completed - Closed Out</v>
          </cell>
          <cell r="T525" t="str">
            <v/>
          </cell>
          <cell r="U525">
            <v>3146</v>
          </cell>
          <cell r="V525">
            <v>3145</v>
          </cell>
          <cell r="W525" t="str">
            <v>George Bails Dec 19, 2025 9:55 AM</v>
          </cell>
          <cell r="X525" t="str">
            <v/>
          </cell>
          <cell r="Y525">
            <v>45964</v>
          </cell>
          <cell r="Z525" t="str">
            <v/>
          </cell>
          <cell r="AA525">
            <v>45964</v>
          </cell>
          <cell r="AB525" t="str">
            <v>Annalene Conde Nov 3, 2025 8:43 AM</v>
          </cell>
          <cell r="AC525">
            <v>45965</v>
          </cell>
          <cell r="AD525">
            <v>45973</v>
          </cell>
          <cell r="AE525">
            <v>46002</v>
          </cell>
          <cell r="AF525">
            <v>46002</v>
          </cell>
          <cell r="AG525">
            <v>46009</v>
          </cell>
          <cell r="AH525" t="str">
            <v>Nalin Maxfield</v>
          </cell>
          <cell r="AI525" t="str">
            <v/>
          </cell>
        </row>
        <row r="526">
          <cell r="C526">
            <v>85934</v>
          </cell>
          <cell r="D526" t="str">
            <v/>
          </cell>
          <cell r="E526" t="str">
            <v/>
          </cell>
          <cell r="F526" t="str">
            <v>Final</v>
          </cell>
          <cell r="G526" t="str">
            <v>Final Collected</v>
          </cell>
          <cell r="H526" t="str">
            <v>No</v>
          </cell>
          <cell r="I526" t="str">
            <v>Tyler Clark</v>
          </cell>
          <cell r="J526" t="str">
            <v/>
          </cell>
          <cell r="K526" t="str">
            <v>https://panda-windows-and-doors.monday.com/protected_static/21046287/resources/2437581493/smtp.office365.com_20250923_063057.pdf, https://panda-windows-and-doors.monday.com/protected_static/21046287/resources/2441417490/smtp.office365.com_20250923_062923.pdf</v>
          </cell>
          <cell r="L526" t="str">
            <v>https://panda-windows-and-doors.monday.com/protected_static/21046287/resources/2437580918/smtp.office365.com_20250923_063057.pdf</v>
          </cell>
          <cell r="M526" t="str">
            <v/>
          </cell>
          <cell r="N526" t="str">
            <v>https://panda-windows-and-doors.monday.com/protected_static/21046287/resources/2441507443/85934 Deposit Invoice.pdf</v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>Completed - Closed Out</v>
          </cell>
          <cell r="T526" t="str">
            <v/>
          </cell>
          <cell r="U526">
            <v>6917</v>
          </cell>
          <cell r="V526">
            <v>7127</v>
          </cell>
          <cell r="W526" t="str">
            <v>George Bails Dec 19, 2025 10:31 AM</v>
          </cell>
          <cell r="X526" t="str">
            <v>2025-06-04 00:00</v>
          </cell>
          <cell r="Y526">
            <v>45924</v>
          </cell>
          <cell r="Z526" t="str">
            <v/>
          </cell>
          <cell r="AA526">
            <v>45924</v>
          </cell>
          <cell r="AB526" t="str">
            <v>Jayme Truong Sep 22, 2025 1:25 PM</v>
          </cell>
          <cell r="AC526">
            <v>45924</v>
          </cell>
          <cell r="AD526">
            <v>45925</v>
          </cell>
          <cell r="AE526">
            <v>46007</v>
          </cell>
          <cell r="AF526">
            <v>46007</v>
          </cell>
          <cell r="AG526">
            <v>46009</v>
          </cell>
          <cell r="AH526" t="str">
            <v>Joseph Vu</v>
          </cell>
          <cell r="AI526" t="str">
            <v/>
          </cell>
        </row>
        <row r="527">
          <cell r="C527">
            <v>74770</v>
          </cell>
          <cell r="D527">
            <v>45933</v>
          </cell>
          <cell r="E527" t="str">
            <v/>
          </cell>
          <cell r="F527" t="str">
            <v>Final</v>
          </cell>
          <cell r="G527" t="str">
            <v>Final Collected</v>
          </cell>
          <cell r="H527" t="str">
            <v>No</v>
          </cell>
          <cell r="I527" t="str">
            <v>Derrick McCall</v>
          </cell>
          <cell r="J527" t="str">
            <v/>
          </cell>
          <cell r="K527" t="str">
            <v>https://panda-windows-and-doors.monday.com/protected_static/21046287/resources/2365903534/004 PANDA DOORS &amp; WINDOWS 07.28.23.pdf</v>
          </cell>
          <cell r="L527" t="str">
            <v/>
          </cell>
          <cell r="M527" t="str">
            <v/>
          </cell>
          <cell r="N527" t="str">
            <v>https://panda-windows-and-doors.monday.com/protected_static/21046287/resources/2466168949/74770 Deposit Invoice.pdf</v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>
            <v>7491</v>
          </cell>
          <cell r="V527">
            <v>12791.24</v>
          </cell>
          <cell r="W527" t="str">
            <v>George Bails Dec 22, 2025 1:47 PM</v>
          </cell>
          <cell r="X527" t="str">
            <v>2025-03-13 00:00</v>
          </cell>
          <cell r="Y527">
            <v>45933</v>
          </cell>
          <cell r="Z527" t="str">
            <v/>
          </cell>
          <cell r="AA527">
            <v>45933</v>
          </cell>
          <cell r="AB527" t="str">
            <v>Annalene Conde Oct 3, 2025 3:23 PM</v>
          </cell>
          <cell r="AC527" t="str">
            <v/>
          </cell>
          <cell r="AD527" t="str">
            <v/>
          </cell>
          <cell r="AE527">
            <v>46009</v>
          </cell>
          <cell r="AF527" t="str">
            <v/>
          </cell>
          <cell r="AG527">
            <v>46010</v>
          </cell>
          <cell r="AH527" t="str">
            <v>AAC Glass</v>
          </cell>
          <cell r="AI527">
            <v>45933</v>
          </cell>
        </row>
        <row r="528">
          <cell r="C528">
            <v>87887</v>
          </cell>
          <cell r="D528" t="str">
            <v/>
          </cell>
          <cell r="E528" t="str">
            <v/>
          </cell>
          <cell r="F528" t="str">
            <v>Final</v>
          </cell>
          <cell r="G528" t="str">
            <v>Final Collected</v>
          </cell>
          <cell r="H528" t="str">
            <v>No</v>
          </cell>
          <cell r="I528" t="str">
            <v>Trevor Benthagen, Efrain Zarate</v>
          </cell>
          <cell r="J528" t="str">
            <v/>
          </cell>
          <cell r="K528" t="str">
            <v>https://panda-windows-and-doors.monday.com/protected_static/21046287/resources/2522894252/BP-70M55_20251030_160408.pdf</v>
          </cell>
          <cell r="L528" t="str">
            <v>https://panda-windows-and-doors.monday.com/protected_static/21046287/resources/2522894409/BP-70M55_20251030_160428.pdf</v>
          </cell>
          <cell r="M528" t="str">
            <v/>
          </cell>
          <cell r="N528" t="str">
            <v>https://panda-windows-and-doors.monday.com/protected_static/21046287/resources/2524515761/87887 Deposit Invoice.pdf</v>
          </cell>
          <cell r="O528" t="str">
            <v/>
          </cell>
          <cell r="P528" t="str">
            <v/>
          </cell>
          <cell r="Q528" t="str">
            <v/>
          </cell>
          <cell r="R528" t="str">
            <v>https://panda-windows-and-doors.monday.com/protected_static/21046287/resources/2579688303/GR 5098 Q87887 MEHDI RESIDENCE - CUTLIST (GINERI).pdf, https://panda-windows-and-doors.monday.com/protected_static/21046287/resources/2579688308/GR 5098 Q87887 MEHDI RESIDENCE - OPT.pdf</v>
          </cell>
          <cell r="S528" t="str">
            <v>Completed - Closed Out</v>
          </cell>
          <cell r="T528" t="str">
            <v/>
          </cell>
          <cell r="U528">
            <v>3292</v>
          </cell>
          <cell r="V528">
            <v>3843.42</v>
          </cell>
          <cell r="W528" t="str">
            <v>George Bails Jan 12, 2026 3:32 PM</v>
          </cell>
          <cell r="X528" t="str">
            <v>2025-10-30 00:00</v>
          </cell>
          <cell r="Y528">
            <v>45960</v>
          </cell>
          <cell r="Z528" t="str">
            <v/>
          </cell>
          <cell r="AA528">
            <v>45960</v>
          </cell>
          <cell r="AB528" t="str">
            <v>Annalene Conde Oct 30, 2025 5:03 PM</v>
          </cell>
          <cell r="AC528">
            <v>45961</v>
          </cell>
          <cell r="AD528">
            <v>45965</v>
          </cell>
          <cell r="AE528">
            <v>46008</v>
          </cell>
          <cell r="AF528">
            <v>46008</v>
          </cell>
          <cell r="AG528">
            <v>46010</v>
          </cell>
          <cell r="AH528" t="str">
            <v>Qasim Mehdi</v>
          </cell>
          <cell r="AI528" t="str">
            <v/>
          </cell>
        </row>
        <row r="529">
          <cell r="C529">
            <v>86080</v>
          </cell>
          <cell r="D529" t="str">
            <v/>
          </cell>
          <cell r="E529" t="str">
            <v/>
          </cell>
          <cell r="F529" t="str">
            <v>Final</v>
          </cell>
          <cell r="G529" t="str">
            <v>Final Collected</v>
          </cell>
          <cell r="H529" t="str">
            <v>No</v>
          </cell>
          <cell r="I529" t="str">
            <v>Efrain Zarate, Trevor Benthagen</v>
          </cell>
          <cell r="J529" t="str">
            <v/>
          </cell>
          <cell r="K529" t="str">
            <v>https://panda-windows-and-doors.monday.com/protected_static/21046287/resources/2441417143/Panda Sales Order Zions Discovery Center.pdf</v>
          </cell>
          <cell r="L529" t="str">
            <v>https://panda-windows-and-doors.monday.com/protected_static/21046287/resources/2441418361/smtp.office365.com_20250924_121249.pdf</v>
          </cell>
          <cell r="M529" t="str">
            <v/>
          </cell>
          <cell r="N529" t="str">
            <v>https://panda-windows-and-doors.monday.com/protected_static/21046287/resources/2441555125/86080 Deposit Invoice.pdf</v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>Completed - Closed Out</v>
          </cell>
          <cell r="T529" t="str">
            <v/>
          </cell>
          <cell r="U529">
            <v>6708</v>
          </cell>
          <cell r="V529">
            <v>6708</v>
          </cell>
          <cell r="W529" t="str">
            <v>George Bails Jan 12, 2026 3:27 PM</v>
          </cell>
          <cell r="X529" t="str">
            <v>2025-09-24 00:00</v>
          </cell>
          <cell r="Y529">
            <v>45924</v>
          </cell>
          <cell r="Z529" t="str">
            <v/>
          </cell>
          <cell r="AA529">
            <v>45924</v>
          </cell>
          <cell r="AB529" t="str">
            <v>Jayme Truong Sep 24, 2025 2:46 PM</v>
          </cell>
          <cell r="AC529">
            <v>45924</v>
          </cell>
          <cell r="AD529">
            <v>45936</v>
          </cell>
          <cell r="AE529">
            <v>46009</v>
          </cell>
          <cell r="AF529">
            <v>46009</v>
          </cell>
          <cell r="AG529">
            <v>46010</v>
          </cell>
          <cell r="AH529" t="str">
            <v>STG Windows Door &amp; More</v>
          </cell>
          <cell r="AI529" t="str">
            <v/>
          </cell>
        </row>
        <row r="530">
          <cell r="C530">
            <v>84365</v>
          </cell>
          <cell r="D530" t="str">
            <v/>
          </cell>
          <cell r="E530" t="str">
            <v/>
          </cell>
          <cell r="F530" t="str">
            <v>Final</v>
          </cell>
          <cell r="G530" t="str">
            <v>Final Collected</v>
          </cell>
          <cell r="H530" t="str">
            <v>No</v>
          </cell>
          <cell r="I530" t="str">
            <v>Trevor Benthagen, Efrain Zarate</v>
          </cell>
          <cell r="J530" t="str">
            <v/>
          </cell>
          <cell r="K530" t="str">
            <v>https://panda-windows-and-doors.monday.com/protected_static/21046287/resources/2281617948/smtp.office365.com_20250710_132225.pdf</v>
          </cell>
          <cell r="L530" t="str">
            <v>https://panda-windows-and-doors.monday.com/protected_static/21046287/resources/2281616613/smtp.office365.com_20250710_132243.pdf</v>
          </cell>
          <cell r="M530" t="str">
            <v/>
          </cell>
          <cell r="N530" t="str">
            <v>https://panda-windows-and-doors.monday.com/protected_static/21046287/resources/2282968715/84365 Deposit Invoice.pdf</v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>Completed - Closed Out</v>
          </cell>
          <cell r="T530" t="str">
            <v/>
          </cell>
          <cell r="U530">
            <v>21165</v>
          </cell>
          <cell r="V530">
            <v>21165</v>
          </cell>
          <cell r="W530" t="str">
            <v>George Bails Dec 22, 2025 2:05 PM</v>
          </cell>
          <cell r="X530" t="str">
            <v>2025-07-10 00:00</v>
          </cell>
          <cell r="Y530">
            <v>45848</v>
          </cell>
          <cell r="Z530" t="str">
            <v/>
          </cell>
          <cell r="AA530">
            <v>45848</v>
          </cell>
          <cell r="AB530" t="str">
            <v>Jayme Truong Jul 10, 2025 3:57 PM</v>
          </cell>
          <cell r="AC530">
            <v>45849</v>
          </cell>
          <cell r="AD530">
            <v>45852</v>
          </cell>
          <cell r="AE530" t="str">
            <v/>
          </cell>
          <cell r="AF530">
            <v>45925</v>
          </cell>
          <cell r="AG530">
            <v>46013</v>
          </cell>
          <cell r="AH530" t="str">
            <v>Ruth Brown</v>
          </cell>
          <cell r="AI530" t="str">
            <v/>
          </cell>
        </row>
        <row r="531">
          <cell r="C531">
            <v>86822</v>
          </cell>
          <cell r="D531" t="str">
            <v/>
          </cell>
          <cell r="E531" t="str">
            <v/>
          </cell>
          <cell r="F531" t="str">
            <v>Final</v>
          </cell>
          <cell r="G531" t="str">
            <v>Final Collected</v>
          </cell>
          <cell r="H531" t="str">
            <v>No</v>
          </cell>
          <cell r="I531" t="str">
            <v>Derrick McCall</v>
          </cell>
          <cell r="J531" t="str">
            <v/>
          </cell>
          <cell r="K531" t="str">
            <v>https://panda-windows-and-doors.monday.com/protected_static/21046287/resources/2369300623/QQ#86822 Mumu Del Amo 08202025.pdf</v>
          </cell>
          <cell r="L531" t="str">
            <v>https://panda-windows-and-doors.monday.com/protected_static/21046287/resources/2369301000/Q86822 AB.pdf</v>
          </cell>
          <cell r="M531" t="str">
            <v/>
          </cell>
          <cell r="N531" t="str">
            <v>https://panda-windows-and-doors.monday.com/protected_static/21046287/resources/2369463803/86822 Deposit Invoice.pdf</v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>Completed - Closed Out</v>
          </cell>
          <cell r="T531" t="str">
            <v/>
          </cell>
          <cell r="U531">
            <v>27716</v>
          </cell>
          <cell r="V531">
            <v>32371.22</v>
          </cell>
          <cell r="W531" t="str">
            <v>George Bails Dec 22, 2025 1:52 PM</v>
          </cell>
          <cell r="X531" t="str">
            <v>2025-08-07 00:00</v>
          </cell>
          <cell r="Y531">
            <v>45890</v>
          </cell>
          <cell r="Z531" t="str">
            <v/>
          </cell>
          <cell r="AA531">
            <v>45890</v>
          </cell>
          <cell r="AB531" t="str">
            <v>Jayme Truong Aug 21, 2025 3:40 PM</v>
          </cell>
          <cell r="AC531">
            <v>45890</v>
          </cell>
          <cell r="AD531">
            <v>45891</v>
          </cell>
          <cell r="AE531">
            <v>46010</v>
          </cell>
          <cell r="AF531">
            <v>46010</v>
          </cell>
          <cell r="AG531">
            <v>46013</v>
          </cell>
          <cell r="AH531" t="str">
            <v>Builders Coordinate</v>
          </cell>
          <cell r="AI531" t="str">
            <v/>
          </cell>
        </row>
        <row r="532">
          <cell r="C532">
            <v>84573</v>
          </cell>
          <cell r="D532" t="str">
            <v/>
          </cell>
          <cell r="E532" t="str">
            <v/>
          </cell>
          <cell r="F532" t="str">
            <v>Final</v>
          </cell>
          <cell r="G532" t="str">
            <v>Final Collected</v>
          </cell>
          <cell r="H532" t="str">
            <v>No</v>
          </cell>
          <cell r="I532" t="str">
            <v>Derrick McCall</v>
          </cell>
          <cell r="J532" t="str">
            <v/>
          </cell>
          <cell r="K532" t="str">
            <v>https://panda-windows-and-doors.monday.com/protected_static/21046287/resources/2325345132/Panda_LS_30_signed.pdf</v>
          </cell>
          <cell r="L532" t="str">
            <v>https://panda-windows-and-doors.monday.com/protected_static/21046287/resources/2325345326/Q84573 SB.pdf</v>
          </cell>
          <cell r="M532" t="str">
            <v/>
          </cell>
          <cell r="N532" t="str">
            <v>https://panda-windows-and-doors.monday.com/protected_static/21046287/resources/2326891238/84573 dep invoice.pdf</v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>Completed - Closed Out</v>
          </cell>
          <cell r="T532" t="str">
            <v/>
          </cell>
          <cell r="U532">
            <v>36421</v>
          </cell>
          <cell r="V532">
            <v>36421</v>
          </cell>
          <cell r="W532" t="str">
            <v>George Bails Dec 22, 2025 4:20 PM</v>
          </cell>
          <cell r="X532" t="str">
            <v>2025-07-14 00:00</v>
          </cell>
          <cell r="Y532">
            <v>45869</v>
          </cell>
          <cell r="Z532" t="str">
            <v/>
          </cell>
          <cell r="AA532">
            <v>45869</v>
          </cell>
          <cell r="AB532" t="str">
            <v>Jayme Truong Jul 31, 2025 4:21 PM</v>
          </cell>
          <cell r="AC532">
            <v>45870</v>
          </cell>
          <cell r="AD532">
            <v>45874</v>
          </cell>
          <cell r="AE532">
            <v>46006</v>
          </cell>
          <cell r="AF532">
            <v>46006</v>
          </cell>
          <cell r="AG532">
            <v>46013</v>
          </cell>
          <cell r="AH532" t="str">
            <v>JTG LLC &amp; Pyramid Premier Properties</v>
          </cell>
          <cell r="AI532" t="str">
            <v/>
          </cell>
        </row>
        <row r="533">
          <cell r="C533">
            <v>87123</v>
          </cell>
          <cell r="D533" t="str">
            <v/>
          </cell>
          <cell r="E533" t="str">
            <v/>
          </cell>
          <cell r="F533" t="str">
            <v>Final</v>
          </cell>
          <cell r="G533" t="str">
            <v>Final Collected</v>
          </cell>
          <cell r="H533" t="str">
            <v>No</v>
          </cell>
          <cell r="I533" t="str">
            <v>Spencer Anderson</v>
          </cell>
          <cell r="J533" t="str">
            <v/>
          </cell>
          <cell r="K533" t="str">
            <v>https://panda-windows-and-doors.monday.com/protected_static/21046287/resources/2437793513/Signed Sales Order.pdf</v>
          </cell>
          <cell r="L533" t="str">
            <v>https://panda-windows-and-doors.monday.com/protected_static/21046287/resources/2437793348/Signed Bcker.pdf</v>
          </cell>
          <cell r="M533" t="str">
            <v/>
          </cell>
          <cell r="N533" t="str">
            <v>https://panda-windows-and-doors.monday.com/protected_static/21046287/resources/2437811370/87123 Deposit Invoice.pdf</v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>Completed - Closed Out</v>
          </cell>
          <cell r="T533" t="str">
            <v/>
          </cell>
          <cell r="U533">
            <v>11511.72</v>
          </cell>
          <cell r="V533">
            <v>13876.28</v>
          </cell>
          <cell r="W533" t="str">
            <v>George Bails Dec 29, 2025 10:04 AM</v>
          </cell>
          <cell r="X533" t="str">
            <v/>
          </cell>
          <cell r="Y533">
            <v>45923</v>
          </cell>
          <cell r="Z533" t="str">
            <v/>
          </cell>
          <cell r="AA533">
            <v>45923</v>
          </cell>
          <cell r="AB533" t="str">
            <v>Annalene Conde Sep 23, 2025 8:43 AM</v>
          </cell>
          <cell r="AC533">
            <v>45923</v>
          </cell>
          <cell r="AD533">
            <v>45929</v>
          </cell>
          <cell r="AE533">
            <v>46007</v>
          </cell>
          <cell r="AF533">
            <v>46007</v>
          </cell>
          <cell r="AG533">
            <v>46014</v>
          </cell>
          <cell r="AH533" t="str">
            <v>Kyle Woodruff</v>
          </cell>
          <cell r="AI533" t="str">
            <v/>
          </cell>
        </row>
        <row r="534">
          <cell r="C534">
            <v>87418</v>
          </cell>
          <cell r="D534" t="str">
            <v/>
          </cell>
          <cell r="E534" t="str">
            <v/>
          </cell>
          <cell r="F534" t="str">
            <v>Final</v>
          </cell>
          <cell r="G534" t="str">
            <v>Final Collected</v>
          </cell>
          <cell r="H534" t="str">
            <v>No</v>
          </cell>
          <cell r="I534" t="str">
            <v>Spencer Anderson</v>
          </cell>
          <cell r="J534" t="str">
            <v/>
          </cell>
          <cell r="K534" t="str">
            <v>https://panda-windows-and-doors.monday.com/protected_static/21046287/resources/2512032213/20251024145344339.pdf</v>
          </cell>
          <cell r="L534" t="str">
            <v>https://panda-windows-and-doors.monday.com/protected_static/21046287/resources/2512035948/smtp.office365.com_20251027_054357.pdf</v>
          </cell>
          <cell r="M534" t="str">
            <v/>
          </cell>
          <cell r="N534" t="str">
            <v>https://panda-windows-and-doors.monday.com/protected_static/21046287/resources/2513689402/87418 Deposit Invoice.pdf</v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>Completed - Closed Out</v>
          </cell>
          <cell r="T534" t="str">
            <v/>
          </cell>
          <cell r="U534">
            <v>4425</v>
          </cell>
          <cell r="V534">
            <v>5810</v>
          </cell>
          <cell r="W534" t="str">
            <v>George Bails Dec 29, 2025 10:06 AM</v>
          </cell>
          <cell r="X534" t="str">
            <v/>
          </cell>
          <cell r="Y534">
            <v>45957</v>
          </cell>
          <cell r="Z534" t="str">
            <v/>
          </cell>
          <cell r="AA534">
            <v>45957</v>
          </cell>
          <cell r="AB534" t="str">
            <v>Annalene Conde Oct 27, 2025 8:24 AM</v>
          </cell>
          <cell r="AC534">
            <v>45957</v>
          </cell>
          <cell r="AD534">
            <v>45964</v>
          </cell>
          <cell r="AE534">
            <v>46007</v>
          </cell>
          <cell r="AF534">
            <v>46007</v>
          </cell>
          <cell r="AG534">
            <v>46014</v>
          </cell>
          <cell r="AH534" t="str">
            <v>Kyle Woodruff</v>
          </cell>
          <cell r="AI534" t="str">
            <v/>
          </cell>
        </row>
        <row r="535">
          <cell r="C535">
            <v>81264</v>
          </cell>
          <cell r="D535" t="str">
            <v/>
          </cell>
          <cell r="E535" t="str">
            <v/>
          </cell>
          <cell r="F535" t="str">
            <v>Final</v>
          </cell>
          <cell r="G535" t="str">
            <v>Final Collected</v>
          </cell>
          <cell r="H535" t="str">
            <v>No</v>
          </cell>
          <cell r="I535" t="str">
            <v>Derrick McCall</v>
          </cell>
          <cell r="J535" t="str">
            <v/>
          </cell>
          <cell r="K535" t="str">
            <v>https://panda-windows-and-doors.monday.com/protected_static/21046287/resources/2259272423/QQ #81264 - Desert Meadows - 06262025.pdf</v>
          </cell>
          <cell r="L535" t="str">
            <v>https://panda-windows-and-doors.monday.com/protected_static/21046287/resources/2259272815/Q81264.pdf</v>
          </cell>
          <cell r="M535" t="str">
            <v/>
          </cell>
          <cell r="N535" t="str">
            <v>https://panda-windows-and-doors.monday.com/protected_static/21046287/resources/2259948979/81264 Deposit Invoice.pdf</v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>Completed - Closed Out</v>
          </cell>
          <cell r="T535" t="str">
            <v/>
          </cell>
          <cell r="U535">
            <v>16000</v>
          </cell>
          <cell r="V535">
            <v>15786</v>
          </cell>
          <cell r="W535" t="str">
            <v>Annalene Conde Dec 24, 2025 9:27 AM</v>
          </cell>
          <cell r="X535" t="str">
            <v>2025-06-30 00:00</v>
          </cell>
          <cell r="Y535">
            <v>45838</v>
          </cell>
          <cell r="Z535" t="str">
            <v/>
          </cell>
          <cell r="AA535">
            <v>45838</v>
          </cell>
          <cell r="AB535" t="str">
            <v>Jayme Truong Jun 30, 2025 11:41 AM</v>
          </cell>
          <cell r="AC535">
            <v>45838</v>
          </cell>
          <cell r="AD535">
            <v>45904</v>
          </cell>
          <cell r="AE535">
            <v>45982</v>
          </cell>
          <cell r="AF535">
            <v>45982</v>
          </cell>
          <cell r="AG535">
            <v>46015</v>
          </cell>
          <cell r="AH535" t="str">
            <v>Kern Glass &amp; Aluminum</v>
          </cell>
          <cell r="AI535" t="str">
            <v/>
          </cell>
        </row>
        <row r="536">
          <cell r="C536">
            <v>87147</v>
          </cell>
          <cell r="D536" t="str">
            <v/>
          </cell>
          <cell r="E536" t="str">
            <v/>
          </cell>
          <cell r="F536" t="str">
            <v>Final</v>
          </cell>
          <cell r="G536" t="str">
            <v>Final Collected</v>
          </cell>
          <cell r="H536" t="str">
            <v>No</v>
          </cell>
          <cell r="I536" t="str">
            <v>Trevor Benthagen, Efrain Zarate</v>
          </cell>
          <cell r="J536" t="str">
            <v/>
          </cell>
          <cell r="K536" t="str">
            <v>https://panda-windows-and-doors.monday.com/protected_static/21046287/resources/2428856995/smtp.office365.com_20250918_075141.pdf</v>
          </cell>
          <cell r="L536" t="str">
            <v>https://panda-windows-and-doors.monday.com/protected_static/21046287/resources/2428856484/smtp.office365.com_20250918_075154.pdf</v>
          </cell>
          <cell r="M536" t="str">
            <v/>
          </cell>
          <cell r="N536" t="str">
            <v>https://panda-windows-and-doors.monday.com/protected_static/21046287/resources/2429675220/87147 Deposit Invoice.pdf</v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>Completed - Closed Out</v>
          </cell>
          <cell r="T536" t="str">
            <v/>
          </cell>
          <cell r="U536">
            <v>4011</v>
          </cell>
          <cell r="V536">
            <v>4682.84</v>
          </cell>
          <cell r="W536" t="str">
            <v>George Bails Dec 29, 2025 8:47 AM</v>
          </cell>
          <cell r="X536" t="str">
            <v>2025-09-18 00:00</v>
          </cell>
          <cell r="Y536">
            <v>45918</v>
          </cell>
          <cell r="Z536" t="str">
            <v/>
          </cell>
          <cell r="AA536">
            <v>45918</v>
          </cell>
          <cell r="AB536" t="str">
            <v>Jayme Truong Sep 18, 2025 11:02 AM</v>
          </cell>
          <cell r="AC536">
            <v>45918</v>
          </cell>
          <cell r="AD536">
            <v>45919</v>
          </cell>
          <cell r="AE536">
            <v>45993</v>
          </cell>
          <cell r="AF536">
            <v>45993</v>
          </cell>
          <cell r="AG536">
            <v>46015</v>
          </cell>
          <cell r="AH536" t="str">
            <v>Brandon Damati</v>
          </cell>
          <cell r="AI536" t="str">
            <v/>
          </cell>
        </row>
        <row r="537">
          <cell r="C537">
            <v>87299</v>
          </cell>
          <cell r="D537" t="str">
            <v/>
          </cell>
          <cell r="E537" t="str">
            <v/>
          </cell>
          <cell r="F537" t="str">
            <v>Final</v>
          </cell>
          <cell r="G537" t="str">
            <v>Final Collected</v>
          </cell>
          <cell r="H537" t="str">
            <v>⚠️ Expedited</v>
          </cell>
          <cell r="I537" t="str">
            <v>Luke Valles</v>
          </cell>
          <cell r="J537" t="str">
            <v/>
          </cell>
          <cell r="K537" t="str">
            <v>https://panda-windows-and-doors.monday.com/protected_static/21046287/resources/2446321779/87299 Fello Community Hub_Signed.pdf</v>
          </cell>
          <cell r="L537" t="str">
            <v>https://panda-windows-and-doors.monday.com/protected_static/21046287/resources/2446322586/Fello Community Hub Signed Backer.pdf</v>
          </cell>
          <cell r="M537" t="str">
            <v/>
          </cell>
          <cell r="N537" t="str">
            <v>https://panda-windows-and-doors.monday.com/protected_static/21046287/resources/2447045476/87299 Deposit Invoice.pdf</v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>Completed - Closed Out</v>
          </cell>
          <cell r="T537" t="str">
            <v/>
          </cell>
          <cell r="U537">
            <v>27998</v>
          </cell>
          <cell r="V537">
            <v>15407</v>
          </cell>
          <cell r="W537" t="str">
            <v>Annalene Conde Dec 29, 2025 7:45 AM</v>
          </cell>
          <cell r="X537" t="str">
            <v>2025-09-11 06:51</v>
          </cell>
          <cell r="Y537">
            <v>45926</v>
          </cell>
          <cell r="Z537" t="str">
            <v/>
          </cell>
          <cell r="AA537">
            <v>45926</v>
          </cell>
          <cell r="AB537" t="str">
            <v>Jayme Truong Sep 26, 2025 11:58 AM</v>
          </cell>
          <cell r="AC537">
            <v>45926</v>
          </cell>
          <cell r="AD537">
            <v>45931</v>
          </cell>
          <cell r="AE537">
            <v>46013</v>
          </cell>
          <cell r="AF537">
            <v>46014</v>
          </cell>
          <cell r="AG537">
            <v>46020</v>
          </cell>
          <cell r="AH537" t="str">
            <v>Erin Schuettler</v>
          </cell>
          <cell r="AI537" t="str">
            <v/>
          </cell>
        </row>
        <row r="538">
          <cell r="C538">
            <v>86049</v>
          </cell>
          <cell r="D538">
            <v>45926</v>
          </cell>
          <cell r="E538" t="str">
            <v/>
          </cell>
          <cell r="F538" t="str">
            <v>Final</v>
          </cell>
          <cell r="G538" t="str">
            <v>Final Collected</v>
          </cell>
          <cell r="H538" t="str">
            <v>No</v>
          </cell>
          <cell r="I538" t="str">
            <v>Derrick McCall</v>
          </cell>
          <cell r="J538" t="str">
            <v/>
          </cell>
          <cell r="K538" t="str">
            <v>https://panda-windows-and-doors.monday.com/protected_static/21046287/resources/2333200321/QQ_86049 5020 Weke Rd 06182025 (1).pdf</v>
          </cell>
          <cell r="L538" t="str">
            <v>https://panda-windows-and-doors.monday.com/protected_static/21046287/resources/2333201677/Q86049 SB.pdf</v>
          </cell>
          <cell r="M538" t="str">
            <v/>
          </cell>
          <cell r="N538" t="str">
            <v>https://panda-windows-and-doors.monday.com/protected_static/21046287/resources/2333911078/86049 Deposit Invoice.pdf, https://panda-windows-and-doors.monday.com/protected_static/21046287/resources/2446279882/86049 DEPOSIT INVOICE CO 1.pdf</v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>Completed - Closed Out</v>
          </cell>
          <cell r="T538" t="str">
            <v/>
          </cell>
          <cell r="U538">
            <v>26536</v>
          </cell>
          <cell r="V538">
            <v>38526.58</v>
          </cell>
          <cell r="W538" t="str">
            <v>Annalene Conde Dec 29, 2025 8:03 AM</v>
          </cell>
          <cell r="X538" t="str">
            <v>2025-06-13 00:00</v>
          </cell>
          <cell r="Y538">
            <v>45874</v>
          </cell>
          <cell r="Z538" t="str">
            <v/>
          </cell>
          <cell r="AA538">
            <v>45874</v>
          </cell>
          <cell r="AB538" t="str">
            <v>Jayme Truong Aug 5, 2025 9:21 AM</v>
          </cell>
          <cell r="AC538">
            <v>45874</v>
          </cell>
          <cell r="AD538">
            <v>45890</v>
          </cell>
          <cell r="AE538">
            <v>46006</v>
          </cell>
          <cell r="AF538">
            <v>46006</v>
          </cell>
          <cell r="AG538">
            <v>46020</v>
          </cell>
          <cell r="AH538" t="str">
            <v>Williams Construction</v>
          </cell>
          <cell r="AI538">
            <v>45926</v>
          </cell>
        </row>
        <row r="539">
          <cell r="C539">
            <v>83766</v>
          </cell>
          <cell r="D539">
            <v>45796</v>
          </cell>
          <cell r="E539" t="str">
            <v/>
          </cell>
          <cell r="F539" t="str">
            <v>Final</v>
          </cell>
          <cell r="G539" t="str">
            <v>Final Collected</v>
          </cell>
          <cell r="H539" t="str">
            <v>No</v>
          </cell>
          <cell r="I539" t="str">
            <v>Efrain Zarate, Trevor Benthagen</v>
          </cell>
          <cell r="J539" t="str">
            <v/>
          </cell>
          <cell r="K539" t="str">
            <v>https://panda-windows-and-doors.monday.com/protected_static/21046287/resources/1946496600/smtp.office365.com_20250207_104015.pdf, https://panda-windows-and-doors.monday.com/protected_static/21046287/resources/1946496908/smtp.office365.com_20250207_103852.pdf</v>
          </cell>
          <cell r="L539" t="str">
            <v>https://panda-windows-and-doors.monday.com/protected_static/21046287/resources/2083314475/smtp.office365.com_20250207_103852.pdf</v>
          </cell>
          <cell r="M539" t="str">
            <v/>
          </cell>
          <cell r="N539" t="str">
            <v>https://panda-windows-and-doors.monday.com/protected_static/21046287/resources/1946829170/83766 Deposit Invoice.pdf, https://panda-windows-and-doors.monday.com/protected_static/21046287/resources/2152453222/83766 Deposit Invoice CO 1.pdf</v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>Completed - Closed Out</v>
          </cell>
          <cell r="T539" t="str">
            <v/>
          </cell>
          <cell r="U539">
            <v>31708</v>
          </cell>
          <cell r="V539">
            <v>31708</v>
          </cell>
          <cell r="W539" t="str">
            <v>George Bails Dec 31, 2025 3:58 PM</v>
          </cell>
          <cell r="X539" t="str">
            <v>2025-02-06 00:00</v>
          </cell>
          <cell r="Y539">
            <v>45695</v>
          </cell>
          <cell r="Z539" t="str">
            <v/>
          </cell>
          <cell r="AA539">
            <v>45796</v>
          </cell>
          <cell r="AB539" t="str">
            <v>Jayme Truong Feb 7, 2025 1:22 PM</v>
          </cell>
          <cell r="AC539">
            <v>45695</v>
          </cell>
          <cell r="AD539">
            <v>45715</v>
          </cell>
          <cell r="AE539">
            <v>46002</v>
          </cell>
          <cell r="AF539">
            <v>46002</v>
          </cell>
          <cell r="AG539">
            <v>46021</v>
          </cell>
          <cell r="AH539" t="str">
            <v>EAP Glass</v>
          </cell>
          <cell r="AI539">
            <v>45796</v>
          </cell>
        </row>
        <row r="540">
          <cell r="C540">
            <v>85377</v>
          </cell>
          <cell r="D540" t="str">
            <v/>
          </cell>
          <cell r="E540" t="str">
            <v/>
          </cell>
          <cell r="F540" t="str">
            <v>Final</v>
          </cell>
          <cell r="G540" t="str">
            <v>Final Collected</v>
          </cell>
          <cell r="H540" t="str">
            <v>No</v>
          </cell>
          <cell r="I540" t="str">
            <v>Efrain Zarate, Trevor Benthagen</v>
          </cell>
          <cell r="J540" t="str">
            <v/>
          </cell>
          <cell r="K540" t="str">
            <v>https://panda-windows-and-doors.monday.com/protected_static/21046287/resources/2398950822/Q85377 SIGNED SALES ORDER.pdf</v>
          </cell>
          <cell r="L540" t="str">
            <v>https://panda-windows-and-doors.monday.com/protected_static/21046287/resources/2398951033/Q85377 SIGNED BACKER.pdf</v>
          </cell>
          <cell r="M540" t="str">
            <v/>
          </cell>
          <cell r="N540" t="str">
            <v>https://panda-windows-and-doors.monday.com/protected_static/21046287/resources/2401124237/85377 Deposit Invoice.pdf</v>
          </cell>
          <cell r="O540" t="str">
            <v/>
          </cell>
          <cell r="P540" t="str">
            <v/>
          </cell>
          <cell r="Q540" t="str">
            <v/>
          </cell>
          <cell r="R540" t="str">
            <v>https://panda-windows-and-doors.monday.com/protected_static/21046287/resources/2287688110/Giroux Glass Tax Exemption Certificate 3-1-2021.pdf</v>
          </cell>
          <cell r="S540" t="str">
            <v>Completed - Closed Out</v>
          </cell>
          <cell r="T540" t="str">
            <v/>
          </cell>
          <cell r="U540">
            <v>13454</v>
          </cell>
          <cell r="V540">
            <v>13454</v>
          </cell>
          <cell r="W540" t="str">
            <v>George Bails Dec 31, 2025 4:02 PM</v>
          </cell>
          <cell r="X540" t="str">
            <v>2025-05-02 09:00</v>
          </cell>
          <cell r="Y540">
            <v>45904</v>
          </cell>
          <cell r="Z540" t="str">
            <v/>
          </cell>
          <cell r="AA540">
            <v>45904</v>
          </cell>
          <cell r="AB540" t="str">
            <v>Jayme Truong Sep 4, 2025 4:05 PM</v>
          </cell>
          <cell r="AC540">
            <v>45905</v>
          </cell>
          <cell r="AD540">
            <v>45912</v>
          </cell>
          <cell r="AE540">
            <v>46010</v>
          </cell>
          <cell r="AF540">
            <v>46010</v>
          </cell>
          <cell r="AG540">
            <v>46022</v>
          </cell>
          <cell r="AH540" t="str">
            <v>Giroux Glass</v>
          </cell>
          <cell r="AI540" t="str">
            <v/>
          </cell>
        </row>
        <row r="541">
          <cell r="C541">
            <v>86764</v>
          </cell>
          <cell r="D541" t="str">
            <v/>
          </cell>
          <cell r="E541" t="str">
            <v/>
          </cell>
          <cell r="F541" t="str">
            <v>Final</v>
          </cell>
          <cell r="G541" t="str">
            <v>Final Collected</v>
          </cell>
          <cell r="H541" t="str">
            <v>No</v>
          </cell>
          <cell r="I541" t="str">
            <v>Tyler Clark</v>
          </cell>
          <cell r="J541" t="str">
            <v/>
          </cell>
          <cell r="K541" t="str">
            <v>https://panda-windows-and-doors.monday.com/protected_static/21046287/resources/2449840050/QQ86764 Tang Door Signed SO.pdf</v>
          </cell>
          <cell r="L541" t="str">
            <v>https://panda-windows-and-doors.monday.com/protected_static/21046287/resources/2449838534/QQ86764 Tang Door Signed Backer.pdf</v>
          </cell>
          <cell r="M541" t="str">
            <v/>
          </cell>
          <cell r="N541" t="str">
            <v>https://panda-windows-and-doors.monday.com/protected_static/21046287/resources/2451124694/86764 Deposit Invoice.pdf</v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>Completed - Closed Out</v>
          </cell>
          <cell r="T541" t="str">
            <v/>
          </cell>
          <cell r="U541">
            <v>5391</v>
          </cell>
          <cell r="V541">
            <v>6412.56</v>
          </cell>
          <cell r="W541" t="str">
            <v>George Bails Dec 31, 2025 4:11 PM</v>
          </cell>
          <cell r="X541" t="str">
            <v>2025-08-03 16:58</v>
          </cell>
          <cell r="Y541">
            <v>45929</v>
          </cell>
          <cell r="Z541" t="str">
            <v/>
          </cell>
          <cell r="AA541">
            <v>45929</v>
          </cell>
          <cell r="AB541" t="str">
            <v>Jayme Truong Sep 29, 2025 8:56 AM</v>
          </cell>
          <cell r="AC541">
            <v>45929</v>
          </cell>
          <cell r="AD541">
            <v>45931</v>
          </cell>
          <cell r="AE541">
            <v>45982</v>
          </cell>
          <cell r="AF541">
            <v>45982</v>
          </cell>
          <cell r="AG541">
            <v>46022</v>
          </cell>
          <cell r="AH541" t="str">
            <v>Melody Tang</v>
          </cell>
          <cell r="AI541" t="str">
            <v/>
          </cell>
        </row>
        <row r="542">
          <cell r="C542">
            <v>87330</v>
          </cell>
          <cell r="D542" t="str">
            <v/>
          </cell>
          <cell r="E542" t="str">
            <v/>
          </cell>
          <cell r="F542" t="str">
            <v>Final</v>
          </cell>
          <cell r="G542" t="str">
            <v>Final Collected</v>
          </cell>
          <cell r="H542" t="str">
            <v>No</v>
          </cell>
          <cell r="I542" t="str">
            <v>Trevor Benthagen, Efrain Zarate</v>
          </cell>
          <cell r="J542" t="str">
            <v/>
          </cell>
          <cell r="K542" t="str">
            <v>https://panda-windows-and-doors.monday.com/protected_static/21046287/resources/2435505600/Brown Res Panda Door Add.pdf, https://panda-windows-and-doors.monday.com/protected_static/21046287/resources/2435529607/smtp.office365.com_20250922_103508.pdf</v>
          </cell>
          <cell r="L542" t="str">
            <v>https://panda-windows-and-doors.monday.com/protected_static/21046287/resources/2435529017/smtp.office365.com_20250922_103519.pdf</v>
          </cell>
          <cell r="M542" t="str">
            <v/>
          </cell>
          <cell r="N542" t="str">
            <v>https://panda-windows-and-doors.monday.com/protected_static/21046287/resources/2454751577/87330 Deposit Invoice.pdf</v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>Completed - Closed Out</v>
          </cell>
          <cell r="T542" t="str">
            <v/>
          </cell>
          <cell r="U542">
            <v>14535</v>
          </cell>
          <cell r="V542">
            <v>14535</v>
          </cell>
          <cell r="W542" t="str">
            <v>George Bails Jan 8, 2026 4:12 PM</v>
          </cell>
          <cell r="X542" t="str">
            <v>2025-09-15 00:00</v>
          </cell>
          <cell r="Y542">
            <v>45922</v>
          </cell>
          <cell r="Z542" t="str">
            <v/>
          </cell>
          <cell r="AA542">
            <v>45922</v>
          </cell>
          <cell r="AB542" t="str">
            <v>Jayme Truong Sep 22, 2025 1:10 PM</v>
          </cell>
          <cell r="AC542">
            <v>45922</v>
          </cell>
          <cell r="AD542">
            <v>45932</v>
          </cell>
          <cell r="AE542">
            <v>46009</v>
          </cell>
          <cell r="AF542">
            <v>46009</v>
          </cell>
          <cell r="AG542">
            <v>46028</v>
          </cell>
          <cell r="AH542" t="str">
            <v>Hardman Glazing Management, LLC</v>
          </cell>
          <cell r="AI542" t="str">
            <v/>
          </cell>
        </row>
        <row r="543">
          <cell r="C543">
            <v>85822</v>
          </cell>
          <cell r="D543" t="str">
            <v/>
          </cell>
          <cell r="E543" t="str">
            <v/>
          </cell>
          <cell r="F543" t="str">
            <v>Final</v>
          </cell>
          <cell r="G543" t="str">
            <v>Final Collected</v>
          </cell>
          <cell r="H543" t="str">
            <v>No</v>
          </cell>
          <cell r="I543" t="str">
            <v>Luke Valles</v>
          </cell>
          <cell r="J543" t="str">
            <v/>
          </cell>
          <cell r="K543" t="str">
            <v>https://panda-windows-and-doors.monday.com/protected_static/21046287/resources/2275270099/QQ #85822 Wenwood Project Pivot Door 060225.pdf</v>
          </cell>
          <cell r="L543" t="str">
            <v>https://panda-windows-and-doors.monday.com/protected_static/21046287/resources/2556747272/85822 Wenwood Signed backer.pdf</v>
          </cell>
          <cell r="M543" t="str">
            <v/>
          </cell>
          <cell r="N543" t="str">
            <v>https://panda-windows-and-doors.monday.com/protected_static/21046287/resources/2280294288/85822 Deposit Invoice.pdf</v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>Completed - Closed Out</v>
          </cell>
          <cell r="T543" t="str">
            <v/>
          </cell>
          <cell r="U543">
            <v>13496</v>
          </cell>
          <cell r="V543">
            <v>15551.3</v>
          </cell>
          <cell r="W543" t="str">
            <v>George Bails Jan 8, 2026 3:23 PM</v>
          </cell>
          <cell r="X543" t="str">
            <v>2025-03-27 12:26</v>
          </cell>
          <cell r="Y543">
            <v>45847</v>
          </cell>
          <cell r="Z543" t="str">
            <v/>
          </cell>
          <cell r="AA543">
            <v>45847</v>
          </cell>
          <cell r="AB543" t="str">
            <v>Jayme Truong Jul 9, 2025 2:59 PM</v>
          </cell>
          <cell r="AC543">
            <v>45848</v>
          </cell>
          <cell r="AD543">
            <v>45848</v>
          </cell>
          <cell r="AE543">
            <v>46010</v>
          </cell>
          <cell r="AF543">
            <v>46010</v>
          </cell>
          <cell r="AG543">
            <v>46028</v>
          </cell>
          <cell r="AH543" t="str">
            <v>Laurie Dalia</v>
          </cell>
          <cell r="AI543" t="str">
            <v/>
          </cell>
        </row>
        <row r="544">
          <cell r="C544">
            <v>85475</v>
          </cell>
          <cell r="D544" t="str">
            <v/>
          </cell>
          <cell r="E544" t="str">
            <v/>
          </cell>
          <cell r="F544" t="str">
            <v>Final</v>
          </cell>
          <cell r="G544" t="str">
            <v>Final Collected</v>
          </cell>
          <cell r="H544" t="str">
            <v>No</v>
          </cell>
          <cell r="I544" t="str">
            <v>Derrick McCall</v>
          </cell>
          <cell r="J544" t="str">
            <v/>
          </cell>
          <cell r="K544" t="str">
            <v>https://panda-windows-and-doors.monday.com/protected_static/21046287/resources/2451096266/Panda 85475 Sign Off Vitella 09292025.pdf, https://panda-windows-and-doors.monday.com/protected_static/21046287/resources/2451125043/QQ#85475 Vitella 09242025.pdf</v>
          </cell>
          <cell r="L544" t="str">
            <v>https://panda-windows-and-doors.monday.com/protected_static/21046287/resources/2451095387/Q85475 Approved Backer.pdf, https://panda-windows-and-doors.monday.com/protected_static/21046287/resources/2454096219/G17 For Panda.pdf</v>
          </cell>
          <cell r="M544" t="str">
            <v/>
          </cell>
          <cell r="N544" t="str">
            <v>https://panda-windows-and-doors.monday.com/protected_static/21046287/resources/2453872421/85475 Deposit Invoice.pdf</v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>Completed - Closed Out</v>
          </cell>
          <cell r="T544" t="str">
            <v/>
          </cell>
          <cell r="U544">
            <v>14000</v>
          </cell>
          <cell r="V544">
            <v>13625</v>
          </cell>
          <cell r="W544" t="str">
            <v>George Bails Jan 8, 2026 2:23 PM</v>
          </cell>
          <cell r="X544" t="str">
            <v>2025-09-25 00:00</v>
          </cell>
          <cell r="Y544">
            <v>45929</v>
          </cell>
          <cell r="Z544" t="str">
            <v/>
          </cell>
          <cell r="AA544">
            <v>45929</v>
          </cell>
          <cell r="AB544" t="str">
            <v>Jayme Truong Sep 29, 2025 3:41 PM</v>
          </cell>
          <cell r="AC544">
            <v>45930</v>
          </cell>
          <cell r="AD544">
            <v>45931</v>
          </cell>
          <cell r="AE544" t="str">
            <v/>
          </cell>
          <cell r="AF544">
            <v>46027</v>
          </cell>
          <cell r="AG544">
            <v>46028</v>
          </cell>
          <cell r="AH544" t="str">
            <v>Cadowin, Inc</v>
          </cell>
          <cell r="AI544" t="str">
            <v/>
          </cell>
        </row>
        <row r="545">
          <cell r="C545">
            <v>85617</v>
          </cell>
          <cell r="D545" t="str">
            <v/>
          </cell>
          <cell r="E545" t="str">
            <v/>
          </cell>
          <cell r="F545" t="str">
            <v>Final</v>
          </cell>
          <cell r="G545" t="str">
            <v>Final Collected</v>
          </cell>
          <cell r="H545" t="str">
            <v>No</v>
          </cell>
          <cell r="I545" t="str">
            <v>Sean Torre</v>
          </cell>
          <cell r="J545" t="str">
            <v/>
          </cell>
          <cell r="K545" t="str">
            <v>https://panda-windows-and-doors.monday.com/protected_static/21046287/resources/2416724589/Signed Order 85617  PO# 20601 JOB# 8926 Grasso &amp; Sons 3547 Haynie Ave 091225.pdf</v>
          </cell>
          <cell r="L545" t="str">
            <v>https://panda-windows-and-doors.monday.com/protected_static/21046287/resources/2416725629/CamScanner 9-12-25 10.16.pdf</v>
          </cell>
          <cell r="M545" t="str">
            <v/>
          </cell>
          <cell r="N545" t="str">
            <v>https://panda-windows-and-doors.monday.com/protected_static/21046287/resources/2417341826/85617 Deposit Invoice.pdf</v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>Completed - Closed Out</v>
          </cell>
          <cell r="T545" t="str">
            <v/>
          </cell>
          <cell r="U545">
            <v>16150</v>
          </cell>
          <cell r="V545">
            <v>16150</v>
          </cell>
          <cell r="W545" t="str">
            <v>George Bails Jan 8, 2026 3:40 PM</v>
          </cell>
          <cell r="X545" t="str">
            <v>2025-08-08 00:00</v>
          </cell>
          <cell r="Y545">
            <v>45912</v>
          </cell>
          <cell r="Z545" t="str">
            <v/>
          </cell>
          <cell r="AA545">
            <v>45912</v>
          </cell>
          <cell r="AB545" t="str">
            <v>Jayme Truong Sep 12, 2025 11:35 AM</v>
          </cell>
          <cell r="AC545">
            <v>45912</v>
          </cell>
          <cell r="AD545">
            <v>45915</v>
          </cell>
          <cell r="AE545">
            <v>46027</v>
          </cell>
          <cell r="AF545">
            <v>46027</v>
          </cell>
          <cell r="AG545">
            <v>46029</v>
          </cell>
          <cell r="AH545" t="str">
            <v>WindowCraft</v>
          </cell>
          <cell r="AI545" t="str">
            <v/>
          </cell>
        </row>
        <row r="546">
          <cell r="C546">
            <v>87670</v>
          </cell>
          <cell r="D546" t="str">
            <v/>
          </cell>
          <cell r="E546" t="str">
            <v/>
          </cell>
          <cell r="F546" t="str">
            <v>Final</v>
          </cell>
          <cell r="G546" t="str">
            <v>Final Collected</v>
          </cell>
          <cell r="H546" t="str">
            <v>No</v>
          </cell>
          <cell r="I546" t="str">
            <v>Spencer Anderson</v>
          </cell>
          <cell r="J546" t="str">
            <v/>
          </cell>
          <cell r="K546" t="str">
            <v>https://panda-windows-and-doors.monday.com/protected_static/21046287/resources/2497825583/QQ #87670 - SPW_Pinto Shower Window - Signed 85103081.pdf</v>
          </cell>
          <cell r="L546" t="str">
            <v>https://panda-windows-and-doors.monday.com/protected_static/21046287/resources/2497826740/Signed Backer.pdf</v>
          </cell>
          <cell r="M546" t="str">
            <v/>
          </cell>
          <cell r="N546" t="str">
            <v>https://panda-windows-and-doors.monday.com/protected_static/21046287/resources/2500656462/87670 Deposit INvoice.pdf</v>
          </cell>
          <cell r="O546" t="str">
            <v/>
          </cell>
          <cell r="P546" t="str">
            <v/>
          </cell>
          <cell r="Q546" t="str">
            <v/>
          </cell>
          <cell r="R546" t="str">
            <v>https://panda-windows-and-doors.monday.com/protected_static/21046287/resources/2568586554/MF 5102 Q87670 PINTO SHOWER WINDOW - B.O.M.pdf, https://panda-windows-and-doors.monday.com/protected_static/21046287/resources/2568586549/MF 5102 Q87670 PINTO SHOWER WINDOW - CUTLIST (GINERI).pdf, https://panda-windows-and-doors.monday.com/protected_static/21046287/resources/2568586548/MF 5102 Q87670 PINTO SHOWER WINDOW - OPT.pdf</v>
          </cell>
          <cell r="S546" t="str">
            <v>Completed - Closed Out</v>
          </cell>
          <cell r="T546" t="str">
            <v/>
          </cell>
          <cell r="U546">
            <v>863.28</v>
          </cell>
          <cell r="V546">
            <v>879.72</v>
          </cell>
          <cell r="W546" t="str">
            <v>George Bails Jan 8, 2026 3:12 PM</v>
          </cell>
          <cell r="X546" t="str">
            <v/>
          </cell>
          <cell r="Y546">
            <v>45950</v>
          </cell>
          <cell r="Z546" t="str">
            <v/>
          </cell>
          <cell r="AA546">
            <v>45951</v>
          </cell>
          <cell r="AB546" t="str">
            <v>Annalene Conde Oct 20, 2025 3:09 PM</v>
          </cell>
          <cell r="AC546">
            <v>45951</v>
          </cell>
          <cell r="AD546">
            <v>45958</v>
          </cell>
          <cell r="AE546">
            <v>46021</v>
          </cell>
          <cell r="AF546">
            <v>46022</v>
          </cell>
          <cell r="AG546">
            <v>46029</v>
          </cell>
          <cell r="AH546" t="str">
            <v>Lyle Belnap</v>
          </cell>
          <cell r="AI546" t="str">
            <v/>
          </cell>
        </row>
        <row r="547">
          <cell r="C547">
            <v>87796</v>
          </cell>
          <cell r="D547" t="str">
            <v/>
          </cell>
          <cell r="E547" t="str">
            <v/>
          </cell>
          <cell r="F547" t="str">
            <v>Final</v>
          </cell>
          <cell r="G547" t="str">
            <v>Final Collected</v>
          </cell>
          <cell r="H547" t="str">
            <v>⚠️ Expedited</v>
          </cell>
          <cell r="I547" t="str">
            <v>Derrick McCall</v>
          </cell>
          <cell r="J547" t="str">
            <v/>
          </cell>
          <cell r="K547" t="str">
            <v>https://panda-windows-and-doors.monday.com/protected_static/21046287/resources/2499878619/QQ#87796 Lululemon - Fashion Valley  10162025 Rev2.pdf</v>
          </cell>
          <cell r="L547" t="str">
            <v>https://panda-windows-and-doors.monday.com/protected_static/21046287/resources/2499879322/smtp.office365.com_20251021_063241.pdf, https://panda-windows-and-doors.monday.com/protected_static/21046287/resources/2553206503/BP-70M55_20251113_102705.pdf</v>
          </cell>
          <cell r="M547" t="str">
            <v/>
          </cell>
          <cell r="N547" t="str">
            <v>https://panda-windows-and-doors.monday.com/protected_static/21046287/resources/2500698774/87796 deposit invoice.pdf</v>
          </cell>
          <cell r="O547" t="str">
            <v/>
          </cell>
          <cell r="P547" t="str">
            <v/>
          </cell>
          <cell r="Q547" t="str">
            <v/>
          </cell>
          <cell r="R547" t="str">
            <v>https://panda-windows-and-doors.monday.com/protected_static/21046287/resources/2551126283/MF 5093 Q87796 LULU - B.O.M.pdf, https://panda-windows-and-doors.monday.com/protected_static/21046287/resources/2551126294/MF 5093 Q87796 LULU - CUTLIST (GINERI).pdf, https://panda-windows-and-doors.monday.com/protected_static/21046287/resources/2551126292/MF 5093 Q87796 LULU - CUTLIST (MANUAL).pdf, https://panda-windows-and-doors.monday.com/protected_static/21046287/resources/2551126285/MF 5093 Q87796 LULU - OPT.pdf</v>
          </cell>
          <cell r="S547" t="str">
            <v>Completed - Closed Out</v>
          </cell>
          <cell r="T547" t="str">
            <v/>
          </cell>
          <cell r="U547">
            <v>26642</v>
          </cell>
          <cell r="V547">
            <v>30770.44</v>
          </cell>
          <cell r="W547" t="str">
            <v>George Bails Jan 8, 2026 1:55 PM</v>
          </cell>
          <cell r="X547" t="str">
            <v>2025-10-20 00:00</v>
          </cell>
          <cell r="Y547">
            <v>45951</v>
          </cell>
          <cell r="Z547" t="str">
            <v/>
          </cell>
          <cell r="AA547">
            <v>45951</v>
          </cell>
          <cell r="AB547" t="str">
            <v>Annalene Conde Oct 21, 2025 9:16 AM</v>
          </cell>
          <cell r="AC547">
            <v>45951</v>
          </cell>
          <cell r="AD547">
            <v>45952</v>
          </cell>
          <cell r="AE547">
            <v>46014</v>
          </cell>
          <cell r="AF547">
            <v>46014</v>
          </cell>
          <cell r="AG547">
            <v>46030</v>
          </cell>
          <cell r="AH547" t="str">
            <v>JV Glass Co, Inc</v>
          </cell>
          <cell r="AI547" t="str">
            <v/>
          </cell>
        </row>
        <row r="548">
          <cell r="C548">
            <v>86620</v>
          </cell>
          <cell r="D548" t="str">
            <v/>
          </cell>
          <cell r="E548" t="str">
            <v/>
          </cell>
          <cell r="F548" t="str">
            <v>Final</v>
          </cell>
          <cell r="G548" t="str">
            <v>Final Collected</v>
          </cell>
          <cell r="H548" t="str">
            <v>No</v>
          </cell>
          <cell r="I548" t="str">
            <v>Efrain Zarate, Trevor Benthagen</v>
          </cell>
          <cell r="J548" t="str">
            <v/>
          </cell>
          <cell r="K548" t="str">
            <v>https://panda-windows-and-doors.monday.com/protected_static/21046287/resources/2324429891/smtp.office365.com_20250731_081747.pdf</v>
          </cell>
          <cell r="L548" t="str">
            <v>https://panda-windows-and-doors.monday.com/protected_static/21046287/resources/2324429608/smtp.office365.com_20250731_081758.pdf</v>
          </cell>
          <cell r="M548" t="str">
            <v/>
          </cell>
          <cell r="N548" t="str">
            <v>https://panda-windows-and-doors.monday.com/protected_static/21046287/resources/2324563987/86620 Deposit Invoice.pdf</v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>Completed - Closed Out</v>
          </cell>
          <cell r="T548" t="str">
            <v/>
          </cell>
          <cell r="U548">
            <v>35611</v>
          </cell>
          <cell r="V548">
            <v>35611</v>
          </cell>
          <cell r="W548" t="str">
            <v>George Bails Jan 12, 2026 7:55 AM</v>
          </cell>
          <cell r="X548" t="str">
            <v>2025-07-31 00:00</v>
          </cell>
          <cell r="Y548">
            <v>45869</v>
          </cell>
          <cell r="Z548" t="str">
            <v/>
          </cell>
          <cell r="AA548">
            <v>45869</v>
          </cell>
          <cell r="AB548" t="str">
            <v>Jayme Truong Jul 31, 2025 10:51 AM</v>
          </cell>
          <cell r="AC548">
            <v>45869</v>
          </cell>
          <cell r="AD548">
            <v>45880</v>
          </cell>
          <cell r="AE548">
            <v>46020</v>
          </cell>
          <cell r="AF548">
            <v>46020</v>
          </cell>
          <cell r="AG548">
            <v>46031</v>
          </cell>
          <cell r="AH548" t="str">
            <v>Benson</v>
          </cell>
          <cell r="AI548" t="str">
            <v/>
          </cell>
        </row>
        <row r="549">
          <cell r="C549">
            <v>87927</v>
          </cell>
          <cell r="D549" t="str">
            <v/>
          </cell>
          <cell r="E549" t="str">
            <v/>
          </cell>
          <cell r="F549" t="str">
            <v>Final</v>
          </cell>
          <cell r="G549" t="str">
            <v>Final Collected</v>
          </cell>
          <cell r="H549" t="str">
            <v>No</v>
          </cell>
          <cell r="I549" t="str">
            <v>Efrain Zarate, Trevor Benthagen</v>
          </cell>
          <cell r="J549" t="str">
            <v/>
          </cell>
          <cell r="K549" t="str">
            <v>https://panda-windows-and-doors.monday.com/protected_static/21046287/resources/2524551546/BP-70M55_20251031_100420.pdf</v>
          </cell>
          <cell r="L549" t="str">
            <v>https://panda-windows-and-doors.monday.com/protected_static/21046287/resources/2521912658/smtp.office365.com_20251030_084502.pdf</v>
          </cell>
          <cell r="M549" t="str">
            <v/>
          </cell>
          <cell r="N549" t="str">
            <v>https://panda-windows-and-doors.monday.com/protected_static/21046287/resources/2524615160/87927 Deposit Invoice.pdf</v>
          </cell>
          <cell r="O549" t="str">
            <v/>
          </cell>
          <cell r="P549" t="str">
            <v/>
          </cell>
          <cell r="Q549" t="str">
            <v/>
          </cell>
          <cell r="R549" t="str">
            <v>https://panda-windows-and-doors.monday.com/protected_static/21046287/resources/2597142679/Q87927_TS67 BOM.pdf, https://panda-windows-and-doors.monday.com/protected_static/21046287/resources/2597142685/Q87927_TS67 CUTLIST.pdf, https://panda-windows-and-doors.monday.com/protected_static/21046287/resources/2597142678/Q87927_TS67 OPT.pdf</v>
          </cell>
          <cell r="S549" t="str">
            <v>Completed - Closed Out</v>
          </cell>
          <cell r="T549" t="str">
            <v/>
          </cell>
          <cell r="U549">
            <v>3496</v>
          </cell>
          <cell r="V549">
            <v>3495</v>
          </cell>
          <cell r="W549" t="str">
            <v>George Bails Jan 22, 2026 10:26 AM</v>
          </cell>
          <cell r="X549" t="str">
            <v>2025-10-30 00:00</v>
          </cell>
          <cell r="Y549">
            <v>45960</v>
          </cell>
          <cell r="Z549" t="str">
            <v/>
          </cell>
          <cell r="AA549">
            <v>45960</v>
          </cell>
          <cell r="AB549" t="str">
            <v>Annalene Conde Oct 30, 2025 11:07 AM</v>
          </cell>
          <cell r="AC549">
            <v>45961</v>
          </cell>
          <cell r="AD549">
            <v>45971</v>
          </cell>
          <cell r="AE549">
            <v>46027</v>
          </cell>
          <cell r="AF549">
            <v>46027</v>
          </cell>
          <cell r="AG549">
            <v>46034</v>
          </cell>
          <cell r="AH549" t="str">
            <v>Triple R Construction</v>
          </cell>
          <cell r="AI549" t="str">
            <v/>
          </cell>
        </row>
        <row r="550">
          <cell r="C550">
            <v>87532</v>
          </cell>
          <cell r="D550" t="str">
            <v/>
          </cell>
          <cell r="E550" t="str">
            <v/>
          </cell>
          <cell r="F550" t="str">
            <v>Final</v>
          </cell>
          <cell r="G550" t="str">
            <v>Final Collected</v>
          </cell>
          <cell r="H550" t="str">
            <v>No</v>
          </cell>
          <cell r="I550" t="str">
            <v>Stefan Monetta</v>
          </cell>
          <cell r="J550" t="str">
            <v/>
          </cell>
          <cell r="K550" t="str">
            <v>https://panda-windows-and-doors.monday.com/protected_static/21046287/resources/2516308359/Lynch - Mefford Signed Panda ACK.pdf</v>
          </cell>
          <cell r="L550" t="str">
            <v>https://panda-windows-and-doors.monday.com/protected_static/21046287/resources/2516310308/Image - 2025-10-28T134424.190.jpg</v>
          </cell>
          <cell r="M550" t="str">
            <v/>
          </cell>
          <cell r="N550" t="str">
            <v>https://panda-windows-and-doors.monday.com/protected_static/21046287/resources/2516471095/87532 Deposit Invoice.pdf</v>
          </cell>
          <cell r="O550" t="str">
            <v/>
          </cell>
          <cell r="P550" t="str">
            <v/>
          </cell>
          <cell r="Q550" t="str">
            <v/>
          </cell>
          <cell r="R550" t="str">
            <v>https://panda-windows-and-doors.monday.com/protected_static/21046287/resources/2590464979/Q87532_FTS60 FOLD FLAT_R1-bom.pdf, https://panda-windows-and-doors.monday.com/protected_static/21046287/resources/2590464981/Q87532_FTS60 FOLD FLAT_R1-OPT.pdf</v>
          </cell>
          <cell r="S550" t="str">
            <v>Completed - Closed Out</v>
          </cell>
          <cell r="T550" t="str">
            <v/>
          </cell>
          <cell r="U550">
            <v>7098</v>
          </cell>
          <cell r="V550">
            <v>7098</v>
          </cell>
          <cell r="W550" t="str">
            <v>George Bails Jan 22, 2026 10:37 AM</v>
          </cell>
          <cell r="X550" t="str">
            <v>2025-09-29 00:00</v>
          </cell>
          <cell r="Y550">
            <v>45958</v>
          </cell>
          <cell r="Z550" t="str">
            <v/>
          </cell>
          <cell r="AA550">
            <v>45958</v>
          </cell>
          <cell r="AB550" t="str">
            <v>Annalene Conde Oct 28, 2025 2:45 PM</v>
          </cell>
          <cell r="AC550">
            <v>45958</v>
          </cell>
          <cell r="AD550">
            <v>45960</v>
          </cell>
          <cell r="AE550">
            <v>46031</v>
          </cell>
          <cell r="AF550">
            <v>46031</v>
          </cell>
          <cell r="AG550">
            <v>46035</v>
          </cell>
          <cell r="AH550" t="str">
            <v>Reeves Hardware</v>
          </cell>
          <cell r="AI550" t="str">
            <v/>
          </cell>
        </row>
        <row r="551">
          <cell r="C551">
            <v>84399</v>
          </cell>
          <cell r="D551" t="str">
            <v/>
          </cell>
          <cell r="E551" t="str">
            <v/>
          </cell>
          <cell r="F551" t="str">
            <v>Final</v>
          </cell>
          <cell r="G551" t="str">
            <v>Final Collected</v>
          </cell>
          <cell r="H551" t="str">
            <v>No</v>
          </cell>
          <cell r="I551" t="str">
            <v>Derrick McCall</v>
          </cell>
          <cell r="J551" t="str">
            <v/>
          </cell>
          <cell r="K551" t="str">
            <v>https://panda-windows-and-doors.monday.com/protected_static/21046287/resources/2310071505/712060PL - Panda sliding door - Booking PO - 7-24-25.pdf</v>
          </cell>
          <cell r="L551" t="str">
            <v>https://panda-windows-and-doors.monday.com/protected_static/21046287/resources/2310071701/smtp.office365.com_20250724_132400.pdf</v>
          </cell>
          <cell r="M551" t="str">
            <v/>
          </cell>
          <cell r="N551" t="str">
            <v>https://panda-windows-and-doors.monday.com/protected_static/21046287/resources/2311799739/84399 Deposit Invoice.pdf</v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>Completed - Closed Out</v>
          </cell>
          <cell r="T551" t="str">
            <v/>
          </cell>
          <cell r="U551">
            <v>18111</v>
          </cell>
          <cell r="V551">
            <v>21070.02</v>
          </cell>
          <cell r="W551" t="str">
            <v>George Bails Jan 22, 2026 11:40 AM</v>
          </cell>
          <cell r="X551" t="str">
            <v>2025-03-14 00:00</v>
          </cell>
          <cell r="Y551">
            <v>45862</v>
          </cell>
          <cell r="Z551" t="str">
            <v/>
          </cell>
          <cell r="AA551">
            <v>45862</v>
          </cell>
          <cell r="AB551" t="str">
            <v>Jayme Truong Jul 24, 2025 3:59 PM</v>
          </cell>
          <cell r="AC551">
            <v>45863</v>
          </cell>
          <cell r="AD551">
            <v>45874</v>
          </cell>
          <cell r="AE551">
            <v>46027</v>
          </cell>
          <cell r="AF551">
            <v>46027</v>
          </cell>
          <cell r="AG551">
            <v>46036</v>
          </cell>
          <cell r="AH551" t="str">
            <v>Golden Gate Community Room</v>
          </cell>
          <cell r="AI551" t="str">
            <v/>
          </cell>
        </row>
        <row r="552">
          <cell r="C552">
            <v>87656</v>
          </cell>
          <cell r="D552" t="str">
            <v/>
          </cell>
          <cell r="E552" t="str">
            <v/>
          </cell>
          <cell r="F552" t="str">
            <v>Final</v>
          </cell>
          <cell r="G552" t="str">
            <v>Final Collected</v>
          </cell>
          <cell r="H552" t="str">
            <v>No</v>
          </cell>
          <cell r="I552" t="str">
            <v>Sean Torre</v>
          </cell>
          <cell r="J552" t="str">
            <v/>
          </cell>
          <cell r="K552" t="str">
            <v>https://panda-windows-and-doors.monday.com/protected_static/21046287/resources/2537857318/QQ#87656 SoCal Doors 11052025 (1).pdf</v>
          </cell>
          <cell r="L552" t="str">
            <v>https://panda-windows-and-doors.monday.com/protected_static/21046287/resources/2537857426/Q#87656 - SoCal Doors.pdf</v>
          </cell>
          <cell r="M552" t="str">
            <v/>
          </cell>
          <cell r="N552" t="str">
            <v>https://panda-windows-and-doors.monday.com/protected_static/21046287/resources/2538876263/87656 Deposit Invoice.pdf</v>
          </cell>
          <cell r="O552" t="str">
            <v/>
          </cell>
          <cell r="P552" t="str">
            <v/>
          </cell>
          <cell r="Q552" t="str">
            <v/>
          </cell>
          <cell r="R552" t="str">
            <v>https://panda-windows-and-doors.monday.com/protected_static/21046287/resources/2579300450/Q87656_TS60 OPT.pdf, https://panda-windows-and-doors.monday.com/protected_static/21046287/resources/2579300446/Q87656_TS60 BOM.pdf, https://panda-windows-and-doors.monday.com/protected_static/21046287/resources/2579300455/Q87656_TS60 CUT LIST.pdf</v>
          </cell>
          <cell r="S552" t="str">
            <v>Completed - Closed Out</v>
          </cell>
          <cell r="T552" t="str">
            <v/>
          </cell>
          <cell r="U552">
            <v>9478</v>
          </cell>
          <cell r="V552">
            <v>10865.49</v>
          </cell>
          <cell r="W552" t="str">
            <v>George Bails Jan 22, 2026 11:19 AM</v>
          </cell>
          <cell r="X552" t="str">
            <v>2025-10-07 00:00</v>
          </cell>
          <cell r="Y552">
            <v>45967</v>
          </cell>
          <cell r="Z552" t="str">
            <v/>
          </cell>
          <cell r="AA552">
            <v>45967</v>
          </cell>
          <cell r="AB552" t="str">
            <v>Annalene Conde Nov 6, 2025 10:15 AM</v>
          </cell>
          <cell r="AC552">
            <v>45967</v>
          </cell>
          <cell r="AD552">
            <v>45973</v>
          </cell>
          <cell r="AE552">
            <v>46022</v>
          </cell>
          <cell r="AF552">
            <v>46022</v>
          </cell>
          <cell r="AG552">
            <v>46036</v>
          </cell>
          <cell r="AH552" t="str">
            <v>Cooke Christopher</v>
          </cell>
          <cell r="AI552" t="str">
            <v/>
          </cell>
        </row>
        <row r="553">
          <cell r="C553">
            <v>86498</v>
          </cell>
          <cell r="D553" t="str">
            <v/>
          </cell>
          <cell r="E553" t="str">
            <v/>
          </cell>
          <cell r="F553" t="str">
            <v>Final</v>
          </cell>
          <cell r="G553" t="str">
            <v>Final Collected</v>
          </cell>
          <cell r="H553" t="str">
            <v>No</v>
          </cell>
          <cell r="I553" t="str">
            <v>Efrain Zarate</v>
          </cell>
          <cell r="J553" t="str">
            <v/>
          </cell>
          <cell r="K553" t="str">
            <v>https://panda-windows-and-doors.monday.com/protected_static/21046287/resources/2443251070/smtp.office365.com_20250925_065943.pdf</v>
          </cell>
          <cell r="L553" t="str">
            <v>https://panda-windows-and-doors.monday.com/protected_static/21046287/resources/2443251381/smtp.office365.com_20250925_065932.pdf</v>
          </cell>
          <cell r="M553" t="str">
            <v/>
          </cell>
          <cell r="N553" t="str">
            <v>https://panda-windows-and-doors.monday.com/protected_static/21046287/resources/2443534746/86498 Deposit Invoice.pdf</v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>Completed - Closed Out</v>
          </cell>
          <cell r="T553" t="str">
            <v/>
          </cell>
          <cell r="U553">
            <v>9920.26</v>
          </cell>
          <cell r="V553">
            <v>8301.91</v>
          </cell>
          <cell r="W553" t="str">
            <v>Annalene Conde Jan 19, 2026 9:42 AM</v>
          </cell>
          <cell r="X553" t="str">
            <v>2025-07-16 00:00</v>
          </cell>
          <cell r="Y553">
            <v>45925</v>
          </cell>
          <cell r="Z553" t="str">
            <v/>
          </cell>
          <cell r="AA553">
            <v>45925</v>
          </cell>
          <cell r="AB553" t="str">
            <v>Jayme Truong Sep 25, 2025 9:55 AM</v>
          </cell>
          <cell r="AC553">
            <v>45925</v>
          </cell>
          <cell r="AD553">
            <v>45925</v>
          </cell>
          <cell r="AE553">
            <v>46009</v>
          </cell>
          <cell r="AF553">
            <v>46009</v>
          </cell>
          <cell r="AG553">
            <v>46041</v>
          </cell>
          <cell r="AH553" t="str">
            <v>Christian Medina</v>
          </cell>
          <cell r="AI553" t="str">
            <v/>
          </cell>
        </row>
        <row r="554">
          <cell r="C554">
            <v>86292</v>
          </cell>
          <cell r="D554" t="str">
            <v/>
          </cell>
          <cell r="E554" t="str">
            <v/>
          </cell>
          <cell r="F554" t="str">
            <v>Final</v>
          </cell>
          <cell r="G554" t="str">
            <v>Final Collected</v>
          </cell>
          <cell r="H554" t="str">
            <v>No</v>
          </cell>
          <cell r="I554" t="str">
            <v>Tyler Clark</v>
          </cell>
          <cell r="J554" t="str">
            <v/>
          </cell>
          <cell r="K554" t="str">
            <v>https://panda-windows-and-doors.monday.com/protected_static/21046287/resources/2410992229/QQ#86292 Laguna Doors 9-9-2025_Signed Sales Order.pdf</v>
          </cell>
          <cell r="L554" t="str">
            <v>https://panda-windows-and-doors.monday.com/protected_static/21046287/resources/2410993100/Signed Backer_86292_Laguna Doors_091025.pdf</v>
          </cell>
          <cell r="M554" t="str">
            <v/>
          </cell>
          <cell r="N554" t="str">
            <v>https://panda-windows-and-doors.monday.com/protected_static/21046287/resources/2414369699/86292 Deposit Invoice.pdf</v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>Completed - Closed Out</v>
          </cell>
          <cell r="T554" t="str">
            <v/>
          </cell>
          <cell r="U554">
            <v>28000</v>
          </cell>
          <cell r="V554">
            <v>27979.360000000001</v>
          </cell>
          <cell r="W554" t="str">
            <v>Annalene Conde Jan 20, 2026 9:29 AM</v>
          </cell>
          <cell r="X554" t="str">
            <v>2025-07-01 00:00</v>
          </cell>
          <cell r="Y554">
            <v>45910</v>
          </cell>
          <cell r="Z554" t="str">
            <v/>
          </cell>
          <cell r="AA554">
            <v>45910</v>
          </cell>
          <cell r="AB554" t="str">
            <v>Jayme Truong Sep 10, 2025 12:50 PM</v>
          </cell>
          <cell r="AC554">
            <v>45911</v>
          </cell>
          <cell r="AD554">
            <v>45929</v>
          </cell>
          <cell r="AE554">
            <v>46038</v>
          </cell>
          <cell r="AF554">
            <v>46038</v>
          </cell>
          <cell r="AG554">
            <v>46042</v>
          </cell>
          <cell r="AH554" t="str">
            <v>Marcel Martins</v>
          </cell>
          <cell r="AI554" t="str">
            <v/>
          </cell>
        </row>
        <row r="555">
          <cell r="C555">
            <v>87922</v>
          </cell>
          <cell r="D555" t="str">
            <v/>
          </cell>
          <cell r="E555" t="str">
            <v/>
          </cell>
          <cell r="F555" t="str">
            <v>Final</v>
          </cell>
          <cell r="G555" t="str">
            <v>Final Collected</v>
          </cell>
          <cell r="H555" t="str">
            <v>No</v>
          </cell>
          <cell r="I555" t="str">
            <v>Spencer Anderson</v>
          </cell>
          <cell r="J555" t="str">
            <v/>
          </cell>
          <cell r="K555" t="str">
            <v>https://panda-windows-and-doors.monday.com/protected_static/21046287/resources/2590413870/Panda Quote QQ #87922 - Lambert Residence - 11212025 (004).pdf</v>
          </cell>
          <cell r="L555" t="str">
            <v>https://panda-windows-and-doors.monday.com/protected_static/21046287/resources/2590414108/BP-70M55_20251201_151319.pdf</v>
          </cell>
          <cell r="M555" t="str">
            <v/>
          </cell>
          <cell r="N555" t="str">
            <v>https://panda-windows-and-doors.monday.com/protected_static/21046287/resources/2592584218/87922 Deposit invoice.pdf</v>
          </cell>
          <cell r="O555" t="str">
            <v/>
          </cell>
          <cell r="P555" t="str">
            <v/>
          </cell>
          <cell r="Q555" t="str">
            <v/>
          </cell>
          <cell r="R555" t="str">
            <v>https://panda-windows-and-doors.monday.com/protected_static/21046287/resources/2614506513/Q87922_TS67 BOM.pdf, https://panda-windows-and-doors.monday.com/protected_static/21046287/resources/2614506532/Q87922_TS67 CUT LIST.pdf, https://panda-windows-and-doors.monday.com/protected_static/21046287/resources/2614506515/Q87922_TS67 OPT.pdf</v>
          </cell>
          <cell r="S555" t="str">
            <v>Completed - Closed Out</v>
          </cell>
          <cell r="T555" t="str">
            <v/>
          </cell>
          <cell r="U555">
            <v>1487</v>
          </cell>
          <cell r="V555">
            <v>1486</v>
          </cell>
          <cell r="W555" t="str">
            <v>George Bails Jan 22, 2026 2:55 PM</v>
          </cell>
          <cell r="X555" t="str">
            <v/>
          </cell>
          <cell r="Y555">
            <v>45992</v>
          </cell>
          <cell r="Z555" t="str">
            <v/>
          </cell>
          <cell r="AA555">
            <v>45992</v>
          </cell>
          <cell r="AB555" t="str">
            <v>Annalene Conde Dec 1, 2025 4:13 PM</v>
          </cell>
          <cell r="AC555">
            <v>45993</v>
          </cell>
          <cell r="AD555">
            <v>46000</v>
          </cell>
          <cell r="AE555">
            <v>46036</v>
          </cell>
          <cell r="AF555">
            <v>46036</v>
          </cell>
          <cell r="AG555">
            <v>46042</v>
          </cell>
          <cell r="AH555" t="str">
            <v>Ken Matoon</v>
          </cell>
          <cell r="AI555" t="str">
            <v/>
          </cell>
        </row>
        <row r="556">
          <cell r="C556">
            <v>87007</v>
          </cell>
          <cell r="D556" t="str">
            <v/>
          </cell>
          <cell r="E556" t="str">
            <v/>
          </cell>
          <cell r="F556" t="str">
            <v>Final</v>
          </cell>
          <cell r="G556" t="str">
            <v>Final Collected</v>
          </cell>
          <cell r="H556" t="str">
            <v>No</v>
          </cell>
          <cell r="I556" t="str">
            <v>Spencer Anderson</v>
          </cell>
          <cell r="J556" t="str">
            <v/>
          </cell>
          <cell r="K556" t="str">
            <v>https://panda-windows-and-doors.monday.com/protected_static/21046287/resources/2522868194/87007 (883-8968) Edge... Payne.pdf</v>
          </cell>
          <cell r="L556" t="str">
            <v>https://panda-windows-and-doors.monday.com/protected_static/21046287/resources/2522868020/BP-70M55_20251030_154834.pdf</v>
          </cell>
          <cell r="M556" t="str">
            <v/>
          </cell>
          <cell r="N556" t="str">
            <v>https://panda-windows-and-doors.monday.com/protected_static/21046287/resources/2686149200/87007 Deposit invoice.pdf</v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>Completed - Closed Out</v>
          </cell>
          <cell r="T556" t="str">
            <v/>
          </cell>
          <cell r="U556">
            <v>4938</v>
          </cell>
          <cell r="V556">
            <v>4937</v>
          </cell>
          <cell r="W556" t="str">
            <v>George Bails Jan 22, 2026 12:50 PM</v>
          </cell>
          <cell r="X556" t="str">
            <v/>
          </cell>
          <cell r="Y556">
            <v>45960</v>
          </cell>
          <cell r="Z556" t="str">
            <v/>
          </cell>
          <cell r="AA556">
            <v>45961</v>
          </cell>
          <cell r="AB556" t="str">
            <v>Annalene Conde Oct 30, 2025 4:53 PM</v>
          </cell>
          <cell r="AC556">
            <v>45964</v>
          </cell>
          <cell r="AD556">
            <v>45971</v>
          </cell>
          <cell r="AE556">
            <v>46037</v>
          </cell>
          <cell r="AF556">
            <v>46037</v>
          </cell>
          <cell r="AG556">
            <v>46042</v>
          </cell>
          <cell r="AH556" t="str">
            <v>Eric McMullen</v>
          </cell>
          <cell r="AI556" t="str">
            <v/>
          </cell>
        </row>
        <row r="557">
          <cell r="C557">
            <v>87399</v>
          </cell>
          <cell r="D557" t="str">
            <v/>
          </cell>
          <cell r="E557" t="str">
            <v/>
          </cell>
          <cell r="F557" t="str">
            <v>Final</v>
          </cell>
          <cell r="G557" t="str">
            <v>Final Collected</v>
          </cell>
          <cell r="H557" t="str">
            <v>No</v>
          </cell>
          <cell r="I557" t="str">
            <v>Spencer Anderson</v>
          </cell>
          <cell r="J557" t="str">
            <v/>
          </cell>
          <cell r="K557" t="str">
            <v>https://panda-windows-and-doors.monday.com/protected_static/21046287/resources/2481946793/QQ #87399 - SPW_Langston Main House TS.30 - 10092025 Signed.pdf</v>
          </cell>
          <cell r="L557" t="str">
            <v>https://panda-windows-and-doors.monday.com/protected_static/21046287/resources/2481988718/smtp.office365.com_20251013_091837.pdf</v>
          </cell>
          <cell r="M557" t="str">
            <v/>
          </cell>
          <cell r="N557" t="str">
            <v>https://panda-windows-and-doors.monday.com/protected_static/21046287/resources/2485668605/87399 Deposit Invoice.pdf</v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>Completed - Closed Out</v>
          </cell>
          <cell r="T557" t="str">
            <v/>
          </cell>
          <cell r="U557">
            <v>15570.72</v>
          </cell>
          <cell r="V557">
            <v>15885.28</v>
          </cell>
          <cell r="W557" t="str">
            <v>George Bails Jan 22, 2026 1:01 PM</v>
          </cell>
          <cell r="X557" t="str">
            <v/>
          </cell>
          <cell r="Y557">
            <v>45943</v>
          </cell>
          <cell r="Z557" t="str">
            <v/>
          </cell>
          <cell r="AA557">
            <v>45943</v>
          </cell>
          <cell r="AB557" t="str">
            <v>Annalene Conde Oct 13, 2025 11:54 AM</v>
          </cell>
          <cell r="AC557">
            <v>45944</v>
          </cell>
          <cell r="AD557">
            <v>45951</v>
          </cell>
          <cell r="AE557">
            <v>46038</v>
          </cell>
          <cell r="AF557">
            <v>46038</v>
          </cell>
          <cell r="AG557">
            <v>46042</v>
          </cell>
          <cell r="AH557" t="str">
            <v>Lyle Belnap</v>
          </cell>
          <cell r="AI557" t="str">
            <v/>
          </cell>
        </row>
        <row r="558">
          <cell r="C558">
            <v>86709</v>
          </cell>
          <cell r="D558" t="str">
            <v/>
          </cell>
          <cell r="E558" t="str">
            <v/>
          </cell>
          <cell r="F558" t="str">
            <v>Final</v>
          </cell>
          <cell r="G558" t="str">
            <v>Final Collected</v>
          </cell>
          <cell r="H558" t="str">
            <v>No</v>
          </cell>
          <cell r="I558" t="str">
            <v>Stefan Monetta</v>
          </cell>
          <cell r="J558" t="str">
            <v/>
          </cell>
          <cell r="K558" t="str">
            <v>https://panda-windows-and-doors.monday.com/protected_static/21046287/resources/2426354773/Sept-16-25 CW1967 H02 Construction  Panda 86709.pdf</v>
          </cell>
          <cell r="L558" t="str">
            <v>https://panda-windows-and-doors.monday.com/protected_static/21046287/resources/2426508358/smtp.office365.com_20250917_112025.pdf</v>
          </cell>
          <cell r="M558" t="str">
            <v/>
          </cell>
          <cell r="N558" t="str">
            <v>https://panda-windows-and-doors.monday.com/protected_static/21046287/resources/2658487049/86709 Deposit Invoice.pdf, https://panda-windows-and-doors.monday.com/protected_static/21046287/resources/2658511542/86709 Deposit Invoice (Revised).pdf</v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>Completed - Closed Out</v>
          </cell>
          <cell r="T558" t="str">
            <v/>
          </cell>
          <cell r="U558">
            <v>81112</v>
          </cell>
          <cell r="V558">
            <v>77511</v>
          </cell>
          <cell r="W558" t="str">
            <v>George Bails Jan 22, 2026 12:25 PM</v>
          </cell>
          <cell r="X558" t="str">
            <v>2025-07-31 00:00</v>
          </cell>
          <cell r="Y558">
            <v>45917</v>
          </cell>
          <cell r="Z558" t="str">
            <v/>
          </cell>
          <cell r="AA558">
            <v>45917</v>
          </cell>
          <cell r="AB558" t="str">
            <v>Jayme Truong Sep 17, 2025 2:15 PM</v>
          </cell>
          <cell r="AC558" t="str">
            <v/>
          </cell>
          <cell r="AD558">
            <v>45918</v>
          </cell>
          <cell r="AE558">
            <v>46027</v>
          </cell>
          <cell r="AF558">
            <v>46027</v>
          </cell>
          <cell r="AG558">
            <v>46042</v>
          </cell>
          <cell r="AH558" t="str">
            <v>Caribbean Windows International</v>
          </cell>
          <cell r="AI558" t="str">
            <v/>
          </cell>
        </row>
        <row r="559">
          <cell r="C559">
            <v>80158</v>
          </cell>
          <cell r="D559">
            <v>45932</v>
          </cell>
          <cell r="E559" t="str">
            <v/>
          </cell>
          <cell r="F559" t="str">
            <v>Final</v>
          </cell>
          <cell r="G559" t="str">
            <v>Final Collected</v>
          </cell>
          <cell r="H559" t="str">
            <v>No</v>
          </cell>
          <cell r="I559" t="str">
            <v>Stefan Monetta</v>
          </cell>
          <cell r="J559" t="str">
            <v/>
          </cell>
          <cell r="K559" t="str">
            <v>https://panda-windows-and-doors.monday.com/protected_static/21046287/resources/2353289863/APPROVED - QQ #80158 - ADR Entry Pivot Door - 042424.pdf</v>
          </cell>
          <cell r="L559" t="str">
            <v/>
          </cell>
          <cell r="M559" t="str">
            <v/>
          </cell>
          <cell r="N559" t="str">
            <v>https://panda-windows-and-doors.monday.com/protected_static/21046287/resources/2404198785/80153 Deposit Payment.pdf, https://panda-windows-and-doors.monday.com/protected_static/21046287/resources/2407710489/80153 Deposit Invoice CO 1.pdf, https://panda-windows-and-doors.monday.com/protected_static/21046287/resources/2466078529/80153 Deposit Invoice CO 2.pdf</v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>
            <v>58887</v>
          </cell>
          <cell r="V559">
            <v>8013</v>
          </cell>
          <cell r="W559" t="str">
            <v>Annalene Conde Jan 21, 2026 1:46 PM</v>
          </cell>
          <cell r="X559" t="str">
            <v>2025-08-14 00:00</v>
          </cell>
          <cell r="Y559">
            <v>45904</v>
          </cell>
          <cell r="Z559" t="str">
            <v/>
          </cell>
          <cell r="AA559">
            <v>45904</v>
          </cell>
          <cell r="AB559" t="str">
            <v>Jayme Truong Sep 4, 2025 10:14 AM</v>
          </cell>
          <cell r="AC559" t="str">
            <v/>
          </cell>
          <cell r="AD559" t="str">
            <v/>
          </cell>
          <cell r="AE559">
            <v>46036</v>
          </cell>
          <cell r="AF559">
            <v>46036</v>
          </cell>
          <cell r="AG559">
            <v>46043</v>
          </cell>
          <cell r="AH559" t="str">
            <v>Prestige Island Exports</v>
          </cell>
          <cell r="AI559">
            <v>45932</v>
          </cell>
        </row>
        <row r="560">
          <cell r="C560">
            <v>87364</v>
          </cell>
          <cell r="D560" t="str">
            <v/>
          </cell>
          <cell r="E560" t="str">
            <v/>
          </cell>
          <cell r="F560" t="str">
            <v>Final</v>
          </cell>
          <cell r="G560" t="str">
            <v>Final Collected</v>
          </cell>
          <cell r="H560" t="str">
            <v>No</v>
          </cell>
          <cell r="I560" t="str">
            <v>Efrain Zarate, Trevor Benthagen</v>
          </cell>
          <cell r="J560" t="str">
            <v/>
          </cell>
          <cell r="K560" t="str">
            <v>https://panda-windows-and-doors.monday.com/protected_static/21046287/resources/2429776879/smtp.office365.com_20250918_135145.pdf</v>
          </cell>
          <cell r="L560" t="str">
            <v>https://panda-windows-and-doors.monday.com/protected_static/21046287/resources/2429776783/smtp.office365.com_20250918_135153.pdf</v>
          </cell>
          <cell r="M560" t="str">
            <v/>
          </cell>
          <cell r="N560" t="str">
            <v>https://panda-windows-and-doors.monday.com/protected_static/21046287/resources/2431065354/87364 Deposit Invoice.pdf</v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>Completed - Closed Out</v>
          </cell>
          <cell r="T560" t="str">
            <v/>
          </cell>
          <cell r="U560">
            <v>7193</v>
          </cell>
          <cell r="V560">
            <v>8396.75</v>
          </cell>
          <cell r="W560" t="str">
            <v>George Bails Jan 26, 2026 7:58 AM</v>
          </cell>
          <cell r="X560" t="str">
            <v>2025-09-16 00:00</v>
          </cell>
          <cell r="Y560">
            <v>45918</v>
          </cell>
          <cell r="Z560" t="str">
            <v/>
          </cell>
          <cell r="AA560">
            <v>45918</v>
          </cell>
          <cell r="AB560" t="str">
            <v>Jayme Truong Sep 18, 2025 4:45 PM</v>
          </cell>
          <cell r="AC560">
            <v>45919</v>
          </cell>
          <cell r="AD560">
            <v>45939</v>
          </cell>
          <cell r="AE560">
            <v>45982</v>
          </cell>
          <cell r="AF560">
            <v>45982</v>
          </cell>
          <cell r="AG560">
            <v>46045</v>
          </cell>
          <cell r="AH560" t="str">
            <v>Epsilon</v>
          </cell>
          <cell r="AI560" t="str">
            <v/>
          </cell>
        </row>
        <row r="561">
          <cell r="C561">
            <v>75830</v>
          </cell>
          <cell r="D561" t="str">
            <v/>
          </cell>
          <cell r="E561" t="str">
            <v/>
          </cell>
          <cell r="F561" t="str">
            <v>Final</v>
          </cell>
          <cell r="G561" t="str">
            <v>Final Collected</v>
          </cell>
          <cell r="H561" t="str">
            <v>No</v>
          </cell>
          <cell r="I561" t="str">
            <v>Stefan Monetta</v>
          </cell>
          <cell r="J561" t="str">
            <v/>
          </cell>
          <cell r="K561" t="str">
            <v>https://panda-windows-and-doors.monday.com/protected_static/21046287/resources/2226629331/Panda Signed Proposal.pdf</v>
          </cell>
          <cell r="L561" t="str">
            <v>https://panda-windows-and-doors.monday.com/protected_static/21046287/resources/2226630007/smtp.office365.com_20250624_131132.pdf</v>
          </cell>
          <cell r="M561" t="str">
            <v/>
          </cell>
          <cell r="N561" t="str">
            <v>https://panda-windows-and-doors.monday.com/protected_static/21046287/resources/2228701293/75830 Deposit Invoice.pdf</v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>Completed - Closed Out</v>
          </cell>
          <cell r="T561" t="str">
            <v/>
          </cell>
          <cell r="U561">
            <v>87339</v>
          </cell>
          <cell r="V561">
            <v>87339</v>
          </cell>
          <cell r="W561" t="str">
            <v>Annalene Conde Jan 26, 2026 10:20 AM</v>
          </cell>
          <cell r="X561" t="str">
            <v>2025-06-24 00:00</v>
          </cell>
          <cell r="Y561">
            <v>45832</v>
          </cell>
          <cell r="Z561" t="str">
            <v/>
          </cell>
          <cell r="AA561">
            <v>45832</v>
          </cell>
          <cell r="AB561" t="str">
            <v>Jayme Truong Jun 24, 2025 3:52 PM</v>
          </cell>
          <cell r="AC561">
            <v>45833</v>
          </cell>
          <cell r="AD561">
            <v>45834</v>
          </cell>
          <cell r="AE561">
            <v>46045</v>
          </cell>
          <cell r="AF561">
            <v>46045</v>
          </cell>
          <cell r="AG561">
            <v>46048</v>
          </cell>
          <cell r="AH561" t="str">
            <v>Image Builders Of Central Florida</v>
          </cell>
          <cell r="AI561" t="str">
            <v/>
          </cell>
        </row>
        <row r="562">
          <cell r="C562">
            <v>85104</v>
          </cell>
          <cell r="D562" t="str">
            <v/>
          </cell>
          <cell r="E562" t="str">
            <v/>
          </cell>
          <cell r="F562" t="str">
            <v>Final</v>
          </cell>
          <cell r="G562" t="str">
            <v>Final Collected</v>
          </cell>
          <cell r="H562" t="str">
            <v>No</v>
          </cell>
          <cell r="I562" t="str">
            <v>Spencer Anderson</v>
          </cell>
          <cell r="J562" t="str">
            <v/>
          </cell>
          <cell r="K562" t="str">
            <v>https://panda-windows-and-doors.monday.com/protected_static/21046287/resources/2400477263/QQ #85104 - 100 Lighthouse Dr - 08252025 signed.pdf</v>
          </cell>
          <cell r="L562" t="str">
            <v>https://panda-windows-and-doors.monday.com/protected_static/21046287/resources/2400684598/smtp.office365.com_20250905_071522.pdf</v>
          </cell>
          <cell r="M562" t="str">
            <v/>
          </cell>
          <cell r="N562" t="str">
            <v>https://panda-windows-and-doors.monday.com/protected_static/21046287/resources/2401728007/85104  Deposit INvoice.pdf</v>
          </cell>
          <cell r="O562" t="str">
            <v/>
          </cell>
          <cell r="P562" t="str">
            <v/>
          </cell>
          <cell r="Q562" t="str">
            <v/>
          </cell>
          <cell r="R562" t="str">
            <v>https://panda-windows-and-doors.monday.com/protected_static/21046287/resources/2289664617/Polk Architectural - Sales &amp; Use Tax Permit  12-3-2019 - TX.pdf</v>
          </cell>
          <cell r="S562" t="str">
            <v>Completed - Closed Out</v>
          </cell>
          <cell r="T562" t="str">
            <v/>
          </cell>
          <cell r="U562">
            <v>9299.5</v>
          </cell>
          <cell r="V562">
            <v>9299.5</v>
          </cell>
          <cell r="W562" t="str">
            <v>Annalene Conde Jan 28, 2026 9:18 AM</v>
          </cell>
          <cell r="X562" t="str">
            <v/>
          </cell>
          <cell r="Y562">
            <v>45905</v>
          </cell>
          <cell r="Z562" t="str">
            <v/>
          </cell>
          <cell r="AA562">
            <v>45905</v>
          </cell>
          <cell r="AB562" t="str">
            <v>Annalene Conde Sep 5, 2025 9:57 AM</v>
          </cell>
          <cell r="AC562">
            <v>45905</v>
          </cell>
          <cell r="AD562">
            <v>45922</v>
          </cell>
          <cell r="AE562">
            <v>46038</v>
          </cell>
          <cell r="AF562">
            <v>46038</v>
          </cell>
          <cell r="AG562">
            <v>46050</v>
          </cell>
          <cell r="AH562" t="str">
            <v>Bill Polkinghorn</v>
          </cell>
          <cell r="AI562" t="str">
            <v/>
          </cell>
        </row>
        <row r="563">
          <cell r="C563">
            <v>87296</v>
          </cell>
          <cell r="D563">
            <v>46002</v>
          </cell>
          <cell r="E563" t="str">
            <v/>
          </cell>
          <cell r="F563" t="str">
            <v>Final</v>
          </cell>
          <cell r="G563" t="str">
            <v>Final Collected</v>
          </cell>
          <cell r="H563" t="str">
            <v>No</v>
          </cell>
          <cell r="I563" t="str">
            <v>Avi Shoshan</v>
          </cell>
          <cell r="J563" t="str">
            <v/>
          </cell>
          <cell r="K563" t="str">
            <v>https://panda-windows-and-doors.monday.com/protected_static/21046287/resources/2783122335/smtp.office365.com_20251006_112835.pdf</v>
          </cell>
          <cell r="L563" t="str">
            <v/>
          </cell>
          <cell r="M563" t="str">
            <v/>
          </cell>
          <cell r="N563" t="str">
            <v>https://panda-windows-and-doors.monday.com/protected_static/21046287/resources/2469772117/87296 Deposit Invoice.pdf, https://panda-windows-and-doors.monday.com/protected_static/21046287/resources/2508688579/87296 Deposit Invoice CO +1.pdf</v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>Completed - Closed Out</v>
          </cell>
          <cell r="T563" t="str">
            <v/>
          </cell>
          <cell r="U563">
            <v>35000</v>
          </cell>
          <cell r="V563">
            <v>46853.49</v>
          </cell>
          <cell r="W563" t="str">
            <v>Annalene Conde Jan 28, 2026 1:17 PM</v>
          </cell>
          <cell r="X563" t="str">
            <v>2026-02-24 00:00</v>
          </cell>
          <cell r="Y563">
            <v>45937</v>
          </cell>
          <cell r="Z563" t="str">
            <v/>
          </cell>
          <cell r="AA563">
            <v>45937</v>
          </cell>
          <cell r="AB563" t="str">
            <v>Annalene Conde Oct 7, 2025 10:28 AM</v>
          </cell>
          <cell r="AC563">
            <v>45937</v>
          </cell>
          <cell r="AD563">
            <v>45937</v>
          </cell>
          <cell r="AE563">
            <v>46045</v>
          </cell>
          <cell r="AF563">
            <v>46045</v>
          </cell>
          <cell r="AG563">
            <v>46050</v>
          </cell>
          <cell r="AH563" t="str">
            <v>George Yousefi</v>
          </cell>
          <cell r="AI563">
            <v>46002</v>
          </cell>
        </row>
        <row r="564">
          <cell r="C564">
            <v>87980</v>
          </cell>
          <cell r="D564" t="str">
            <v/>
          </cell>
          <cell r="E564" t="str">
            <v/>
          </cell>
          <cell r="F564" t="str">
            <v>Final</v>
          </cell>
          <cell r="G564" t="str">
            <v>Final Collected</v>
          </cell>
          <cell r="H564" t="str">
            <v>No</v>
          </cell>
          <cell r="I564" t="str">
            <v>Spencer Anderson</v>
          </cell>
          <cell r="J564" t="str">
            <v/>
          </cell>
          <cell r="K564" t="str">
            <v>https://panda-windows-and-doors.monday.com/protected_static/21046287/resources/2589621068/950-1974 Panda -order signed.pdf</v>
          </cell>
          <cell r="L564" t="str">
            <v>https://panda-windows-and-doors.monday.com/protected_static/21046287/resources/2589619496/BP-70M55_20251201_112540.pdf</v>
          </cell>
          <cell r="M564" t="str">
            <v/>
          </cell>
          <cell r="N564" t="str">
            <v>https://panda-windows-and-doors.monday.com/protected_static/21046287/resources/2592539913/87980 Deposit Invoice.pdf</v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>Completed - Closed Out</v>
          </cell>
          <cell r="T564" t="str">
            <v/>
          </cell>
          <cell r="U564">
            <v>16486</v>
          </cell>
          <cell r="V564">
            <v>16485</v>
          </cell>
          <cell r="W564" t="str">
            <v>George Bails Mar 4, 2026 11:13 AM</v>
          </cell>
          <cell r="X564" t="str">
            <v/>
          </cell>
          <cell r="Y564">
            <v>45992</v>
          </cell>
          <cell r="Z564" t="str">
            <v/>
          </cell>
          <cell r="AA564">
            <v>45992</v>
          </cell>
          <cell r="AB564" t="str">
            <v>Annalene Conde Dec 1, 2025 10:39 AM</v>
          </cell>
          <cell r="AC564">
            <v>45993</v>
          </cell>
          <cell r="AD564">
            <v>45995</v>
          </cell>
          <cell r="AE564">
            <v>46050</v>
          </cell>
          <cell r="AF564">
            <v>46051</v>
          </cell>
          <cell r="AG564">
            <v>46055</v>
          </cell>
          <cell r="AH564" t="str">
            <v>Jason Park</v>
          </cell>
          <cell r="AI564" t="str">
            <v/>
          </cell>
        </row>
        <row r="565">
          <cell r="C565">
            <v>75028</v>
          </cell>
          <cell r="D565">
            <v>45965</v>
          </cell>
          <cell r="E565" t="str">
            <v/>
          </cell>
          <cell r="F565" t="str">
            <v>Final</v>
          </cell>
          <cell r="G565" t="str">
            <v>Final Collected</v>
          </cell>
          <cell r="H565" t="str">
            <v>⚠️ Expedited</v>
          </cell>
          <cell r="I565" t="str">
            <v>Troy Kite</v>
          </cell>
          <cell r="J565" t="str">
            <v/>
          </cell>
          <cell r="K565" t="str">
            <v>https://panda-windows-and-doors.monday.com/protected_static/21046287/resources/2353482640/QQ#75028 - Obama Center - Signed - 02262024.pdf</v>
          </cell>
          <cell r="L565" t="str">
            <v>https://panda-windows-and-doors.monday.com/protected_static/21046287/resources/2532876177/Obama Center - 02262024.pdf</v>
          </cell>
          <cell r="M565" t="str">
            <v/>
          </cell>
          <cell r="N565" t="str">
            <v>https://panda-windows-and-doors.monday.com/protected_static/21046287/resources/2532872100/75028 New Deposit Invoice.pdf, https://panda-windows-and-doors.monday.com/protected_static/21046287/resources/2534321832/75028 Deposit Invoice CO 1.pdf, https://panda-windows-and-doors.monday.com/protected_static/21046287/resources/2548031271/75028 - Expedite Fee Invoice.pdf</v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>Completed - Closed Out</v>
          </cell>
          <cell r="T565" t="str">
            <v/>
          </cell>
          <cell r="U565">
            <v>255401</v>
          </cell>
          <cell r="V565">
            <v>152917</v>
          </cell>
          <cell r="W565" t="str">
            <v>Annalene Conde Feb 3, 2026 10:19 AM</v>
          </cell>
          <cell r="X565" t="str">
            <v>2025-08-14 00:00</v>
          </cell>
          <cell r="Y565">
            <v>45964</v>
          </cell>
          <cell r="Z565" t="str">
            <v/>
          </cell>
          <cell r="AA565">
            <v>45964</v>
          </cell>
          <cell r="AB565" t="str">
            <v>Annalene Conde Nov 3, 2025 1:54 PM</v>
          </cell>
          <cell r="AC565" t="str">
            <v/>
          </cell>
          <cell r="AD565" t="str">
            <v/>
          </cell>
          <cell r="AE565">
            <v>46041</v>
          </cell>
          <cell r="AF565">
            <v>46045</v>
          </cell>
          <cell r="AG565">
            <v>46056</v>
          </cell>
          <cell r="AH565" t="str">
            <v>US Architectural Glass and Metal</v>
          </cell>
          <cell r="AI565">
            <v>45965</v>
          </cell>
        </row>
        <row r="566">
          <cell r="C566">
            <v>83172</v>
          </cell>
          <cell r="D566">
            <v>45994</v>
          </cell>
          <cell r="E566" t="str">
            <v/>
          </cell>
          <cell r="F566" t="str">
            <v>Final</v>
          </cell>
          <cell r="G566" t="str">
            <v>Final Collected</v>
          </cell>
          <cell r="H566" t="str">
            <v>No</v>
          </cell>
          <cell r="I566" t="str">
            <v>Troy Kite</v>
          </cell>
          <cell r="J566" t="str">
            <v/>
          </cell>
          <cell r="K566" t="str">
            <v>https://panda-windows-and-doors.monday.com/protected_static/21046287/resources/1971358058/smtp.office365.com_20250220_090526.pdf</v>
          </cell>
          <cell r="L566" t="str">
            <v>https://panda-windows-and-doors.monday.com/protected_static/21046287/resources/2083281325/smtp.office365.com_20250220_100418.pdf, https://panda-windows-and-doors.monday.com/protected_static/21046287/resources/2083281320/51 Commons - 01282025.xlsx_smtp.office365.com_20250220_100418.pdf, https://panda-windows-and-doors.monday.com/protected_static/21046287/resources/2083281326/51 Commons - 01282025.xlsx</v>
          </cell>
          <cell r="M566" t="str">
            <v/>
          </cell>
          <cell r="N566" t="str">
            <v>https://panda-windows-and-doors.monday.com/protected_static/21046287/resources/1974224398/83172 DEPOSIT INVOICE.pdf</v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>Completed - Closed Out</v>
          </cell>
          <cell r="T566" t="str">
            <v/>
          </cell>
          <cell r="U566">
            <v>9164</v>
          </cell>
          <cell r="V566">
            <v>9192</v>
          </cell>
          <cell r="W566" t="str">
            <v>George Bails Feb 9, 2026 8:11 AM</v>
          </cell>
          <cell r="X566" t="str">
            <v>2025-02-20 00:00</v>
          </cell>
          <cell r="Y566">
            <v>45708</v>
          </cell>
          <cell r="Z566" t="str">
            <v/>
          </cell>
          <cell r="AA566">
            <v>45709</v>
          </cell>
          <cell r="AB566" t="str">
            <v>Jayme Truong Feb 20, 2025 2:37 PM</v>
          </cell>
          <cell r="AC566">
            <v>45709</v>
          </cell>
          <cell r="AD566">
            <v>45716</v>
          </cell>
          <cell r="AE566">
            <v>46056</v>
          </cell>
          <cell r="AF566" t="str">
            <v/>
          </cell>
          <cell r="AG566">
            <v>46057</v>
          </cell>
          <cell r="AH566" t="str">
            <v>Glass Edge Inc.</v>
          </cell>
          <cell r="AI566">
            <v>45994</v>
          </cell>
        </row>
        <row r="567">
          <cell r="C567">
            <v>86800</v>
          </cell>
          <cell r="D567">
            <v>45994</v>
          </cell>
          <cell r="E567" t="str">
            <v/>
          </cell>
          <cell r="F567" t="str">
            <v>Final</v>
          </cell>
          <cell r="G567" t="str">
            <v>Final Collected</v>
          </cell>
          <cell r="H567" t="str">
            <v>No</v>
          </cell>
          <cell r="I567" t="str">
            <v>Troy Kite</v>
          </cell>
          <cell r="J567" t="str">
            <v/>
          </cell>
          <cell r="K567" t="str">
            <v>https://panda-windows-and-doors.monday.com/protected_static/21046287/resources/2506101408/QQ #86800 - 1515 North Wells Street - 10222025 METELMANN SIGNED.pdf</v>
          </cell>
          <cell r="L567" t="str">
            <v>https://panda-windows-and-doors.monday.com/protected_static/21046287/resources/2506100756/smtp.office365.com_20251023_084113.pdf</v>
          </cell>
          <cell r="M567" t="str">
            <v/>
          </cell>
          <cell r="N567" t="str">
            <v>https://panda-windows-and-doors.monday.com/protected_static/21046287/resources/2506363072/86800 dEPOSIT INVOICE.pdf</v>
          </cell>
          <cell r="O567" t="str">
            <v/>
          </cell>
          <cell r="P567" t="str">
            <v/>
          </cell>
          <cell r="Q567" t="str">
            <v/>
          </cell>
          <cell r="R567" t="str">
            <v>https://panda-windows-and-doors.monday.com/protected_static/21046287/resources/2617680911/Q86800 1515 NORTH WELLS ST. -  B.O.M.pdf, https://panda-windows-and-doors.monday.com/protected_static/21046287/resources/2617680915/MF 5075 Q86800 1515 NORTH WELLS STREET - CUTLIST (GINERI).pdf, https://panda-windows-and-doors.monday.com/protected_static/21046287/resources/2617680912/MF 5075 Q86800 1515 NORTH WELLS STREET - OPT.pdf, https://panda-windows-and-doors.monday.com/protected_static/21046287/resources/2617680914/Q86800 1515 NORTH WELLS ST. - CUTLIST (MANUAL).pdf</v>
          </cell>
          <cell r="S567" t="str">
            <v>Completed - Closed Out</v>
          </cell>
          <cell r="T567" t="str">
            <v/>
          </cell>
          <cell r="U567">
            <v>20000</v>
          </cell>
          <cell r="V567">
            <v>14781.77</v>
          </cell>
          <cell r="W567" t="str">
            <v>George Bails Feb 9, 2026 8:53 AM</v>
          </cell>
          <cell r="X567" t="str">
            <v>2025-07-06 12:29</v>
          </cell>
          <cell r="Y567">
            <v>45953</v>
          </cell>
          <cell r="Z567" t="str">
            <v/>
          </cell>
          <cell r="AA567">
            <v>45953</v>
          </cell>
          <cell r="AB567" t="str">
            <v>Annalene Conde Oct 23, 2025 11:37 AM</v>
          </cell>
          <cell r="AC567">
            <v>45957</v>
          </cell>
          <cell r="AD567">
            <v>45961</v>
          </cell>
          <cell r="AE567">
            <v>46058</v>
          </cell>
          <cell r="AF567">
            <v>46058</v>
          </cell>
          <cell r="AG567">
            <v>46059</v>
          </cell>
          <cell r="AH567" t="str">
            <v>Scott Metelmann</v>
          </cell>
          <cell r="AI567">
            <v>45994</v>
          </cell>
        </row>
        <row r="568">
          <cell r="C568">
            <v>86415</v>
          </cell>
          <cell r="D568" t="str">
            <v/>
          </cell>
          <cell r="E568" t="str">
            <v/>
          </cell>
          <cell r="F568" t="str">
            <v>Final</v>
          </cell>
          <cell r="G568" t="str">
            <v>Final Collected</v>
          </cell>
          <cell r="H568" t="str">
            <v>No</v>
          </cell>
          <cell r="I568" t="str">
            <v>Tyler Clark</v>
          </cell>
          <cell r="J568" t="str">
            <v/>
          </cell>
          <cell r="K568" t="str">
            <v>https://panda-windows-and-doors.monday.com/protected_static/21046287/resources/2482049130/smtp.office365.com_20251013_092137.pdf</v>
          </cell>
          <cell r="L568" t="str">
            <v>https://panda-windows-and-doors.monday.com/protected_static/21046287/resources/2482050932/smtp.office365.com_20251013_092151.pdf</v>
          </cell>
          <cell r="M568" t="str">
            <v/>
          </cell>
          <cell r="N568" t="str">
            <v>https://panda-windows-and-doors.monday.com/protected_static/21046287/resources/2482455797/86415 Deposit Invoice.pdf</v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>Completed - Closed Out</v>
          </cell>
          <cell r="T568" t="str">
            <v/>
          </cell>
          <cell r="U568">
            <v>9678</v>
          </cell>
          <cell r="V568">
            <v>9678</v>
          </cell>
          <cell r="W568" t="str">
            <v>George Bails Feb 10, 2026 3:52 PM</v>
          </cell>
          <cell r="X568" t="str">
            <v>2025-07-06 15:33</v>
          </cell>
          <cell r="Y568">
            <v>45943</v>
          </cell>
          <cell r="Z568" t="str">
            <v/>
          </cell>
          <cell r="AA568">
            <v>45943</v>
          </cell>
          <cell r="AB568" t="str">
            <v>Annalene Conde Oct 13, 2025 12:08 PM</v>
          </cell>
          <cell r="AC568">
            <v>45943</v>
          </cell>
          <cell r="AD568">
            <v>45951</v>
          </cell>
          <cell r="AE568">
            <v>46051</v>
          </cell>
          <cell r="AF568">
            <v>46052</v>
          </cell>
          <cell r="AG568">
            <v>46062</v>
          </cell>
          <cell r="AH568" t="str">
            <v>Liubov Lou</v>
          </cell>
          <cell r="AI568" t="str">
            <v/>
          </cell>
        </row>
        <row r="569">
          <cell r="C569">
            <v>86716</v>
          </cell>
          <cell r="D569">
            <v>45937</v>
          </cell>
          <cell r="E569" t="str">
            <v/>
          </cell>
          <cell r="F569" t="str">
            <v>Final</v>
          </cell>
          <cell r="G569" t="str">
            <v>Final Collected</v>
          </cell>
          <cell r="H569" t="str">
            <v>No</v>
          </cell>
          <cell r="I569" t="str">
            <v>Derrick McCall</v>
          </cell>
          <cell r="J569" t="str">
            <v/>
          </cell>
          <cell r="K569" t="str">
            <v>https://panda-windows-and-doors.monday.com/protected_static/21046287/resources/2369012519/Q86716 SP.pdf</v>
          </cell>
          <cell r="L569" t="str">
            <v>https://panda-windows-and-doors.monday.com/protected_static/21046287/resources/2369012709/Q86716 AB.pdf</v>
          </cell>
          <cell r="M569" t="str">
            <v/>
          </cell>
          <cell r="N569" t="str">
            <v>https://panda-windows-and-doors.monday.com/protected_static/21046287/resources/2371564530/86716 Deposit Invoice.pdf, https://panda-windows-and-doors.monday.com/protected_static/21046287/resources/2469966783/86716 Deposit Invoice CO 1.pdf</v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>
            <v>71405</v>
          </cell>
          <cell r="V569">
            <v>76206.460000000006</v>
          </cell>
          <cell r="W569" t="str">
            <v>Annalene Conde Feb 11, 2026 9:52 AM</v>
          </cell>
          <cell r="X569" t="str">
            <v>2025-07-31 00:00</v>
          </cell>
          <cell r="Y569">
            <v>45937</v>
          </cell>
          <cell r="Z569" t="str">
            <v/>
          </cell>
          <cell r="AA569">
            <v>45890</v>
          </cell>
          <cell r="AB569" t="str">
            <v>Jayme Truong Aug 21, 2025 1:44 PM</v>
          </cell>
          <cell r="AC569">
            <v>45891</v>
          </cell>
          <cell r="AD569">
            <v>45896</v>
          </cell>
          <cell r="AE569">
            <v>46057</v>
          </cell>
          <cell r="AF569">
            <v>46057</v>
          </cell>
          <cell r="AG569">
            <v>46064</v>
          </cell>
          <cell r="AH569" t="str">
            <v>M2M Logistics LLC</v>
          </cell>
          <cell r="AI569">
            <v>45937</v>
          </cell>
        </row>
        <row r="570">
          <cell r="C570">
            <v>88130</v>
          </cell>
          <cell r="D570" t="str">
            <v/>
          </cell>
          <cell r="E570" t="str">
            <v/>
          </cell>
          <cell r="F570" t="str">
            <v>Final</v>
          </cell>
          <cell r="G570" t="str">
            <v>Final Collected</v>
          </cell>
          <cell r="H570" t="str">
            <v>No</v>
          </cell>
          <cell r="I570" t="str">
            <v>Sean Torre</v>
          </cell>
          <cell r="J570" t="str">
            <v/>
          </cell>
          <cell r="K570" t="str">
            <v>https://panda-windows-and-doors.monday.com/protected_static/21046287/resources/2559884367/FWD_ Here is your signed document_ QQ#88130 Nila Bugala Door 11-14-2025.pdf.pdf</v>
          </cell>
          <cell r="L570" t="str">
            <v>https://panda-windows-and-doors.monday.com/protected_static/21046287/resources/2559884484/CamScanner 11-17-25 09.00 (1).pdf</v>
          </cell>
          <cell r="M570" t="str">
            <v/>
          </cell>
          <cell r="N570" t="str">
            <v>https://panda-windows-and-doors.monday.com/protected_static/21046287/resources/2560998395/88130 Deposit Invoice.pdf</v>
          </cell>
          <cell r="O570" t="str">
            <v/>
          </cell>
          <cell r="P570" t="str">
            <v/>
          </cell>
          <cell r="Q570" t="str">
            <v/>
          </cell>
          <cell r="R570" t="str">
            <v>https://panda-windows-and-doors.monday.com/protected_static/21046287/resources/2604638017/Q88130_TS30 BOM.pdf, https://panda-windows-and-doors.monday.com/protected_static/21046287/resources/2604638893/Q88130_TS30 CUTLIST.pdf, https://panda-windows-and-doors.monday.com/protected_static/21046287/resources/2604639606/Q88130_TS30 OPT.docx, https://panda-windows-and-doors.monday.com/protected_static/21046287/resources/2604639975/Q88130_TS30 OPT.pdf</v>
          </cell>
          <cell r="S570" t="str">
            <v>Completed - Closed Out</v>
          </cell>
          <cell r="T570" t="str">
            <v/>
          </cell>
          <cell r="U570">
            <v>7472.5</v>
          </cell>
          <cell r="V570">
            <v>7472.5</v>
          </cell>
          <cell r="W570" t="str">
            <v>Annalene Conde Feb 11, 2026 12:01 PM</v>
          </cell>
          <cell r="X570" t="str">
            <v>2025-11-11 00:00</v>
          </cell>
          <cell r="Y570">
            <v>45978</v>
          </cell>
          <cell r="Z570" t="str">
            <v/>
          </cell>
          <cell r="AA570">
            <v>45978</v>
          </cell>
          <cell r="AB570" t="str">
            <v>Annalene Conde Nov 17, 2025 10:26 AM</v>
          </cell>
          <cell r="AC570">
            <v>45978</v>
          </cell>
          <cell r="AD570">
            <v>45985</v>
          </cell>
          <cell r="AE570">
            <v>46048</v>
          </cell>
          <cell r="AF570">
            <v>46049</v>
          </cell>
          <cell r="AG570">
            <v>46064</v>
          </cell>
          <cell r="AH570" t="str">
            <v>Castle House</v>
          </cell>
          <cell r="AI570" t="str">
            <v/>
          </cell>
        </row>
        <row r="571">
          <cell r="C571">
            <v>87822</v>
          </cell>
          <cell r="D571" t="str">
            <v/>
          </cell>
          <cell r="E571" t="str">
            <v/>
          </cell>
          <cell r="F571" t="str">
            <v>Final</v>
          </cell>
          <cell r="G571" t="str">
            <v>Final Collected</v>
          </cell>
          <cell r="H571" t="str">
            <v>No</v>
          </cell>
          <cell r="I571" t="str">
            <v>Trevor Benthagen, Efrain Zarate</v>
          </cell>
          <cell r="J571" t="str">
            <v/>
          </cell>
          <cell r="K571" t="str">
            <v>https://panda-windows-and-doors.monday.com/protected_static/21046287/resources/2548190213/Q#87822 SIGNED SALES ORDER.pdf</v>
          </cell>
          <cell r="L571" t="str">
            <v>https://panda-windows-and-doors.monday.com/protected_static/21046287/resources/2548190024/Q#87822 SIGNED BACKER.pdf</v>
          </cell>
          <cell r="M571" t="str">
            <v/>
          </cell>
          <cell r="N571" t="str">
            <v>https://panda-windows-and-doors.monday.com/protected_static/21046287/resources/2550144977/87822 Deposit Invoice.pdf</v>
          </cell>
          <cell r="O571" t="str">
            <v/>
          </cell>
          <cell r="P571" t="str">
            <v/>
          </cell>
          <cell r="Q571" t="str">
            <v/>
          </cell>
          <cell r="R571" t="str">
            <v>https://panda-windows-and-doors.monday.com/protected_static/21046287/resources/2608767604/Q87822 TURF CLUB - B.O.M.pdf, https://panda-windows-and-doors.monday.com/protected_static/21046287/resources/2608767606/Q87822 TURF CLUB -CUTLIST (MANUAL).pdf</v>
          </cell>
          <cell r="S571" t="str">
            <v>Completed - Closed Out</v>
          </cell>
          <cell r="T571" t="str">
            <v/>
          </cell>
          <cell r="U571">
            <v>115956</v>
          </cell>
          <cell r="V571">
            <v>130523.7</v>
          </cell>
          <cell r="W571" t="str">
            <v>George Bails Feb 12, 2026 4:26 PM</v>
          </cell>
          <cell r="X571" t="str">
            <v>2025-10-20 00:00</v>
          </cell>
          <cell r="Y571">
            <v>45972</v>
          </cell>
          <cell r="Z571" t="str">
            <v/>
          </cell>
          <cell r="AA571">
            <v>45972</v>
          </cell>
          <cell r="AB571" t="str">
            <v>Annalene Conde Nov 11, 2025 4:08 PM</v>
          </cell>
          <cell r="AC571">
            <v>45973</v>
          </cell>
          <cell r="AD571">
            <v>45985</v>
          </cell>
          <cell r="AE571">
            <v>46058</v>
          </cell>
          <cell r="AF571">
            <v>46058</v>
          </cell>
          <cell r="AG571">
            <v>46065</v>
          </cell>
          <cell r="AH571" t="str">
            <v>D&amp;A Companies</v>
          </cell>
          <cell r="AI571" t="str">
            <v/>
          </cell>
        </row>
        <row r="572">
          <cell r="C572">
            <v>87908</v>
          </cell>
          <cell r="D572" t="str">
            <v/>
          </cell>
          <cell r="E572" t="str">
            <v/>
          </cell>
          <cell r="F572" t="str">
            <v>Final</v>
          </cell>
          <cell r="G572" t="str">
            <v>Final Collected</v>
          </cell>
          <cell r="H572" t="str">
            <v>No</v>
          </cell>
          <cell r="I572" t="str">
            <v>Spencer Anderson</v>
          </cell>
          <cell r="J572" t="str">
            <v/>
          </cell>
          <cell r="K572" t="str">
            <v>https://panda-windows-and-doors.monday.com/protected_static/21046287/resources/2522864068/QQ #87908 - SPW_Casamigo 2 Aluminum Awning - 10272025.pdf</v>
          </cell>
          <cell r="L572" t="str">
            <v>https://panda-windows-and-doors.monday.com/protected_static/21046287/resources/2522863627/BP-70M55_20251030_154820.pdf</v>
          </cell>
          <cell r="M572" t="str">
            <v/>
          </cell>
          <cell r="N572" t="str">
            <v>https://panda-windows-and-doors.monday.com/protected_static/21046287/resources/2529416498/87908 deposit invoice.pdf</v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>Completed - Closed Out</v>
          </cell>
          <cell r="T572" t="str">
            <v/>
          </cell>
          <cell r="U572">
            <v>1523</v>
          </cell>
          <cell r="V572">
            <v>1523</v>
          </cell>
          <cell r="W572" t="str">
            <v>George Bails Feb 13, 2026 1:01 PM</v>
          </cell>
          <cell r="X572" t="str">
            <v/>
          </cell>
          <cell r="Y572">
            <v>45960</v>
          </cell>
          <cell r="Z572" t="str">
            <v/>
          </cell>
          <cell r="AA572">
            <v>45961</v>
          </cell>
          <cell r="AB572" t="str">
            <v>Annalene Conde Oct 30, 2025 4:49 PM</v>
          </cell>
          <cell r="AC572">
            <v>45964</v>
          </cell>
          <cell r="AD572">
            <v>45971</v>
          </cell>
          <cell r="AE572">
            <v>46056</v>
          </cell>
          <cell r="AF572">
            <v>46057</v>
          </cell>
          <cell r="AG572">
            <v>46066</v>
          </cell>
          <cell r="AH572" t="str">
            <v>Eric McMullen</v>
          </cell>
          <cell r="AI572" t="str">
            <v/>
          </cell>
        </row>
        <row r="573">
          <cell r="C573">
            <v>88305</v>
          </cell>
          <cell r="D573" t="str">
            <v/>
          </cell>
          <cell r="E573" t="str">
            <v/>
          </cell>
          <cell r="F573" t="str">
            <v>Final</v>
          </cell>
          <cell r="G573" t="str">
            <v>Final Collected</v>
          </cell>
          <cell r="H573" t="str">
            <v>No</v>
          </cell>
          <cell r="I573" t="str">
            <v>Spencer Anderson</v>
          </cell>
          <cell r="J573" t="str">
            <v/>
          </cell>
          <cell r="K573" t="str">
            <v>https://panda-windows-and-doors.monday.com/protected_static/21046287/resources/2607121491/Signed dealer order - QQ #88305 - SPW_Bi-Fold Window - 12032025.pdf</v>
          </cell>
          <cell r="L573" t="str">
            <v>https://panda-windows-and-doors.monday.com/protected_static/21046287/resources/2607144558/BP-70M55_20251209_065841.pdf</v>
          </cell>
          <cell r="M573" t="str">
            <v/>
          </cell>
          <cell r="N573" t="str">
            <v>https://panda-windows-and-doors.monday.com/protected_static/21046287/resources/2607865530/88305 Deposit Invoice.pdf</v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>Completed - Closed Out</v>
          </cell>
          <cell r="T573" t="str">
            <v/>
          </cell>
          <cell r="U573">
            <v>4218</v>
          </cell>
          <cell r="V573">
            <v>4217</v>
          </cell>
          <cell r="W573" t="str">
            <v>George Bails Feb 16, 2026 1:31 PM</v>
          </cell>
          <cell r="X573" t="str">
            <v/>
          </cell>
          <cell r="Y573">
            <v>46000</v>
          </cell>
          <cell r="Z573" t="str">
            <v/>
          </cell>
          <cell r="AA573">
            <v>46000</v>
          </cell>
          <cell r="AB573" t="str">
            <v>Annalene Conde Dec 9, 2025 7:59 AM</v>
          </cell>
          <cell r="AC573">
            <v>46000</v>
          </cell>
          <cell r="AD573">
            <v>46003</v>
          </cell>
          <cell r="AE573">
            <v>46057</v>
          </cell>
          <cell r="AF573">
            <v>46058</v>
          </cell>
          <cell r="AG573">
            <v>46069</v>
          </cell>
          <cell r="AH573" t="str">
            <v>Justin Williams</v>
          </cell>
          <cell r="AI573" t="str">
            <v/>
          </cell>
        </row>
        <row r="574">
          <cell r="C574">
            <v>85857</v>
          </cell>
          <cell r="D574" t="str">
            <v/>
          </cell>
          <cell r="E574" t="str">
            <v/>
          </cell>
          <cell r="F574" t="str">
            <v>Final</v>
          </cell>
          <cell r="G574" t="str">
            <v>Final Collected</v>
          </cell>
          <cell r="H574" t="str">
            <v>No</v>
          </cell>
          <cell r="I574" t="str">
            <v>Derrick McCall</v>
          </cell>
          <cell r="J574" t="str">
            <v/>
          </cell>
          <cell r="K574" t="str">
            <v>https://panda-windows-and-doors.monday.com/protected_static/21046287/resources/2319194421/Panda Sales Order.pdf</v>
          </cell>
          <cell r="L574" t="str">
            <v>https://panda-windows-and-doors.monday.com/protected_static/21046287/resources/2319194690/A Backer.pdf</v>
          </cell>
          <cell r="M574" t="str">
            <v/>
          </cell>
          <cell r="N574" t="str">
            <v>https://panda-windows-and-doors.monday.com/protected_static/21046287/resources/2321006951/85857 Deposit Invoice.pdf</v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>Completed - Closed Out</v>
          </cell>
          <cell r="T574" t="str">
            <v/>
          </cell>
          <cell r="U574">
            <v>30415</v>
          </cell>
          <cell r="V574">
            <v>34871.18</v>
          </cell>
          <cell r="W574" t="str">
            <v>George Bails Feb 17, 2026 4:07 PM</v>
          </cell>
          <cell r="X574" t="str">
            <v>2025-03-07 00:00</v>
          </cell>
          <cell r="Y574">
            <v>45867</v>
          </cell>
          <cell r="Z574" t="str">
            <v/>
          </cell>
          <cell r="AA574">
            <v>45867</v>
          </cell>
          <cell r="AB574" t="str">
            <v>Jayme Truong Jul 29, 2025 2:56 PM</v>
          </cell>
          <cell r="AC574">
            <v>45868</v>
          </cell>
          <cell r="AD574">
            <v>45874</v>
          </cell>
          <cell r="AE574">
            <v>46062</v>
          </cell>
          <cell r="AF574">
            <v>46062</v>
          </cell>
          <cell r="AG574">
            <v>46070</v>
          </cell>
          <cell r="AH574" t="str">
            <v>Terra Nova</v>
          </cell>
          <cell r="AI574" t="str">
            <v/>
          </cell>
        </row>
        <row r="575">
          <cell r="C575">
            <v>87768</v>
          </cell>
          <cell r="D575" t="str">
            <v/>
          </cell>
          <cell r="E575" t="str">
            <v/>
          </cell>
          <cell r="F575" t="str">
            <v>Final</v>
          </cell>
          <cell r="G575" t="str">
            <v>Final Collected</v>
          </cell>
          <cell r="H575" t="str">
            <v>No</v>
          </cell>
          <cell r="I575" t="str">
            <v>Trevor Benthagen, Efrain Zarate</v>
          </cell>
          <cell r="J575" t="str">
            <v/>
          </cell>
          <cell r="K575" t="str">
            <v>https://panda-windows-and-doors.monday.com/protected_static/21046287/resources/2535256065/BP-70M55_20251105_104352.pdf</v>
          </cell>
          <cell r="L575" t="str">
            <v>https://panda-windows-and-doors.monday.com/protected_static/21046287/resources/2535256654/BP-70M55_20251105_104352.pdf</v>
          </cell>
          <cell r="M575" t="str">
            <v/>
          </cell>
          <cell r="N575" t="str">
            <v>https://panda-windows-and-doors.monday.com/protected_static/21046287/resources/2541226186/87768 Deposit Invoice.pdf</v>
          </cell>
          <cell r="O575" t="str">
            <v/>
          </cell>
          <cell r="P575" t="str">
            <v/>
          </cell>
          <cell r="Q575" t="str">
            <v/>
          </cell>
          <cell r="R575" t="str">
            <v>https://panda-windows-and-doors.monday.com/protected_static/21046287/resources/2605056579/Q87768 CAMAS GRILL T.I. -  B.O.M.pdf, https://panda-windows-and-doors.monday.com/protected_static/21046287/resources/2605056582/Q87768 CAMAS GRILL T.I. - CUTLIST (MANUAL).pdf</v>
          </cell>
          <cell r="S575" t="str">
            <v>Completed - Closed Out</v>
          </cell>
          <cell r="T575" t="str">
            <v/>
          </cell>
          <cell r="U575">
            <v>25537</v>
          </cell>
          <cell r="V575">
            <v>28435.119999999999</v>
          </cell>
          <cell r="W575" t="str">
            <v>George Bails Feb 17, 2026 4:23 PM</v>
          </cell>
          <cell r="X575" t="str">
            <v>2025-10-13 12:12</v>
          </cell>
          <cell r="Y575">
            <v>45966</v>
          </cell>
          <cell r="Z575" t="str">
            <v/>
          </cell>
          <cell r="AA575">
            <v>45968</v>
          </cell>
          <cell r="AB575" t="str">
            <v>Annalene Conde Nov 5, 2025 11:45 AM</v>
          </cell>
          <cell r="AC575">
            <v>45968</v>
          </cell>
          <cell r="AD575">
            <v>45971</v>
          </cell>
          <cell r="AE575">
            <v>46064</v>
          </cell>
          <cell r="AF575">
            <v>46064</v>
          </cell>
          <cell r="AG575">
            <v>46070</v>
          </cell>
          <cell r="AH575" t="str">
            <v>Kim Nielsen</v>
          </cell>
          <cell r="AI575" t="str">
            <v/>
          </cell>
        </row>
        <row r="576">
          <cell r="C576">
            <v>81326</v>
          </cell>
          <cell r="D576" t="str">
            <v/>
          </cell>
          <cell r="E576" t="str">
            <v/>
          </cell>
          <cell r="F576" t="str">
            <v>Final</v>
          </cell>
          <cell r="G576" t="str">
            <v>Final Collected</v>
          </cell>
          <cell r="H576" t="str">
            <v>No</v>
          </cell>
          <cell r="I576" t="str">
            <v>Luke Valles</v>
          </cell>
          <cell r="J576" t="str">
            <v/>
          </cell>
          <cell r="K576" t="str">
            <v>https://panda-windows-and-doors.monday.com/protected_static/21046287/resources/2088645294/QQ #81326 - Saddle River Day School - SIGNED.pdf</v>
          </cell>
          <cell r="L576" t="str">
            <v>https://panda-windows-and-doors.monday.com/protected_static/21046287/resources/2088666889/81326 Saddle River - Signed backer.pdf</v>
          </cell>
          <cell r="M576" t="str">
            <v/>
          </cell>
          <cell r="N576" t="str">
            <v>https://panda-windows-and-doors.monday.com/protected_static/21046287/resources/2088738100/81326 Deposit Invoice.pdf</v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>Completed - Closed Out</v>
          </cell>
          <cell r="T576" t="str">
            <v/>
          </cell>
          <cell r="U576">
            <v>7693</v>
          </cell>
          <cell r="V576">
            <v>7693</v>
          </cell>
          <cell r="W576" t="str">
            <v>George Bails Feb 17, 2026 4:04 PM</v>
          </cell>
          <cell r="X576" t="str">
            <v>2025-04-17 00:00</v>
          </cell>
          <cell r="Y576">
            <v>45764</v>
          </cell>
          <cell r="Z576" t="str">
            <v/>
          </cell>
          <cell r="AA576">
            <v>45764</v>
          </cell>
          <cell r="AB576" t="str">
            <v>Jayme Truong Apr 17, 2025 10:34 AM</v>
          </cell>
          <cell r="AC576">
            <v>45764</v>
          </cell>
          <cell r="AD576">
            <v>45775</v>
          </cell>
          <cell r="AE576">
            <v>46058</v>
          </cell>
          <cell r="AF576">
            <v>46058</v>
          </cell>
          <cell r="AG576">
            <v>46070</v>
          </cell>
          <cell r="AH576" t="str">
            <v>Midway Glass and Metal Installers</v>
          </cell>
          <cell r="AI576" t="str">
            <v/>
          </cell>
        </row>
        <row r="577">
          <cell r="C577">
            <v>86420</v>
          </cell>
          <cell r="D577">
            <v>46034</v>
          </cell>
          <cell r="E577" t="str">
            <v/>
          </cell>
          <cell r="F577" t="str">
            <v>Final</v>
          </cell>
          <cell r="G577" t="str">
            <v>Final Collected</v>
          </cell>
          <cell r="H577" t="str">
            <v>No</v>
          </cell>
          <cell r="I577" t="str">
            <v>Sean Torre</v>
          </cell>
          <cell r="J577" t="str">
            <v/>
          </cell>
          <cell r="K577" t="str">
            <v>https://panda-windows-and-doors.monday.com/protected_static/21046287/resources/2362167995/Panda proposl signed 8162025.pdf</v>
          </cell>
          <cell r="L577" t="str">
            <v>https://panda-windows-and-doors.monday.com/protected_static/21046287/resources/2362167684/CamScanner 8-19-25 08.11.pdf, https://panda-windows-and-doors.monday.com/protected_static/21046287/resources/2675252817/The Kay Residence with Discount - 08112025.xlsx</v>
          </cell>
          <cell r="M577" t="str">
            <v/>
          </cell>
          <cell r="N577" t="str">
            <v>https://panda-windows-and-doors.monday.com/protected_static/21046287/resources/2371505127/86420 Deposit Invoice.pdf</v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>Completed - Closed Out</v>
          </cell>
          <cell r="T577" t="str">
            <v/>
          </cell>
          <cell r="U577">
            <v>120942</v>
          </cell>
          <cell r="V577">
            <v>141312.10999999999</v>
          </cell>
          <cell r="W577" t="str">
            <v>George Bails Feb 17, 2026 4:11 PM</v>
          </cell>
          <cell r="X577" t="str">
            <v>2025-07-09 16:41</v>
          </cell>
          <cell r="Y577">
            <v>45888</v>
          </cell>
          <cell r="Z577" t="str">
            <v/>
          </cell>
          <cell r="AA577">
            <v>45888</v>
          </cell>
          <cell r="AB577" t="str">
            <v>Jayme Truong Aug 19, 2025 10:02 AM</v>
          </cell>
          <cell r="AC577">
            <v>45888</v>
          </cell>
          <cell r="AD577">
            <v>45910</v>
          </cell>
          <cell r="AE577">
            <v>46062</v>
          </cell>
          <cell r="AF577">
            <v>46062</v>
          </cell>
          <cell r="AG577">
            <v>46070</v>
          </cell>
          <cell r="AH577" t="str">
            <v>Michelle Kay</v>
          </cell>
          <cell r="AI577">
            <v>46034</v>
          </cell>
        </row>
        <row r="578">
          <cell r="C578">
            <v>88210</v>
          </cell>
          <cell r="D578" t="str">
            <v/>
          </cell>
          <cell r="E578" t="str">
            <v/>
          </cell>
          <cell r="F578" t="str">
            <v>Final</v>
          </cell>
          <cell r="G578" t="str">
            <v>Final Collected</v>
          </cell>
          <cell r="H578" t="str">
            <v>No</v>
          </cell>
          <cell r="I578" t="str">
            <v>Sean Torre</v>
          </cell>
          <cell r="J578" t="str">
            <v/>
          </cell>
          <cell r="K578" t="str">
            <v>https://panda-windows-and-doors.monday.com/protected_static/21046287/resources/2563416915/Sfondrini Signed Proposal.pdf</v>
          </cell>
          <cell r="L578" t="str">
            <v>https://panda-windows-and-doors.monday.com/protected_static/21046287/resources/2563420980/BP-70M55_20251118_121739.pdf</v>
          </cell>
          <cell r="M578" t="str">
            <v/>
          </cell>
          <cell r="N578" t="str">
            <v>https://panda-windows-and-doors.monday.com/protected_static/21046287/resources/2563801643/88210 Deposit Invoice.pdf</v>
          </cell>
          <cell r="O578" t="str">
            <v/>
          </cell>
          <cell r="P578" t="str">
            <v/>
          </cell>
          <cell r="Q578" t="str">
            <v/>
          </cell>
          <cell r="R578" t="str">
            <v>https://panda-windows-and-doors.monday.com/protected_static/21046287/resources/2641190496/Q88210_TS30 BOM.pdf, https://panda-windows-and-doors.monday.com/protected_static/21046287/resources/2641190495/Q88210_TS30 CUT LIST.pdf, https://panda-windows-and-doors.monday.com/protected_static/21046287/resources/2641190498/Q88210_TS30 OPT.pdf</v>
          </cell>
          <cell r="S578" t="str">
            <v>Completed - Closed Out</v>
          </cell>
          <cell r="T578" t="str">
            <v/>
          </cell>
          <cell r="U578">
            <v>14329</v>
          </cell>
          <cell r="V578">
            <v>16936.669999999998</v>
          </cell>
          <cell r="W578" t="str">
            <v>George Bails Feb 17, 2026 4:15 PM</v>
          </cell>
          <cell r="X578" t="str">
            <v>2025-09-23 00:00</v>
          </cell>
          <cell r="Y578">
            <v>46069</v>
          </cell>
          <cell r="Z578" t="str">
            <v/>
          </cell>
          <cell r="AA578">
            <v>45979</v>
          </cell>
          <cell r="AB578" t="str">
            <v>Annalene Conde Nov 18, 2025 1:30 PM</v>
          </cell>
          <cell r="AC578">
            <v>45979</v>
          </cell>
          <cell r="AD578">
            <v>45993</v>
          </cell>
          <cell r="AE578">
            <v>46069</v>
          </cell>
          <cell r="AF578">
            <v>46069</v>
          </cell>
          <cell r="AG578">
            <v>46070</v>
          </cell>
          <cell r="AH578" t="str">
            <v>Fernando Zuniga</v>
          </cell>
          <cell r="AI578" t="str">
            <v/>
          </cell>
        </row>
        <row r="579">
          <cell r="C579">
            <v>84638</v>
          </cell>
          <cell r="D579">
            <v>45971</v>
          </cell>
          <cell r="E579" t="str">
            <v/>
          </cell>
          <cell r="F579" t="str">
            <v>Final</v>
          </cell>
          <cell r="G579" t="str">
            <v>Final Collected</v>
          </cell>
          <cell r="H579" t="str">
            <v>No</v>
          </cell>
          <cell r="I579" t="str">
            <v>Tyler Clark, Trevor Benthagen</v>
          </cell>
          <cell r="J579" t="str">
            <v/>
          </cell>
          <cell r="K579" t="str">
            <v>https://panda-windows-and-doors.monday.com/protected_static/21046287/resources/2423193033/Signed Sales Order_041125.pdf</v>
          </cell>
          <cell r="L579" t="str">
            <v>https://panda-windows-and-doors.monday.com/protected_static/21046287/resources/2593717593/Change Order Signed Backer_092325.pdf</v>
          </cell>
          <cell r="M579" t="str">
            <v/>
          </cell>
          <cell r="N579" t="str">
            <v>https://panda-windows-and-doors.monday.com/protected_static/21046287/resources/2080352549/84638 Deposit Invoice.pdf, https://panda-windows-and-doors.monday.com/protected_static/21046287/resources/2550474827/84638 Deposit inovice CO 1.pdf</v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>Completed - Closed Out</v>
          </cell>
          <cell r="T579" t="str">
            <v/>
          </cell>
          <cell r="U579">
            <v>133589</v>
          </cell>
          <cell r="V579">
            <v>133588</v>
          </cell>
          <cell r="W579" t="str">
            <v>George Bails Feb 18, 2026 4:03 PM</v>
          </cell>
          <cell r="X579" t="str">
            <v>2025-02-05 00:00</v>
          </cell>
          <cell r="Y579">
            <v>45758</v>
          </cell>
          <cell r="Z579" t="str">
            <v/>
          </cell>
          <cell r="AA579">
            <v>45761</v>
          </cell>
          <cell r="AB579" t="str">
            <v>Jayme Truong Apr 11, 2025 11:11 AM</v>
          </cell>
          <cell r="AC579">
            <v>45761</v>
          </cell>
          <cell r="AD579">
            <v>45762</v>
          </cell>
          <cell r="AE579">
            <v>46070</v>
          </cell>
          <cell r="AF579">
            <v>46071</v>
          </cell>
          <cell r="AG579">
            <v>46071</v>
          </cell>
          <cell r="AH579" t="str">
            <v>Wenatchee Glass -</v>
          </cell>
          <cell r="AI579">
            <v>45971</v>
          </cell>
        </row>
        <row r="580">
          <cell r="C580">
            <v>88293</v>
          </cell>
          <cell r="D580" t="str">
            <v/>
          </cell>
          <cell r="E580" t="str">
            <v/>
          </cell>
          <cell r="F580" t="str">
            <v>Final</v>
          </cell>
          <cell r="G580" t="str">
            <v>Final Collected</v>
          </cell>
          <cell r="H580" t="str">
            <v>No</v>
          </cell>
          <cell r="I580" t="str">
            <v>Stefan Monetta</v>
          </cell>
          <cell r="J580" t="str">
            <v/>
          </cell>
          <cell r="K580" t="str">
            <v>https://panda-windows-and-doors.monday.com/protected_static/21046287/resources/2639296320/0772_001.pdf</v>
          </cell>
          <cell r="L580" t="str">
            <v>https://panda-windows-and-doors.monday.com/protected_static/21046287/resources/2639451995/BP-70M55_20251223_131046.pdf</v>
          </cell>
          <cell r="M580" t="str">
            <v/>
          </cell>
          <cell r="N580" t="str">
            <v>https://panda-windows-and-doors.monday.com/protected_static/21046287/resources/2640510986/88293 Deposit Invoice.pdf</v>
          </cell>
          <cell r="O580" t="str">
            <v/>
          </cell>
          <cell r="P580" t="str">
            <v/>
          </cell>
          <cell r="Q580" t="str">
            <v/>
          </cell>
          <cell r="R580" t="str">
            <v>https://panda-windows-and-doors.monday.com/protected_static/21046287/resources/2679285236/Q88293_TS30 BOM.pdf, https://panda-windows-and-doors.monday.com/protected_static/21046287/resources/2679285240/Q88293_TS30 CUTLIST.pdf, https://panda-windows-and-doors.monday.com/protected_static/21046287/resources/2679285725/Q88293_TS30 OPT.pdf, https://panda-windows-and-doors.monday.com/protected_static/21046287/resources/2679285718/Q88293_TS30_TRACK.pdf</v>
          </cell>
          <cell r="S580" t="str">
            <v>Completed - Closed Out</v>
          </cell>
          <cell r="T580" t="str">
            <v/>
          </cell>
          <cell r="U580">
            <v>11765</v>
          </cell>
          <cell r="V580">
            <v>11764</v>
          </cell>
          <cell r="W580" t="str">
            <v>George Bails Feb 19, 2026 9:25 AM</v>
          </cell>
          <cell r="X580" t="str">
            <v>2025-12-23 00:00</v>
          </cell>
          <cell r="Y580">
            <v>46014</v>
          </cell>
          <cell r="Z580" t="str">
            <v/>
          </cell>
          <cell r="AA580">
            <v>46014</v>
          </cell>
          <cell r="AB580" t="str">
            <v>Annalene Conde Dec 23, 2025 12:50 PM</v>
          </cell>
          <cell r="AC580">
            <v>46015</v>
          </cell>
          <cell r="AD580">
            <v>46015</v>
          </cell>
          <cell r="AE580">
            <v>46070</v>
          </cell>
          <cell r="AF580">
            <v>46070</v>
          </cell>
          <cell r="AG580">
            <v>46072</v>
          </cell>
          <cell r="AH580" t="str">
            <v>Reeves Hardware &amp; Building Supply</v>
          </cell>
          <cell r="AI580" t="str">
            <v/>
          </cell>
        </row>
        <row r="581">
          <cell r="C581">
            <v>86866</v>
          </cell>
          <cell r="D581" t="str">
            <v/>
          </cell>
          <cell r="E581" t="str">
            <v/>
          </cell>
          <cell r="F581" t="str">
            <v>Final</v>
          </cell>
          <cell r="G581" t="str">
            <v>Final Collected</v>
          </cell>
          <cell r="H581" t="str">
            <v>No</v>
          </cell>
          <cell r="I581" t="str">
            <v>Tyler Clark</v>
          </cell>
          <cell r="J581" t="str">
            <v/>
          </cell>
          <cell r="K581" t="str">
            <v>https://panda-windows-and-doors.monday.com/protected_static/21046287/resources/2550131746/Signed Sales Order - QQ86866.pdf</v>
          </cell>
          <cell r="L581" t="str">
            <v>https://panda-windows-and-doors.monday.com/protected_static/21046287/resources/2550131300/BP-70M55_20251112_092730.pdf</v>
          </cell>
          <cell r="M581" t="str">
            <v/>
          </cell>
          <cell r="N581" t="str">
            <v>https://panda-windows-and-doors.monday.com/protected_static/21046287/resources/2550251851/86866 Deposit Invoice.pdf</v>
          </cell>
          <cell r="O581" t="str">
            <v/>
          </cell>
          <cell r="P581" t="str">
            <v/>
          </cell>
          <cell r="Q581" t="str">
            <v/>
          </cell>
          <cell r="R581" t="str">
            <v>https://panda-windows-and-doors.monday.com/protected_static/21046287/resources/2641242705/Q86866_TS60_TS64 BOM.pdf, https://panda-windows-and-doors.monday.com/protected_static/21046287/resources/2641242708/Q86866_TS60_TS64 CUT LIST.pdf, https://panda-windows-and-doors.monday.com/protected_static/21046287/resources/2641242706/Q86866_TS60_TS64 OPT (1).pdf, https://panda-windows-and-doors.monday.com/protected_static/21046287/resources/2641242702/Q86866_TS60_TS64 OPT (2).pdf, https://panda-windows-and-doors.monday.com/protected_static/21046287/resources/2641242704/Q86866_TS60_TS64 OPT (3).pdf</v>
          </cell>
          <cell r="S581" t="str">
            <v>Completed - Closed Out</v>
          </cell>
          <cell r="T581" t="str">
            <v/>
          </cell>
          <cell r="U581">
            <v>12000</v>
          </cell>
          <cell r="V581">
            <v>14431.3</v>
          </cell>
          <cell r="W581" t="str">
            <v>George Bails Feb 20, 2026 9:42 AM</v>
          </cell>
          <cell r="X581" t="str">
            <v>2025-08-08 08:09</v>
          </cell>
          <cell r="Y581">
            <v>45973</v>
          </cell>
          <cell r="Z581" t="str">
            <v/>
          </cell>
          <cell r="AA581">
            <v>45973</v>
          </cell>
          <cell r="AB581" t="str">
            <v>Annalene Conde Nov 12, 2025 10:31 AM</v>
          </cell>
          <cell r="AC581">
            <v>45973</v>
          </cell>
          <cell r="AD581">
            <v>45986</v>
          </cell>
          <cell r="AE581">
            <v>46072</v>
          </cell>
          <cell r="AF581">
            <v>46072</v>
          </cell>
          <cell r="AG581">
            <v>46073</v>
          </cell>
          <cell r="AH581" t="str">
            <v>cheryl partee</v>
          </cell>
          <cell r="AI581" t="str">
            <v/>
          </cell>
        </row>
        <row r="582">
          <cell r="C582">
            <v>88500</v>
          </cell>
          <cell r="D582" t="str">
            <v/>
          </cell>
          <cell r="E582" t="str">
            <v/>
          </cell>
          <cell r="F582" t="str">
            <v>Final</v>
          </cell>
          <cell r="G582" t="str">
            <v>Final Collected</v>
          </cell>
          <cell r="H582" t="str">
            <v>No</v>
          </cell>
          <cell r="I582" t="str">
            <v>Spencer Anderson</v>
          </cell>
          <cell r="J582" t="str">
            <v/>
          </cell>
          <cell r="K582" t="str">
            <v>https://panda-windows-and-doors.monday.com/protected_static/21046287/resources/2624134754/Signed Panda door order.pdf</v>
          </cell>
          <cell r="L582" t="str">
            <v>https://panda-windows-and-doors.monday.com/protected_static/21046287/resources/2624136838/BP-70M55_20251216_091532.pdf</v>
          </cell>
          <cell r="M582" t="str">
            <v/>
          </cell>
          <cell r="N582" t="str">
            <v>https://panda-windows-and-doors.monday.com/protected_static/21046287/resources/2628145104/88500 Deposit Invoice.pdf</v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>Completed - Closed Out</v>
          </cell>
          <cell r="T582" t="str">
            <v/>
          </cell>
          <cell r="U582">
            <v>1867.14</v>
          </cell>
          <cell r="V582">
            <v>3771</v>
          </cell>
          <cell r="W582" t="str">
            <v>George Bails Feb 20, 2026 9:35 AM</v>
          </cell>
          <cell r="X582" t="str">
            <v/>
          </cell>
          <cell r="Y582">
            <v>46007</v>
          </cell>
          <cell r="Z582" t="str">
            <v/>
          </cell>
          <cell r="AA582">
            <v>46007</v>
          </cell>
          <cell r="AB582" t="str">
            <v>Annalene Conde Dec 16, 2025 10:27 AM</v>
          </cell>
          <cell r="AC582">
            <v>46008</v>
          </cell>
          <cell r="AD582">
            <v>46020</v>
          </cell>
          <cell r="AE582">
            <v>46070</v>
          </cell>
          <cell r="AF582">
            <v>46070</v>
          </cell>
          <cell r="AG582">
            <v>46073</v>
          </cell>
          <cell r="AH582" t="str">
            <v>Lyle Belnap</v>
          </cell>
          <cell r="AI582" t="str">
            <v/>
          </cell>
        </row>
        <row r="583">
          <cell r="C583">
            <v>86855</v>
          </cell>
          <cell r="D583" t="str">
            <v/>
          </cell>
          <cell r="E583" t="str">
            <v/>
          </cell>
          <cell r="F583" t="str">
            <v>Final</v>
          </cell>
          <cell r="G583" t="str">
            <v>Final Collected</v>
          </cell>
          <cell r="H583" t="str">
            <v>No</v>
          </cell>
          <cell r="I583" t="str">
            <v>Sean Torre</v>
          </cell>
          <cell r="J583" t="str">
            <v/>
          </cell>
          <cell r="K583" t="str">
            <v>https://panda-windows-and-doors.monday.com/protected_static/21046287/resources/2515012208/QQ#86855 Andrew Nguyen 10-16-2025 (1) (1) (1) (1).pdf</v>
          </cell>
          <cell r="L583" t="str">
            <v>https://panda-windows-and-doors.monday.com/protected_static/21046287/resources/2515012299/CamScanner 10-28-25 07.09.pdf</v>
          </cell>
          <cell r="M583" t="str">
            <v/>
          </cell>
          <cell r="N583" t="str">
            <v>https://panda-windows-and-doors.monday.com/protected_static/21046287/resources/2515772011/86855 Deposit Invoice.pdf</v>
          </cell>
          <cell r="O583" t="str">
            <v/>
          </cell>
          <cell r="P583" t="str">
            <v/>
          </cell>
          <cell r="Q583" t="str">
            <v/>
          </cell>
          <cell r="R583" t="str">
            <v>https://panda-windows-and-doors.monday.com/protected_static/21046287/resources/2641301536/Q86855_VOYAGE BOM.pdf, https://panda-windows-and-doors.monday.com/protected_static/21046287/resources/2641301535/Q86855_VOYAGE OPT (1).pdf, https://panda-windows-and-doors.monday.com/protected_static/21046287/resources/2641301535/Q86855_VOYAGE OPT (1).pdf, https://panda-windows-and-doors.monday.com/protected_static/21046287/resources/2641301533/Q86855_VOYAGE OPT (2).pdf, https://panda-windows-and-doors.monday.com/protected_static/21046287/resources/2641301534/Q86855_VOYAGE OPT (3).pdf</v>
          </cell>
          <cell r="S583" t="str">
            <v>Completed - Closed Out</v>
          </cell>
          <cell r="T583" t="str">
            <v/>
          </cell>
          <cell r="U583">
            <v>9717</v>
          </cell>
          <cell r="V583">
            <v>9877</v>
          </cell>
          <cell r="W583" t="str">
            <v>Sean Lopez Feb 20, 2026 3:34 PM</v>
          </cell>
          <cell r="X583" t="str">
            <v>2025-10-28 00:00</v>
          </cell>
          <cell r="Y583">
            <v>45958</v>
          </cell>
          <cell r="Z583" t="str">
            <v/>
          </cell>
          <cell r="AA583">
            <v>45958</v>
          </cell>
          <cell r="AB583" t="str">
            <v>Annalene Conde Oct 28, 2025 8:29 AM</v>
          </cell>
          <cell r="AC583">
            <v>45958</v>
          </cell>
          <cell r="AD583">
            <v>45966</v>
          </cell>
          <cell r="AE583">
            <v>46065</v>
          </cell>
          <cell r="AF583">
            <v>46065</v>
          </cell>
          <cell r="AG583">
            <v>46073</v>
          </cell>
          <cell r="AH583" t="str">
            <v>Shuman Doors</v>
          </cell>
          <cell r="AI583" t="str">
            <v/>
          </cell>
        </row>
        <row r="584">
          <cell r="C584">
            <v>86439</v>
          </cell>
          <cell r="D584">
            <v>46029</v>
          </cell>
          <cell r="E584" t="str">
            <v/>
          </cell>
          <cell r="F584" t="str">
            <v>Final</v>
          </cell>
          <cell r="G584" t="str">
            <v>Final Collected</v>
          </cell>
          <cell r="H584" t="str">
            <v>No</v>
          </cell>
          <cell r="I584" t="str">
            <v>Trevor Benthagen, Efrain Zarate</v>
          </cell>
          <cell r="J584" t="str">
            <v/>
          </cell>
          <cell r="K584" t="str">
            <v>https://panda-windows-and-doors.monday.com/protected_static/21046287/resources/2493135994/smtp.office365.com_20251017_060314.pdf</v>
          </cell>
          <cell r="L584" t="str">
            <v>https://panda-windows-and-doors.monday.com/protected_static/21046287/resources/2493135427/smtp.office365.com_20251017_060346.pdf</v>
          </cell>
          <cell r="M584" t="str">
            <v/>
          </cell>
          <cell r="N584" t="str">
            <v>https://panda-windows-and-doors.monday.com/protected_static/21046287/resources/2493621380/86439 Deposit Invoice.pdf</v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>Completed - Closed Out</v>
          </cell>
          <cell r="T584" t="str">
            <v/>
          </cell>
          <cell r="U584">
            <v>54101</v>
          </cell>
          <cell r="V584">
            <v>34739</v>
          </cell>
          <cell r="W584" t="str">
            <v>George Bails Feb 23, 2026 1:05 PM</v>
          </cell>
          <cell r="X584" t="str">
            <v>2025-10-17 07:22</v>
          </cell>
          <cell r="Y584">
            <v>45947</v>
          </cell>
          <cell r="Z584" t="str">
            <v/>
          </cell>
          <cell r="AA584">
            <v>45947</v>
          </cell>
          <cell r="AB584" t="str">
            <v>Annalene Conde Oct 17, 2025 8:32 AM</v>
          </cell>
          <cell r="AC584">
            <v>45947</v>
          </cell>
          <cell r="AD584">
            <v>45964</v>
          </cell>
          <cell r="AE584">
            <v>46062</v>
          </cell>
          <cell r="AF584">
            <v>46062</v>
          </cell>
          <cell r="AG584">
            <v>46076</v>
          </cell>
          <cell r="AH584" t="str">
            <v>Myles Shows</v>
          </cell>
          <cell r="AI584">
            <v>46029</v>
          </cell>
        </row>
        <row r="585">
          <cell r="C585">
            <v>87431</v>
          </cell>
          <cell r="D585" t="str">
            <v/>
          </cell>
          <cell r="E585" t="str">
            <v/>
          </cell>
          <cell r="F585" t="str">
            <v>Final</v>
          </cell>
          <cell r="G585" t="str">
            <v>Final Collected</v>
          </cell>
          <cell r="H585" t="str">
            <v>No</v>
          </cell>
          <cell r="I585" t="str">
            <v>Tyler Clark</v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>https://panda-windows-and-doors.monday.com/protected_static/21046287/resources/2463038728/87431 Deposit Invoice.pdf</v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>Completed - Closed Out</v>
          </cell>
          <cell r="T585" t="str">
            <v/>
          </cell>
          <cell r="U585">
            <v>12742</v>
          </cell>
          <cell r="V585">
            <v>15200.78</v>
          </cell>
          <cell r="W585" t="str">
            <v>George Bails Feb 23, 2026 1:23 PM</v>
          </cell>
          <cell r="X585" t="str">
            <v/>
          </cell>
          <cell r="Y585">
            <v>45932</v>
          </cell>
          <cell r="Z585" t="str">
            <v/>
          </cell>
          <cell r="AA585">
            <v>45932</v>
          </cell>
          <cell r="AB585" t="str">
            <v>Annalene Conde Oct 2, 2025 4:03 PM</v>
          </cell>
          <cell r="AC585">
            <v>45933</v>
          </cell>
          <cell r="AD585">
            <v>45954</v>
          </cell>
          <cell r="AE585">
            <v>46052</v>
          </cell>
          <cell r="AF585">
            <v>46052</v>
          </cell>
          <cell r="AG585">
            <v>46076</v>
          </cell>
          <cell r="AH585" t="str">
            <v/>
          </cell>
          <cell r="AI585" t="str">
            <v/>
          </cell>
        </row>
        <row r="586">
          <cell r="C586">
            <v>88473</v>
          </cell>
          <cell r="D586" t="str">
            <v/>
          </cell>
          <cell r="E586" t="str">
            <v/>
          </cell>
          <cell r="F586" t="str">
            <v>Final</v>
          </cell>
          <cell r="G586" t="str">
            <v>Final Collected</v>
          </cell>
          <cell r="H586" t="str">
            <v>No</v>
          </cell>
          <cell r="I586" t="str">
            <v>Spencer Anderson</v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>Completed - Closed Out</v>
          </cell>
          <cell r="T586" t="str">
            <v/>
          </cell>
          <cell r="U586">
            <v>0</v>
          </cell>
          <cell r="V586">
            <v>0</v>
          </cell>
          <cell r="W586" t="str">
            <v>Sean Lopez Apr 10, 2026 3:46 PM</v>
          </cell>
          <cell r="X586" t="str">
            <v/>
          </cell>
          <cell r="Y586">
            <v>45999</v>
          </cell>
          <cell r="Z586" t="str">
            <v/>
          </cell>
          <cell r="AA586">
            <v>46077</v>
          </cell>
          <cell r="AB586" t="str">
            <v>Annalene Conde Dec 8, 2025 1:57 PM</v>
          </cell>
          <cell r="AC586" t="str">
            <v/>
          </cell>
          <cell r="AD586" t="str">
            <v/>
          </cell>
          <cell r="AE586">
            <v>46077</v>
          </cell>
          <cell r="AF586" t="str">
            <v/>
          </cell>
          <cell r="AG586">
            <v>46077</v>
          </cell>
          <cell r="AH586" t="str">
            <v>Don Barbour</v>
          </cell>
          <cell r="AI586" t="str">
            <v/>
          </cell>
        </row>
        <row r="587">
          <cell r="C587">
            <v>86050</v>
          </cell>
          <cell r="D587" t="str">
            <v/>
          </cell>
          <cell r="E587" t="str">
            <v/>
          </cell>
          <cell r="F587" t="str">
            <v>Final</v>
          </cell>
          <cell r="G587" t="str">
            <v>Final Collected</v>
          </cell>
          <cell r="H587" t="str">
            <v>No</v>
          </cell>
          <cell r="I587" t="str">
            <v>Efrain Zarate, Trevor Benthagen</v>
          </cell>
          <cell r="J587" t="str">
            <v/>
          </cell>
          <cell r="K587" t="str">
            <v>https://panda-windows-and-doors.monday.com/protected_static/21046287/resources/2292566337/smtp.office365.com_20250716_091116.pdf</v>
          </cell>
          <cell r="L587" t="str">
            <v>https://panda-windows-and-doors.monday.com/protected_static/21046287/resources/2292566007/smtp.office365.com_20250716_091130.pdf</v>
          </cell>
          <cell r="M587" t="str">
            <v/>
          </cell>
          <cell r="N587" t="str">
            <v>https://panda-windows-and-doors.monday.com/protected_static/21046287/resources/2292784796/86050 - Deposit Invoice.pdf</v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>Completed - Closed Out</v>
          </cell>
          <cell r="T587" t="str">
            <v/>
          </cell>
          <cell r="U587">
            <v>68086</v>
          </cell>
          <cell r="V587">
            <v>67560</v>
          </cell>
          <cell r="W587" t="str">
            <v>Victoria Marrufo Mar 3, 2026 8:09 AM</v>
          </cell>
          <cell r="X587" t="str">
            <v>2025-06-13 00:00</v>
          </cell>
          <cell r="Y587">
            <v>45854</v>
          </cell>
          <cell r="Z587" t="str">
            <v/>
          </cell>
          <cell r="AA587">
            <v>45854</v>
          </cell>
          <cell r="AB587" t="str">
            <v>Jayme Truong Jul 16, 2025 11:47 AM</v>
          </cell>
          <cell r="AC587">
            <v>45854</v>
          </cell>
          <cell r="AD587">
            <v>46028</v>
          </cell>
          <cell r="AE587">
            <v>46072</v>
          </cell>
          <cell r="AF587">
            <v>46072</v>
          </cell>
          <cell r="AG587">
            <v>46077</v>
          </cell>
          <cell r="AH587" t="str">
            <v>All New Glass</v>
          </cell>
          <cell r="AI587" t="str">
            <v/>
          </cell>
        </row>
        <row r="588">
          <cell r="C588">
            <v>80262</v>
          </cell>
          <cell r="D588" t="str">
            <v/>
          </cell>
          <cell r="E588" t="str">
            <v/>
          </cell>
          <cell r="F588" t="str">
            <v>Final</v>
          </cell>
          <cell r="G588" t="str">
            <v>Final Collected</v>
          </cell>
          <cell r="H588" t="str">
            <v>No</v>
          </cell>
          <cell r="I588" t="str">
            <v>Derrick McCall</v>
          </cell>
          <cell r="J588" t="str">
            <v/>
          </cell>
          <cell r="K588" t="str">
            <v>https://panda-windows-and-doors.monday.com/protected_static/21046287/resources/2259897100/CCF_000182.pdf</v>
          </cell>
          <cell r="L588" t="str">
            <v>https://panda-windows-and-doors.monday.com/protected_static/21046287/resources/2259897452/Q80262 SB.pdf</v>
          </cell>
          <cell r="M588" t="str">
            <v/>
          </cell>
          <cell r="N588" t="str">
            <v>https://panda-windows-and-doors.monday.com/protected_static/21046287/resources/2260107227/80262 Deposit Invoice.pdf</v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>Completed - Closed Out</v>
          </cell>
          <cell r="T588" t="str">
            <v/>
          </cell>
          <cell r="U588">
            <v>5445</v>
          </cell>
          <cell r="V588">
            <v>6218.6</v>
          </cell>
          <cell r="W588" t="str">
            <v>George Bails Feb 25, 2026 9:00 AM</v>
          </cell>
          <cell r="X588" t="str">
            <v>2025-06-30 00:00</v>
          </cell>
          <cell r="Y588">
            <v>45838</v>
          </cell>
          <cell r="Z588" t="str">
            <v/>
          </cell>
          <cell r="AA588">
            <v>45838</v>
          </cell>
          <cell r="AB588" t="str">
            <v>Jayme Truong Jun 30, 2025 3:31 PM</v>
          </cell>
          <cell r="AC588">
            <v>45838</v>
          </cell>
          <cell r="AD588">
            <v>45855</v>
          </cell>
          <cell r="AE588">
            <v>46066</v>
          </cell>
          <cell r="AF588">
            <v>46066</v>
          </cell>
          <cell r="AG588">
            <v>46078</v>
          </cell>
          <cell r="AH588" t="str">
            <v>Orange Mirror &amp; Glass</v>
          </cell>
          <cell r="AI588" t="str">
            <v/>
          </cell>
        </row>
        <row r="589">
          <cell r="C589">
            <v>79982</v>
          </cell>
          <cell r="D589">
            <v>45847</v>
          </cell>
          <cell r="E589" t="str">
            <v/>
          </cell>
          <cell r="F589" t="str">
            <v>Final</v>
          </cell>
          <cell r="G589" t="str">
            <v>Final Collected</v>
          </cell>
          <cell r="H589" t="str">
            <v>No</v>
          </cell>
          <cell r="I589" t="str">
            <v>Luke Valles</v>
          </cell>
          <cell r="J589" t="str">
            <v/>
          </cell>
          <cell r="K589" t="str">
            <v>https://panda-windows-and-doors.monday.com/protected_static/21046287/resources/2083783772/79982 MPG Architects Office Proposal Signed 030525.pdf</v>
          </cell>
          <cell r="L589" t="str">
            <v>https://panda-windows-and-doors.monday.com/protected_static/21046287/resources/2083572005/79982 MPG Architects Office Backer Signed 030525.pdf</v>
          </cell>
          <cell r="M589" t="str">
            <v/>
          </cell>
          <cell r="N589" t="str">
            <v>https://panda-windows-and-doors.monday.com/protected_static/21046287/resources/2009103134/79982 Deposit Invoice.pdf, https://panda-windows-and-doors.monday.com/protected_static/21046287/resources/2278677789/79982 Change Order 1.pdf</v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>Completed - Closed Out</v>
          </cell>
          <cell r="T589" t="str">
            <v/>
          </cell>
          <cell r="U589">
            <v>11164</v>
          </cell>
          <cell r="V589">
            <v>9191.3799999999992</v>
          </cell>
          <cell r="W589" t="str">
            <v>Panda CRM Jun 10, 2026 10:08 AM</v>
          </cell>
          <cell r="X589" t="str">
            <v>2025-03-05 00:00</v>
          </cell>
          <cell r="Y589">
            <v>45721</v>
          </cell>
          <cell r="Z589" t="str">
            <v/>
          </cell>
          <cell r="AA589">
            <v>45847</v>
          </cell>
          <cell r="AB589" t="str">
            <v>Jayme Truong Mar 5, 2025 8:50 AM</v>
          </cell>
          <cell r="AC589">
            <v>45833</v>
          </cell>
          <cell r="AD589">
            <v>45855</v>
          </cell>
          <cell r="AE589">
            <v>46078</v>
          </cell>
          <cell r="AF589">
            <v>45833</v>
          </cell>
          <cell r="AG589">
            <v>46078</v>
          </cell>
          <cell r="AH589" t="str">
            <v>Atwood Glass, Inc</v>
          </cell>
          <cell r="AI589">
            <v>45847</v>
          </cell>
        </row>
        <row r="590">
          <cell r="C590">
            <v>85506</v>
          </cell>
          <cell r="D590" t="str">
            <v/>
          </cell>
          <cell r="E590" t="str">
            <v/>
          </cell>
          <cell r="F590" t="str">
            <v>Final</v>
          </cell>
          <cell r="G590" t="str">
            <v>Final Collected</v>
          </cell>
          <cell r="H590" t="str">
            <v>No</v>
          </cell>
          <cell r="I590" t="str">
            <v>Sean Torre</v>
          </cell>
          <cell r="J590" t="str">
            <v/>
          </cell>
          <cell r="K590" t="str">
            <v>https://panda-windows-and-doors.monday.com/protected_static/21046287/resources/2161574565/QQ#85506 (Whole House) 37 Painted Feather Way (WH) 05202025 (1) (1) (2) (1) (2).pdf</v>
          </cell>
          <cell r="L590" t="str">
            <v>https://panda-windows-and-doors.monday.com/protected_static/21046287/resources/2161574481/Q# 85506 - 37 painted feather way - sign.pdf</v>
          </cell>
          <cell r="M590" t="str">
            <v/>
          </cell>
          <cell r="N590" t="str">
            <v>https://panda-windows-and-doors.monday.com/protected_static/21046287/resources/2161700757/85506 deposit invoice.pdf</v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>Completed - Closed Out</v>
          </cell>
          <cell r="T590" t="str">
            <v/>
          </cell>
          <cell r="U590">
            <v>96079</v>
          </cell>
          <cell r="V590">
            <v>111933.29</v>
          </cell>
          <cell r="W590" t="str">
            <v>Panda CRM Jun 10, 2026 10:08 AM</v>
          </cell>
          <cell r="X590" t="str">
            <v>2025-05-23 00:00</v>
          </cell>
          <cell r="Y590">
            <v>45800</v>
          </cell>
          <cell r="Z590" t="str">
            <v/>
          </cell>
          <cell r="AA590">
            <v>45800</v>
          </cell>
          <cell r="AB590" t="str">
            <v>Jayme Truong May 23, 2025 2:34 PM</v>
          </cell>
          <cell r="AC590">
            <v>45800</v>
          </cell>
          <cell r="AD590">
            <v>45834</v>
          </cell>
          <cell r="AE590">
            <v>46078</v>
          </cell>
          <cell r="AF590" t="str">
            <v/>
          </cell>
          <cell r="AG590">
            <v>46078</v>
          </cell>
          <cell r="AH590" t="str">
            <v>MP Service - WH</v>
          </cell>
          <cell r="AI590" t="str">
            <v/>
          </cell>
        </row>
        <row r="591">
          <cell r="C591">
            <v>83539</v>
          </cell>
          <cell r="D591">
            <v>45909</v>
          </cell>
          <cell r="E591" t="str">
            <v/>
          </cell>
          <cell r="F591" t="str">
            <v>Final</v>
          </cell>
          <cell r="G591" t="str">
            <v>Final Collected</v>
          </cell>
          <cell r="H591" t="str">
            <v>No</v>
          </cell>
          <cell r="I591" t="str">
            <v>Trevor Benthagen, Efrain Zarate</v>
          </cell>
          <cell r="J591" t="str">
            <v/>
          </cell>
          <cell r="K591" t="str">
            <v>https://panda-windows-and-doors.monday.com/protected_static/21046287/resources/2236674698/smtp.office365.com_20250626_093558.pdf</v>
          </cell>
          <cell r="L591" t="str">
            <v>https://panda-windows-and-doors.monday.com/protected_static/21046287/resources/2236674303/smtp.office365.com_20250626_093612.pdf</v>
          </cell>
          <cell r="M591" t="str">
            <v/>
          </cell>
          <cell r="N591" t="str">
            <v>https://panda-windows-and-doors.monday.com/protected_static/21046287/resources/2240649573/83539 Deposit Invoice.pdf</v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>Completed - Closed Out</v>
          </cell>
          <cell r="T591" t="str">
            <v/>
          </cell>
          <cell r="U591">
            <v>41098</v>
          </cell>
          <cell r="V591">
            <v>41647.46</v>
          </cell>
          <cell r="W591" t="str">
            <v>Panda CRM Jun 10, 2026 10:08 AM</v>
          </cell>
          <cell r="X591" t="str">
            <v>2025-01-20 16:57</v>
          </cell>
          <cell r="Y591">
            <v>45834</v>
          </cell>
          <cell r="Z591" t="str">
            <v/>
          </cell>
          <cell r="AA591">
            <v>45834</v>
          </cell>
          <cell r="AB591" t="str">
            <v>Jayme Truong Jun 26, 2025 12:16 PM</v>
          </cell>
          <cell r="AC591" t="str">
            <v/>
          </cell>
          <cell r="AD591">
            <v>45834</v>
          </cell>
          <cell r="AE591">
            <v>46078</v>
          </cell>
          <cell r="AF591">
            <v>45908</v>
          </cell>
          <cell r="AG591">
            <v>46078</v>
          </cell>
          <cell r="AH591" t="str">
            <v>Chad Owen</v>
          </cell>
          <cell r="AI591">
            <v>45909</v>
          </cell>
        </row>
        <row r="592">
          <cell r="C592">
            <v>88381</v>
          </cell>
          <cell r="D592" t="str">
            <v/>
          </cell>
          <cell r="E592" t="str">
            <v/>
          </cell>
          <cell r="F592" t="str">
            <v>Final</v>
          </cell>
          <cell r="G592" t="str">
            <v>Final Collected</v>
          </cell>
          <cell r="H592" t="str">
            <v>No</v>
          </cell>
          <cell r="I592" t="str">
            <v>Mireya Franco, Trevor Benthagen, Efrain Zarate</v>
          </cell>
          <cell r="J592" t="str">
            <v/>
          </cell>
          <cell r="K592" t="str">
            <v>https://panda-windows-and-doors.monday.com/protected_static/21046287/resources/2590304502/BP-70M55_20251201_144012.pdf</v>
          </cell>
          <cell r="L592" t="str">
            <v>https://panda-windows-and-doors.monday.com/protected_static/21046287/resources/2590304209/BP-70M55_20251201_144032.pdf</v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>Pending Deposit</v>
          </cell>
          <cell r="T592" t="str">
            <v/>
          </cell>
          <cell r="U592">
            <v>0</v>
          </cell>
          <cell r="V592">
            <v>1167.48</v>
          </cell>
          <cell r="W592" t="str">
            <v>Sean Lopez Apr 10, 2026 3:46 PM</v>
          </cell>
          <cell r="X592" t="str">
            <v>2025-12-01 00:00</v>
          </cell>
          <cell r="Y592">
            <v>45992</v>
          </cell>
          <cell r="Z592" t="str">
            <v/>
          </cell>
          <cell r="AA592">
            <v>45992</v>
          </cell>
          <cell r="AB592" t="str">
            <v>Annalene Conde Dec 1, 2025 3:41 PM</v>
          </cell>
          <cell r="AC592">
            <v>45993</v>
          </cell>
          <cell r="AD592" t="str">
            <v/>
          </cell>
          <cell r="AE592">
            <v>46078</v>
          </cell>
          <cell r="AF592" t="str">
            <v/>
          </cell>
          <cell r="AG592">
            <v>46078</v>
          </cell>
          <cell r="AH592" t="str">
            <v>Dan Martinez</v>
          </cell>
          <cell r="AI592" t="str">
            <v/>
          </cell>
        </row>
        <row r="593">
          <cell r="C593">
            <v>79488</v>
          </cell>
          <cell r="D593">
            <v>45909</v>
          </cell>
          <cell r="E593" t="str">
            <v/>
          </cell>
          <cell r="F593" t="str">
            <v>Final</v>
          </cell>
          <cell r="G593" t="str">
            <v>Final Collected</v>
          </cell>
          <cell r="H593" t="str">
            <v>No</v>
          </cell>
          <cell r="I593" t="str">
            <v>Luke Valles</v>
          </cell>
          <cell r="J593" t="str">
            <v/>
          </cell>
          <cell r="K593" t="str">
            <v>https://panda-windows-and-doors.monday.com/protected_static/21046287/resources/2396112139/QQ #79488 - Skyline 857 5th Ave - 03262024.pdf</v>
          </cell>
          <cell r="L593" t="str">
            <v>https://panda-windows-and-doors.monday.com/protected_static/21046287/resources/2396112426/Skyline 857 5th Ave - 03262024.xlsm</v>
          </cell>
          <cell r="M593" t="str">
            <v/>
          </cell>
          <cell r="N593" t="str">
            <v>https://panda-windows-and-doors.monday.com/protected_static/21046287/resources/2407420735/79488 Deposit Invoice.pdf, https://panda-windows-and-doors.monday.com/protected_static/21046287/resources/2407546911/79488 Deposit Invoice CO 1.pdf</v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>Completed - Closed Out</v>
          </cell>
          <cell r="T593" t="str">
            <v/>
          </cell>
          <cell r="U593">
            <v>23768</v>
          </cell>
          <cell r="V593">
            <v>27706.17</v>
          </cell>
          <cell r="W593" t="str">
            <v>George Bails Feb 27, 2026 12:01 PM</v>
          </cell>
          <cell r="X593" t="str">
            <v>2025-08-14 00:00</v>
          </cell>
          <cell r="Y593">
            <v>45908</v>
          </cell>
          <cell r="Z593" t="str">
            <v/>
          </cell>
          <cell r="AA593">
            <v>45908</v>
          </cell>
          <cell r="AB593" t="str">
            <v>Jayme Truong Sep 8, 2025 4:46 PM</v>
          </cell>
          <cell r="AC593" t="str">
            <v/>
          </cell>
          <cell r="AD593" t="str">
            <v/>
          </cell>
          <cell r="AE593">
            <v>46078</v>
          </cell>
          <cell r="AF593">
            <v>46078</v>
          </cell>
          <cell r="AG593">
            <v>46080</v>
          </cell>
          <cell r="AH593" t="str">
            <v>Skyline Windows and Doors</v>
          </cell>
          <cell r="AI593">
            <v>45909</v>
          </cell>
        </row>
        <row r="594">
          <cell r="C594">
            <v>88570</v>
          </cell>
          <cell r="D594" t="str">
            <v/>
          </cell>
          <cell r="E594" t="str">
            <v/>
          </cell>
          <cell r="F594" t="str">
            <v>Final</v>
          </cell>
          <cell r="G594" t="str">
            <v>Final Collected</v>
          </cell>
          <cell r="H594" t="str">
            <v>No</v>
          </cell>
          <cell r="I594" t="str">
            <v>Trevor Benthagen, Efrain Zarate</v>
          </cell>
          <cell r="J594" t="str">
            <v/>
          </cell>
          <cell r="K594" t="str">
            <v>https://panda-windows-and-doors.monday.com/protected_static/21046287/resources/2686807249/BP-70M55_20260115_151814.pdf</v>
          </cell>
          <cell r="L594" t="str">
            <v>https://panda-windows-and-doors.monday.com/protected_static/21046287/resources/2686806906/BP-70M55_20260115_151821.pdf</v>
          </cell>
          <cell r="M594" t="str">
            <v/>
          </cell>
          <cell r="N594" t="str">
            <v>https://panda-windows-and-doors.monday.com/protected_static/21046287/resources/2689562942/88570 Deposit Invoice.pdf</v>
          </cell>
          <cell r="O594" t="str">
            <v/>
          </cell>
          <cell r="P594" t="str">
            <v/>
          </cell>
          <cell r="Q594" t="str">
            <v/>
          </cell>
          <cell r="R594" t="str">
            <v>https://panda-windows-and-doors.monday.com/protected_static/21046287/resources/2728873585/Q88570_TS60 BOM.pdf, https://panda-windows-and-doors.monday.com/protected_static/21046287/resources/2728873577/Q88570_TS60 CUTLIST.pdf, https://panda-windows-and-doors.monday.com/protected_static/21046287/resources/2728873577/Q88570_TS60 CUTLIST.pdf, https://panda-windows-and-doors.monday.com/protected_static/21046287/resources/2728873583/Q88570_TS60 MAT LIST.pdf, https://panda-windows-and-doors.monday.com/protected_static/21046287/resources/2728873587/Q88570_TS60 OPT.pdf</v>
          </cell>
          <cell r="S594" t="str">
            <v>Completed - Closed Out</v>
          </cell>
          <cell r="T594" t="str">
            <v/>
          </cell>
          <cell r="U594">
            <v>8743</v>
          </cell>
          <cell r="V594">
            <v>10200.64</v>
          </cell>
          <cell r="W594" t="str">
            <v>George Bails Feb 27, 2026 4:25 PM</v>
          </cell>
          <cell r="X594" t="str">
            <v>2025-12-12 08:27</v>
          </cell>
          <cell r="Y594">
            <v>46037</v>
          </cell>
          <cell r="Z594" t="str">
            <v/>
          </cell>
          <cell r="AA594">
            <v>46037</v>
          </cell>
          <cell r="AB594" t="str">
            <v>Annalene Conde Jan 15, 2026 4:28 PM</v>
          </cell>
          <cell r="AC594">
            <v>46038</v>
          </cell>
          <cell r="AD594">
            <v>46042</v>
          </cell>
          <cell r="AE594">
            <v>46077</v>
          </cell>
          <cell r="AF594">
            <v>46077</v>
          </cell>
          <cell r="AG594">
            <v>46080</v>
          </cell>
          <cell r="AH594" t="str">
            <v>Austin Anderson</v>
          </cell>
          <cell r="AI594" t="str">
            <v/>
          </cell>
        </row>
        <row r="595">
          <cell r="C595">
            <v>82562</v>
          </cell>
          <cell r="D595" t="str">
            <v/>
          </cell>
          <cell r="E595" t="str">
            <v/>
          </cell>
          <cell r="F595" t="str">
            <v>Final</v>
          </cell>
          <cell r="G595" t="str">
            <v>Final Collected</v>
          </cell>
          <cell r="H595" t="str">
            <v>No</v>
          </cell>
          <cell r="I595" t="str">
            <v>Derrick McCall</v>
          </cell>
          <cell r="J595" t="str">
            <v/>
          </cell>
          <cell r="K595" t="str">
            <v>https://panda-windows-and-doors.monday.com/protected_static/21046287/resources/2083753911/_AP 82562 The Standard.pdf</v>
          </cell>
          <cell r="L595" t="str">
            <v>https://panda-windows-and-doors.monday.com/protected_static/21046287/resources/2083399686/smtp.office365.com_20250408_065341.pdf, https://panda-windows-and-doors.monday.com/protected_static/21046287/resources/2143645259/Avi Approved  Backer.pdf</v>
          </cell>
          <cell r="M595" t="str">
            <v/>
          </cell>
          <cell r="N595" t="str">
            <v>https://panda-windows-and-doors.monday.com/protected_static/21046287/resources/2069763002/82562 Deposit Invoice.pdf</v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>Completed - Closed Out</v>
          </cell>
          <cell r="T595" t="str">
            <v/>
          </cell>
          <cell r="U595">
            <v>82502</v>
          </cell>
          <cell r="V595">
            <v>96670.53</v>
          </cell>
          <cell r="W595" t="str">
            <v>George Bails Mar 3, 2026 7:14 AM</v>
          </cell>
          <cell r="X595" t="str">
            <v>2025-04-08 00:00</v>
          </cell>
          <cell r="Y595">
            <v>45755</v>
          </cell>
          <cell r="Z595" t="str">
            <v/>
          </cell>
          <cell r="AA595">
            <v>45755</v>
          </cell>
          <cell r="AB595" t="str">
            <v>Jayme Truong Apr 8, 2025 9:27 AM</v>
          </cell>
          <cell r="AC595">
            <v>45755</v>
          </cell>
          <cell r="AD595">
            <v>45792</v>
          </cell>
          <cell r="AE595">
            <v>46080</v>
          </cell>
          <cell r="AF595">
            <v>46080</v>
          </cell>
          <cell r="AG595">
            <v>46083</v>
          </cell>
          <cell r="AH595" t="str">
            <v>SoCal Glass</v>
          </cell>
          <cell r="AI595" t="str">
            <v/>
          </cell>
        </row>
        <row r="596">
          <cell r="C596">
            <v>87898</v>
          </cell>
          <cell r="D596" t="str">
            <v/>
          </cell>
          <cell r="E596" t="str">
            <v/>
          </cell>
          <cell r="F596" t="str">
            <v>Final</v>
          </cell>
          <cell r="G596" t="str">
            <v>Final Collected</v>
          </cell>
          <cell r="H596" t="str">
            <v>No</v>
          </cell>
          <cell r="I596" t="str">
            <v>Sean Torre</v>
          </cell>
          <cell r="J596" t="str">
            <v/>
          </cell>
          <cell r="K596" t="str">
            <v>https://panda-windows-and-doors.monday.com/protected_static/21046287/resources/2521254297/PLACING PANDA ORDER 10-30-25.pdf</v>
          </cell>
          <cell r="L596" t="str">
            <v>https://panda-windows-and-doors.monday.com/protected_static/21046287/resources/2543970384/CamScanner 11-10-25 07.56.pdf</v>
          </cell>
          <cell r="M596" t="str">
            <v/>
          </cell>
          <cell r="N596" t="str">
            <v>https://panda-windows-and-doors.monday.com/protected_static/21046287/resources/2522442789/87898 Deposit Invoice.pdf</v>
          </cell>
          <cell r="O596" t="str">
            <v/>
          </cell>
          <cell r="P596" t="str">
            <v/>
          </cell>
          <cell r="Q596" t="str">
            <v/>
          </cell>
          <cell r="R596" t="str">
            <v>https://panda-windows-and-doors.monday.com/protected_static/21046287/resources/2604658748/Q87898_TS60 BOM.pdf, https://panda-windows-and-doors.monday.com/protected_static/21046287/resources/2604658753/Q87898_TS60 CUTLIST.pdf, https://panda-windows-and-doors.monday.com/protected_static/21046287/resources/2604658747/Q87898_TS60 OPT.pdf</v>
          </cell>
          <cell r="S596" t="str">
            <v>Completed - Closed Out</v>
          </cell>
          <cell r="T596" t="str">
            <v/>
          </cell>
          <cell r="U596">
            <v>6997.5</v>
          </cell>
          <cell r="V596">
            <v>6997.5</v>
          </cell>
          <cell r="W596" t="str">
            <v>George Bails Mar 3, 2026 7:34 AM</v>
          </cell>
          <cell r="X596" t="str">
            <v/>
          </cell>
          <cell r="Y596">
            <v>45960</v>
          </cell>
          <cell r="Z596" t="str">
            <v/>
          </cell>
          <cell r="AA596">
            <v>45960</v>
          </cell>
          <cell r="AB596" t="str">
            <v>Annalene Conde Oct 30, 2025 8:57 AM</v>
          </cell>
          <cell r="AC596">
            <v>45960</v>
          </cell>
          <cell r="AD596">
            <v>45967</v>
          </cell>
          <cell r="AE596">
            <v>46073</v>
          </cell>
          <cell r="AF596">
            <v>46073</v>
          </cell>
          <cell r="AG596">
            <v>46083</v>
          </cell>
          <cell r="AH596" t="str">
            <v>Randy Dodson</v>
          </cell>
          <cell r="AI596" t="str">
            <v/>
          </cell>
        </row>
        <row r="597">
          <cell r="C597">
            <v>84790</v>
          </cell>
          <cell r="D597" t="str">
            <v/>
          </cell>
          <cell r="E597" t="str">
            <v/>
          </cell>
          <cell r="F597" t="str">
            <v>Final</v>
          </cell>
          <cell r="G597" t="str">
            <v>Final Collected</v>
          </cell>
          <cell r="H597" t="str">
            <v>No</v>
          </cell>
          <cell r="I597" t="str">
            <v>Luke Valles</v>
          </cell>
          <cell r="J597" t="str">
            <v/>
          </cell>
          <cell r="K597" t="str">
            <v>https://panda-windows-and-doors.monday.com/protected_static/21046287/resources/2362437453/QQ #84790 - Avatar Custom Home - 08182025(2).pdf</v>
          </cell>
          <cell r="L597" t="str">
            <v>https://panda-windows-and-doors.monday.com/protected_static/21046287/resources/2362425759/Q84790 Avatar - signed backer.pdf</v>
          </cell>
          <cell r="M597" t="str">
            <v/>
          </cell>
          <cell r="N597" t="str">
            <v>https://panda-windows-and-doors.monday.com/protected_static/21046287/resources/2363452498/6bc558c9-1c24-4fb1-aa2e-c73843051842.pdf</v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>Completed - Closed Out</v>
          </cell>
          <cell r="T597" t="str">
            <v/>
          </cell>
          <cell r="U597">
            <v>37869</v>
          </cell>
          <cell r="V597">
            <v>42223.22</v>
          </cell>
          <cell r="W597" t="str">
            <v>George Bails Mar 3, 2026 11:03 AM</v>
          </cell>
          <cell r="X597" t="str">
            <v>2025-02-25 00:00</v>
          </cell>
          <cell r="Y597">
            <v>45888</v>
          </cell>
          <cell r="Z597" t="str">
            <v/>
          </cell>
          <cell r="AA597">
            <v>45888</v>
          </cell>
          <cell r="AB597" t="str">
            <v>Jayme Truong Aug 19, 2025 10:41 AM</v>
          </cell>
          <cell r="AC597">
            <v>45888</v>
          </cell>
          <cell r="AD597">
            <v>45890</v>
          </cell>
          <cell r="AE597">
            <v>46069</v>
          </cell>
          <cell r="AF597">
            <v>46069</v>
          </cell>
          <cell r="AG597">
            <v>46084</v>
          </cell>
          <cell r="AH597" t="str">
            <v>Avatar Design Build</v>
          </cell>
          <cell r="AI597" t="str">
            <v/>
          </cell>
        </row>
        <row r="598">
          <cell r="C598">
            <v>86944</v>
          </cell>
          <cell r="D598" t="str">
            <v/>
          </cell>
          <cell r="E598" t="str">
            <v/>
          </cell>
          <cell r="F598" t="str">
            <v>Final</v>
          </cell>
          <cell r="G598" t="str">
            <v>Final Collected</v>
          </cell>
          <cell r="H598" t="str">
            <v>No</v>
          </cell>
          <cell r="I598" t="str">
            <v>Sean Torre</v>
          </cell>
          <cell r="J598" t="str">
            <v/>
          </cell>
          <cell r="K598" t="str">
            <v>https://panda-windows-and-doors.monday.com/protected_static/21046287/resources/2588847839/2340 Gamay Order.pdf</v>
          </cell>
          <cell r="L598" t="str">
            <v>https://panda-windows-and-doors.monday.com/protected_static/21046287/resources/2588847948/CamScanner 11-26-25 14.27 (1).pdf</v>
          </cell>
          <cell r="M598" t="str">
            <v/>
          </cell>
          <cell r="N598" t="str">
            <v>https://panda-windows-and-doors.monday.com/protected_static/21046287/resources/2589926911/86944 Deposit Invoice.pdf</v>
          </cell>
          <cell r="O598" t="str">
            <v/>
          </cell>
          <cell r="P598" t="str">
            <v/>
          </cell>
          <cell r="Q598" t="str">
            <v/>
          </cell>
          <cell r="R598" t="str">
            <v>https://panda-windows-and-doors.monday.com/protected_static/21046287/resources/2289680111/Precision Glass Co  - Resale Certificate 9-29-2023 - CA.pdf, https://panda-windows-and-doors.monday.com/protected_static/21046287/resources/2289680112/Precision Glass CO PO BOX 549 effective 2-2-2023 - CA.pdf, https://panda-windows-and-doors.monday.com/protected_static/21046287/resources/2289680122/Precision Glass Co. - California resale Certificate Effective 2-28-19 - CA.pdf, https://panda-windows-and-doors.monday.com/protected_static/21046287/resources/2669023214/MF 5161 Q86944 2340 GAMAY - B.O.M.pdf, https://panda-windows-and-doors.monday.com/protected_static/21046287/resources/2669023234/MF 5161 Q86944 2340 GAMAY - CUTLIST (GINERI).pdf, https://panda-windows-and-doors.monday.com/protected_static/21046287/resources/2669023230/MF 5161 Q86944 2340 GAMAY - OPT.pdf</v>
          </cell>
          <cell r="S598" t="str">
            <v>Completed - Closed Out</v>
          </cell>
          <cell r="T598" t="str">
            <v/>
          </cell>
          <cell r="U598">
            <v>10965</v>
          </cell>
          <cell r="V598">
            <v>10965</v>
          </cell>
          <cell r="W598" t="str">
            <v>George Bails Mar 9, 2026 7:44 AM</v>
          </cell>
          <cell r="X598" t="str">
            <v>2025-08-18 00:00</v>
          </cell>
          <cell r="Y598">
            <v>45987</v>
          </cell>
          <cell r="Z598" t="str">
            <v/>
          </cell>
          <cell r="AA598">
            <v>45992</v>
          </cell>
          <cell r="AB598" t="str">
            <v>Annalene Conde Nov 26, 2025 3:32 PM</v>
          </cell>
          <cell r="AC598">
            <v>45992</v>
          </cell>
          <cell r="AD598">
            <v>46006</v>
          </cell>
          <cell r="AE598">
            <v>46080</v>
          </cell>
          <cell r="AF598">
            <v>46080</v>
          </cell>
          <cell r="AG598">
            <v>46087</v>
          </cell>
          <cell r="AH598" t="str">
            <v>Precision Glass</v>
          </cell>
          <cell r="AI598" t="str">
            <v/>
          </cell>
        </row>
        <row r="599">
          <cell r="C599">
            <v>88889</v>
          </cell>
          <cell r="D599" t="str">
            <v/>
          </cell>
          <cell r="E599" t="str">
            <v/>
          </cell>
          <cell r="F599" t="str">
            <v>Final</v>
          </cell>
          <cell r="G599" t="str">
            <v>Final Collected</v>
          </cell>
          <cell r="H599" t="str">
            <v>No</v>
          </cell>
          <cell r="I599" t="str">
            <v>Efrain Zarate, Trevor Benthagen</v>
          </cell>
          <cell r="J599" t="str">
            <v/>
          </cell>
          <cell r="K599" t="str">
            <v>https://panda-windows-and-doors.monday.com/protected_static/21046287/resources/2699677555/Q#88889 SIGNED SALES ORDER.pdf</v>
          </cell>
          <cell r="L599" t="str">
            <v>https://panda-windows-and-doors.monday.com/protected_static/21046287/resources/2699677884/Q#88889 SIGNED BACKER.pdf</v>
          </cell>
          <cell r="M599" t="str">
            <v/>
          </cell>
          <cell r="N599" t="str">
            <v>https://panda-windows-and-doors.monday.com/protected_static/21046287/resources/2700630956/88889 Deposit Invoice.pdf</v>
          </cell>
          <cell r="O599" t="str">
            <v/>
          </cell>
          <cell r="P599" t="str">
            <v/>
          </cell>
          <cell r="Q599" t="str">
            <v/>
          </cell>
          <cell r="R599" t="str">
            <v>https://panda-windows-and-doors.monday.com/protected_static/21046287/resources/2749145283/Q88889_TS60 BOM.pdf, https://panda-windows-and-doors.monday.com/protected_static/21046287/resources/2749145292/Q88889_TS60 CUT LIST.pdf, https://panda-windows-and-doors.monday.com/protected_static/21046287/resources/2749145286/Q88889_TS60 MAT LIST.pdf, https://panda-windows-and-doors.monday.com/protected_static/21046287/resources/2749145293/Q88889_TS60 OPT.pdf</v>
          </cell>
          <cell r="S599" t="str">
            <v>Completed - Closed Out</v>
          </cell>
          <cell r="T599" t="str">
            <v/>
          </cell>
          <cell r="U599">
            <v>4060</v>
          </cell>
          <cell r="V599">
            <v>4060</v>
          </cell>
          <cell r="W599" t="str">
            <v>George Bails Mar 9, 2026 10:32 AM</v>
          </cell>
          <cell r="X599" t="str">
            <v>2026-01-21 00:00</v>
          </cell>
          <cell r="Y599">
            <v>46043</v>
          </cell>
          <cell r="Z599" t="str">
            <v/>
          </cell>
          <cell r="AA599">
            <v>46043</v>
          </cell>
          <cell r="AB599" t="str">
            <v>Annalene Conde Jan 21, 2026 11:12 AM</v>
          </cell>
          <cell r="AC599">
            <v>46043</v>
          </cell>
          <cell r="AD599">
            <v>46050</v>
          </cell>
          <cell r="AE599">
            <v>46080</v>
          </cell>
          <cell r="AF599">
            <v>46083</v>
          </cell>
          <cell r="AG599">
            <v>46090</v>
          </cell>
          <cell r="AH599" t="str">
            <v>Triple R Construction</v>
          </cell>
          <cell r="AI599" t="str">
            <v/>
          </cell>
        </row>
        <row r="600">
          <cell r="C600">
            <v>87830</v>
          </cell>
          <cell r="D600">
            <v>46034</v>
          </cell>
          <cell r="E600" t="str">
            <v/>
          </cell>
          <cell r="F600" t="str">
            <v>Final</v>
          </cell>
          <cell r="G600" t="str">
            <v>Final Collected</v>
          </cell>
          <cell r="H600" t="str">
            <v>No</v>
          </cell>
          <cell r="I600" t="str">
            <v>Sean Torre</v>
          </cell>
          <cell r="J600" t="str">
            <v/>
          </cell>
          <cell r="K600" t="str">
            <v>https://panda-windows-and-doors.monday.com/protected_static/21046287/resources/2610593815/Panda Andrews Quote.pdf</v>
          </cell>
          <cell r="L600" t="str">
            <v>https://panda-windows-and-doors.monday.com/protected_static/21046287/resources/2610593730/CamScanner 12-10-25 09.09.pdf</v>
          </cell>
          <cell r="M600" t="str">
            <v/>
          </cell>
          <cell r="N600" t="str">
            <v>https://panda-windows-and-doors.monday.com/protected_static/21046287/resources/2611621931/87830 Deposit Invoice.pdf</v>
          </cell>
          <cell r="O600" t="str">
            <v/>
          </cell>
          <cell r="P600" t="str">
            <v/>
          </cell>
          <cell r="Q600" t="str">
            <v/>
          </cell>
          <cell r="R600" t="str">
            <v>https://panda-windows-and-doors.monday.com/protected_static/21046287/resources/2764016129/Glass_Panel Request General from 2_16_2026.pdf, https://panda-windows-and-doors.monday.com/protected_static/21046287/resources/2764016127/Assembly List Panda 001(1) from 2_16_2026.pdf, https://panda-windows-and-doors.monday.com/protected_static/21046287/resources/2764016134/Cut Optimisation from 2_16_2026.pdf, https://panda-windows-and-doors.monday.com/protected_static/21046287/resources/2764016128/Q87830 OPT.pdf, https://panda-windows-and-doors.monday.com/protected_static/21046287/resources/2764016126/Q87830_FTS77_R2-BOM.pdf, https://panda-windows-and-doors.monday.com/protected_static/21046287/resources/2764016240/Stock List from 2_16_2026.pdf</v>
          </cell>
          <cell r="S600" t="str">
            <v>Completed - Closed Out</v>
          </cell>
          <cell r="T600" t="str">
            <v/>
          </cell>
          <cell r="U600">
            <v>7852</v>
          </cell>
          <cell r="V600">
            <v>8310</v>
          </cell>
          <cell r="W600" t="str">
            <v>George Bails Mar 10, 2026 7:33 AM</v>
          </cell>
          <cell r="X600" t="str">
            <v>2025-10-17 00:00</v>
          </cell>
          <cell r="Y600">
            <v>46001</v>
          </cell>
          <cell r="Z600" t="str">
            <v/>
          </cell>
          <cell r="AA600">
            <v>46001</v>
          </cell>
          <cell r="AB600" t="str">
            <v>Annalene Conde Dec 10, 2025 10:10 AM</v>
          </cell>
          <cell r="AC600">
            <v>46001</v>
          </cell>
          <cell r="AD600">
            <v>46002</v>
          </cell>
          <cell r="AE600">
            <v>46090</v>
          </cell>
          <cell r="AF600">
            <v>46090</v>
          </cell>
          <cell r="AG600">
            <v>46090</v>
          </cell>
          <cell r="AH600" t="str">
            <v>Leonard Davis</v>
          </cell>
          <cell r="AI600">
            <v>46034</v>
          </cell>
        </row>
        <row r="601">
          <cell r="C601">
            <v>85711</v>
          </cell>
          <cell r="D601" t="str">
            <v/>
          </cell>
          <cell r="E601" t="str">
            <v/>
          </cell>
          <cell r="F601" t="str">
            <v>Final</v>
          </cell>
          <cell r="G601" t="str">
            <v>Final Collected</v>
          </cell>
          <cell r="H601" t="str">
            <v>No</v>
          </cell>
          <cell r="I601" t="str">
            <v>Spencer Anderson</v>
          </cell>
          <cell r="J601" t="str">
            <v/>
          </cell>
          <cell r="K601" t="str">
            <v>https://panda-windows-and-doors.monday.com/protected_static/21046287/resources/2535828512/QQ #85711 - SPW_BCH Geary Project - 11042025 Signed.pdf</v>
          </cell>
          <cell r="L601" t="str">
            <v>https://panda-windows-and-doors.monday.com/protected_static/21046287/resources/2535828188/BP-70M55_20251105_134407.pdf</v>
          </cell>
          <cell r="M601" t="str">
            <v/>
          </cell>
          <cell r="N601" t="str">
            <v>https://panda-windows-and-doors.monday.com/protected_static/21046287/resources/2538850881/85711 Deposit Invoice.pdf</v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>Completed - Closed Out</v>
          </cell>
          <cell r="T601" t="str">
            <v/>
          </cell>
          <cell r="U601">
            <v>57313</v>
          </cell>
          <cell r="V601">
            <v>57313</v>
          </cell>
          <cell r="W601" t="str">
            <v>George Bails Mar 10, 2026 3:33 PM</v>
          </cell>
          <cell r="X601" t="str">
            <v/>
          </cell>
          <cell r="Y601">
            <v>45966</v>
          </cell>
          <cell r="Z601" t="str">
            <v/>
          </cell>
          <cell r="AA601">
            <v>45967</v>
          </cell>
          <cell r="AB601" t="str">
            <v>Annalene Conde Nov 5, 2025 2:47 PM</v>
          </cell>
          <cell r="AC601">
            <v>45967</v>
          </cell>
          <cell r="AD601">
            <v>45974</v>
          </cell>
          <cell r="AE601">
            <v>46084</v>
          </cell>
          <cell r="AF601">
            <v>46084</v>
          </cell>
          <cell r="AG601">
            <v>46091</v>
          </cell>
          <cell r="AH601" t="str">
            <v>Lyle Belnap</v>
          </cell>
          <cell r="AI601" t="str">
            <v/>
          </cell>
        </row>
        <row r="602">
          <cell r="C602">
            <v>88892</v>
          </cell>
          <cell r="D602" t="str">
            <v/>
          </cell>
          <cell r="E602" t="str">
            <v/>
          </cell>
          <cell r="F602" t="str">
            <v>Final</v>
          </cell>
          <cell r="G602" t="str">
            <v>Final Collected</v>
          </cell>
          <cell r="H602" t="str">
            <v>No</v>
          </cell>
          <cell r="I602" t="str">
            <v>Spencer Anderson</v>
          </cell>
          <cell r="J602" t="str">
            <v/>
          </cell>
          <cell r="K602" t="str">
            <v>https://panda-windows-and-doors.monday.com/protected_static/21046287/resources/2710370819/Order 883-9035.pdf</v>
          </cell>
          <cell r="L602" t="str">
            <v>https://panda-windows-and-doors.monday.com/protected_static/21046287/resources/2710386786/Signed Backer.pdf</v>
          </cell>
          <cell r="M602" t="str">
            <v/>
          </cell>
          <cell r="N602" t="str">
            <v>https://panda-windows-and-doors.monday.com/protected_static/21046287/resources/2719885141/Estimate 10384.pdf</v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>Completed - Closed Out</v>
          </cell>
          <cell r="T602" t="str">
            <v/>
          </cell>
          <cell r="U602">
            <v>1069</v>
          </cell>
          <cell r="V602">
            <v>1069</v>
          </cell>
          <cell r="W602" t="str">
            <v>George Bails Mar 10, 2026 3:34 PM</v>
          </cell>
          <cell r="X602" t="str">
            <v/>
          </cell>
          <cell r="Y602">
            <v>46048</v>
          </cell>
          <cell r="Z602" t="str">
            <v/>
          </cell>
          <cell r="AA602">
            <v>46048</v>
          </cell>
          <cell r="AB602" t="str">
            <v>Annalene Conde Jan 26, 2026 10:24 AM</v>
          </cell>
          <cell r="AC602">
            <v>46049</v>
          </cell>
          <cell r="AD602">
            <v>46055</v>
          </cell>
          <cell r="AE602">
            <v>46084</v>
          </cell>
          <cell r="AF602">
            <v>46084</v>
          </cell>
          <cell r="AG602">
            <v>46091</v>
          </cell>
          <cell r="AH602" t="str">
            <v>Nalin Maxfield</v>
          </cell>
          <cell r="AI602" t="str">
            <v/>
          </cell>
        </row>
        <row r="603">
          <cell r="C603">
            <v>87704</v>
          </cell>
          <cell r="D603" t="str">
            <v/>
          </cell>
          <cell r="E603" t="str">
            <v/>
          </cell>
          <cell r="F603" t="str">
            <v>Final</v>
          </cell>
          <cell r="G603" t="str">
            <v>Final Collected</v>
          </cell>
          <cell r="H603" t="str">
            <v>No</v>
          </cell>
          <cell r="I603" t="str">
            <v>Sean Torre</v>
          </cell>
          <cell r="J603" t="str">
            <v/>
          </cell>
          <cell r="K603" t="str">
            <v>https://panda-windows-and-doors.monday.com/protected_static/21046287/resources/2532431122/QQ#87704 37 Painted Feather Way 77s Tracks 10162025[1][2].pdf, https://panda-windows-and-doors.monday.com/protected_static/21046287/resources/2532431653/QQ#87704 37 Painted Feather Way 10292025 (1).pdf, https://panda-windows-and-doors.monday.com/protected_static/21046287/resources/2532649975/QQ#87704 37 Painted Feather Way 77s Tracks 11-4-2025 (4).pdf</v>
          </cell>
          <cell r="L603" t="str">
            <v>https://panda-windows-and-doors.monday.com/protected_static/21046287/resources/2532431367/37 Painted Feather Way 10162025.xlsx, https://panda-windows-and-doors.monday.com/protected_static/21046287/resources/2532431767/BP-70M55_20251103_091643 (1).pdf, https://panda-windows-and-doors.monday.com/protected_static/21046287/resources/2532650081/37 Painted Feather Way 11-4-2025 (4).xlsx</v>
          </cell>
          <cell r="M603" t="str">
            <v/>
          </cell>
          <cell r="N603" t="str">
            <v>https://panda-windows-and-doors.monday.com/protected_static/21046287/resources/2535143816/87704 Deposit INvoice system.pdf</v>
          </cell>
          <cell r="O603" t="str">
            <v/>
          </cell>
          <cell r="P603" t="str">
            <v/>
          </cell>
          <cell r="Q603" t="str">
            <v/>
          </cell>
          <cell r="R603" t="str">
            <v>https://panda-windows-and-doors.monday.com/protected_static/21046287/resources/2671969329/Cut Optimisation from 1_8_2026.pdf, https://panda-windows-and-doors.monday.com/protected_static/21046287/resources/2671969332/Assembly List Panda 001(1) from 1_8_2026.pdf, https://panda-windows-and-doors.monday.com/protected_static/21046287/resources/2671969334/Glass_Panel Request General from 1_8_2026.pdf, https://panda-windows-and-doors.monday.com/protected_static/21046287/resources/2671969328/Stock List from 1_8_2026.pdf</v>
          </cell>
          <cell r="S603" t="str">
            <v>Completed - Closed Out</v>
          </cell>
          <cell r="T603" t="str">
            <v/>
          </cell>
          <cell r="U603">
            <v>5374</v>
          </cell>
          <cell r="V603">
            <v>6274.15</v>
          </cell>
          <cell r="W603" t="str">
            <v>Annalene Conde Mar 10, 2026 3:01 PM</v>
          </cell>
          <cell r="X603" t="str">
            <v>2025-11-04 00:00</v>
          </cell>
          <cell r="Y603">
            <v>45965</v>
          </cell>
          <cell r="Z603" t="str">
            <v/>
          </cell>
          <cell r="AA603">
            <v>46058</v>
          </cell>
          <cell r="AB603" t="str">
            <v>Annalene Conde Nov 4, 2025 12:43 PM</v>
          </cell>
          <cell r="AC603">
            <v>45966</v>
          </cell>
          <cell r="AD603" t="str">
            <v/>
          </cell>
          <cell r="AE603">
            <v>46088</v>
          </cell>
          <cell r="AF603">
            <v>46058</v>
          </cell>
          <cell r="AG603">
            <v>46091</v>
          </cell>
          <cell r="AH603" t="str">
            <v>MP Services</v>
          </cell>
          <cell r="AI603" t="str">
            <v/>
          </cell>
        </row>
        <row r="604">
          <cell r="C604">
            <v>87218</v>
          </cell>
          <cell r="D604" t="str">
            <v/>
          </cell>
          <cell r="E604" t="str">
            <v/>
          </cell>
          <cell r="F604" t="str">
            <v>Final</v>
          </cell>
          <cell r="G604" t="str">
            <v>Final Collected</v>
          </cell>
          <cell r="H604" t="str">
            <v>No</v>
          </cell>
          <cell r="I604" t="str">
            <v>Troy Kite</v>
          </cell>
          <cell r="J604" t="str">
            <v/>
          </cell>
          <cell r="K604" t="str">
            <v>https://panda-windows-and-doors.monday.com/protected_static/21046287/resources/2607348544/07.B25-011 - Panda Windows &amp; Doors - Pivot Door REVISED (1).pdf</v>
          </cell>
          <cell r="L604" t="str">
            <v>https://panda-windows-and-doors.monday.com/protected_static/21046287/resources/2607347786/BP-70M55_20251209_075211.pdf</v>
          </cell>
          <cell r="M604" t="str">
            <v/>
          </cell>
          <cell r="N604" t="str">
            <v>https://panda-windows-and-doors.monday.com/protected_static/21046287/resources/2607944429/87218 Deposit Invoice.pdf</v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>Completed - Closed Out</v>
          </cell>
          <cell r="T604" t="str">
            <v/>
          </cell>
          <cell r="U604">
            <v>7433</v>
          </cell>
          <cell r="V604">
            <v>8101.08</v>
          </cell>
          <cell r="W604" t="str">
            <v>George Bails Mar 12, 2026 2:20 PM</v>
          </cell>
          <cell r="X604" t="str">
            <v>2025-11-17 17:24</v>
          </cell>
          <cell r="Y604">
            <v>46084</v>
          </cell>
          <cell r="Z604" t="str">
            <v/>
          </cell>
          <cell r="AA604">
            <v>46000</v>
          </cell>
          <cell r="AB604" t="str">
            <v>Annalene Conde Dec 9, 2025 9:17 AM</v>
          </cell>
          <cell r="AC604">
            <v>46000</v>
          </cell>
          <cell r="AD604">
            <v>46010</v>
          </cell>
          <cell r="AE604">
            <v>46084</v>
          </cell>
          <cell r="AF604">
            <v>46084</v>
          </cell>
          <cell r="AG604">
            <v>46093</v>
          </cell>
          <cell r="AH604" t="str">
            <v>Coltin Craigo</v>
          </cell>
          <cell r="AI604" t="str">
            <v/>
          </cell>
        </row>
        <row r="605">
          <cell r="C605">
            <v>87308</v>
          </cell>
          <cell r="D605" t="str">
            <v/>
          </cell>
          <cell r="E605" t="str">
            <v/>
          </cell>
          <cell r="F605" t="str">
            <v>Final</v>
          </cell>
          <cell r="G605" t="str">
            <v>Final Collected</v>
          </cell>
          <cell r="H605" t="str">
            <v>No</v>
          </cell>
          <cell r="I605" t="str">
            <v>Stefan Monetta</v>
          </cell>
          <cell r="J605" t="str">
            <v/>
          </cell>
          <cell r="K605" t="str">
            <v>https://panda-windows-and-doors.monday.com/protected_static/21046287/resources/2426417296/Sept-16-25 CW1967 H02 Construction  Panda 87308 Phase 2.pdf</v>
          </cell>
          <cell r="L605" t="str">
            <v>https://panda-windows-and-doors.monday.com/protected_static/21046287/resources/2426514362/smtp.office365.com_20250917_112014.pdf</v>
          </cell>
          <cell r="M605" t="str">
            <v/>
          </cell>
          <cell r="N605" t="str">
            <v>https://panda-windows-and-doors.monday.com/protected_static/21046287/resources/2428497113/87308 Deposit Invoice.pdf</v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>Completed - Closed Out</v>
          </cell>
          <cell r="T605" t="str">
            <v/>
          </cell>
          <cell r="U605">
            <v>57207</v>
          </cell>
          <cell r="V605">
            <v>53727</v>
          </cell>
          <cell r="W605" t="str">
            <v>Annalene Conde Mar 12, 2026 2:52 PM</v>
          </cell>
          <cell r="X605" t="str">
            <v>2025-09-17 00:00</v>
          </cell>
          <cell r="Y605">
            <v>45917</v>
          </cell>
          <cell r="Z605" t="str">
            <v/>
          </cell>
          <cell r="AA605">
            <v>45917</v>
          </cell>
          <cell r="AB605" t="str">
            <v>Jayme Truong Sep 17, 2025 1:41 PM</v>
          </cell>
          <cell r="AC605" t="str">
            <v/>
          </cell>
          <cell r="AD605">
            <v>45918</v>
          </cell>
          <cell r="AE605">
            <v>46071</v>
          </cell>
          <cell r="AF605">
            <v>46071</v>
          </cell>
          <cell r="AG605">
            <v>46093</v>
          </cell>
          <cell r="AH605" t="str">
            <v>Caribbean Windows International</v>
          </cell>
          <cell r="AI605" t="str">
            <v/>
          </cell>
        </row>
        <row r="606">
          <cell r="C606">
            <v>87254</v>
          </cell>
          <cell r="D606" t="str">
            <v/>
          </cell>
          <cell r="E606" t="str">
            <v/>
          </cell>
          <cell r="F606" t="str">
            <v>Final</v>
          </cell>
          <cell r="G606" t="str">
            <v>Final Collected</v>
          </cell>
          <cell r="H606" t="str">
            <v>No</v>
          </cell>
          <cell r="I606" t="str">
            <v>Stefan Monetta</v>
          </cell>
          <cell r="J606" t="str">
            <v/>
          </cell>
          <cell r="K606" t="str">
            <v>https://panda-windows-and-doors.monday.com/protected_static/21046287/resources/2438066560/87254 - Walsh 1315 S  Ocean.pdf</v>
          </cell>
          <cell r="L606" t="str">
            <v>https://panda-windows-and-doors.monday.com/protected_static/21046287/resources/2447025665/smtp.office365.com_20250926_144034.pdf</v>
          </cell>
          <cell r="M606" t="str">
            <v/>
          </cell>
          <cell r="N606" t="str">
            <v>https://panda-windows-and-doors.monday.com/protected_static/21046287/resources/2450171002/87254 Deposit Invoice.pdf</v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>Completed - Closed Out</v>
          </cell>
          <cell r="T606" t="str">
            <v/>
          </cell>
          <cell r="U606">
            <v>29345</v>
          </cell>
          <cell r="V606">
            <v>30345</v>
          </cell>
          <cell r="W606" t="str">
            <v>George Bails Mar 23, 2026 10:07 PM</v>
          </cell>
          <cell r="X606" t="str">
            <v>2025-09-09 00:00</v>
          </cell>
          <cell r="Y606">
            <v>45923</v>
          </cell>
          <cell r="Z606" t="str">
            <v/>
          </cell>
          <cell r="AA606">
            <v>45926</v>
          </cell>
          <cell r="AB606" t="str">
            <v>Jayme Truong Sep 23, 2025 1:32 PM</v>
          </cell>
          <cell r="AC606">
            <v>45929</v>
          </cell>
          <cell r="AD606">
            <v>45932</v>
          </cell>
          <cell r="AE606">
            <v>46064</v>
          </cell>
          <cell r="AF606">
            <v>46064</v>
          </cell>
          <cell r="AG606">
            <v>46097</v>
          </cell>
          <cell r="AH606" t="str">
            <v>Window Classics</v>
          </cell>
          <cell r="AI606" t="str">
            <v/>
          </cell>
        </row>
        <row r="607">
          <cell r="C607">
            <v>88423</v>
          </cell>
          <cell r="D607" t="str">
            <v/>
          </cell>
          <cell r="E607" t="str">
            <v/>
          </cell>
          <cell r="F607" t="str">
            <v>Final</v>
          </cell>
          <cell r="G607" t="str">
            <v>Final Collected</v>
          </cell>
          <cell r="H607" t="str">
            <v>No</v>
          </cell>
          <cell r="I607" t="str">
            <v>Tyler Clark</v>
          </cell>
          <cell r="J607" t="str">
            <v/>
          </cell>
          <cell r="K607" t="str">
            <v>https://panda-windows-and-doors.monday.com/protected_static/21046287/resources/2610206660/Q88423 Signed SO - Kozari.pdf</v>
          </cell>
          <cell r="L607" t="str">
            <v>https://panda-windows-and-doors.monday.com/protected_static/21046287/resources/2610520841/Q88423 - Signed Backer - Kozari.pdf</v>
          </cell>
          <cell r="M607" t="str">
            <v/>
          </cell>
          <cell r="N607" t="str">
            <v>https://panda-windows-and-doors.monday.com/protected_static/21046287/resources/2610720441/RSM Invoice Form (12).pdf, https://panda-windows-and-doors.monday.com/protected_static/21046287/resources/2611563534/88423 Deposit Invoice.pdf</v>
          </cell>
          <cell r="O607" t="str">
            <v/>
          </cell>
          <cell r="P607" t="str">
            <v/>
          </cell>
          <cell r="Q607" t="str">
            <v/>
          </cell>
          <cell r="R607" t="str">
            <v>https://panda-windows-and-doors.monday.com/protected_static/21046287/resources/2731616762/Q88423 KOZARI - B.O.M.pdf, https://panda-windows-and-doors.monday.com/protected_static/21046287/resources/2731616764/Q88423 KOZARI - CUTLIST (MANUAL).pdf</v>
          </cell>
          <cell r="S607" t="str">
            <v>Completed - Closed Out</v>
          </cell>
          <cell r="T607" t="str">
            <v/>
          </cell>
          <cell r="U607">
            <v>9886</v>
          </cell>
          <cell r="V607">
            <v>9886</v>
          </cell>
          <cell r="W607" t="str">
            <v>George Bails Mar 17, 2026 7:58 AM</v>
          </cell>
          <cell r="X607" t="str">
            <v>2025-12-05 00:00</v>
          </cell>
          <cell r="Y607">
            <v>46001</v>
          </cell>
          <cell r="Z607" t="str">
            <v/>
          </cell>
          <cell r="AA607">
            <v>46001</v>
          </cell>
          <cell r="AB607" t="str">
            <v>Annalene Conde Dec 10, 2025 8:25 AM</v>
          </cell>
          <cell r="AC607">
            <v>46001</v>
          </cell>
          <cell r="AD607">
            <v>46010</v>
          </cell>
          <cell r="AE607">
            <v>46091</v>
          </cell>
          <cell r="AF607">
            <v>46091</v>
          </cell>
          <cell r="AG607">
            <v>46097</v>
          </cell>
          <cell r="AH607" t="str">
            <v>Wenatchee Glass</v>
          </cell>
          <cell r="AI607" t="str">
            <v/>
          </cell>
        </row>
        <row r="608">
          <cell r="C608">
            <v>81141</v>
          </cell>
          <cell r="D608" t="str">
            <v/>
          </cell>
          <cell r="E608" t="str">
            <v/>
          </cell>
          <cell r="F608" t="str">
            <v>Deposit</v>
          </cell>
          <cell r="G608" t="str">
            <v>Final Collected</v>
          </cell>
          <cell r="H608" t="str">
            <v>No</v>
          </cell>
          <cell r="I608" t="str">
            <v>Trevor Benthagen, Efrain Zarate</v>
          </cell>
          <cell r="J608" t="str">
            <v/>
          </cell>
          <cell r="K608" t="str">
            <v>https://panda-windows-and-doors.monday.com/protected_static/21046287/resources/1928773022/Q81141 SIGNED SALES ORDER.pdf</v>
          </cell>
          <cell r="L608" t="str">
            <v>https://panda-windows-and-doors.monday.com/protected_static/21046287/resources/2083450085/Q_81141 SIGNED BACKER.pdf</v>
          </cell>
          <cell r="M608" t="str">
            <v/>
          </cell>
          <cell r="N608" t="str">
            <v>https://panda-windows-and-doors.monday.com/protected_static/21046287/resources/1929127531/81141 DEPOSIT PAYMENT.pdf</v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>Completed - Closed Out</v>
          </cell>
          <cell r="T608" t="str">
            <v/>
          </cell>
          <cell r="U608">
            <v>41196</v>
          </cell>
          <cell r="V608">
            <v>48042.14</v>
          </cell>
          <cell r="W608" t="str">
            <v>Annalene Conde Mar 17, 2026 1:12 PM</v>
          </cell>
          <cell r="X608" t="str">
            <v>2024-12-27 00:00</v>
          </cell>
          <cell r="Y608">
            <v>45687</v>
          </cell>
          <cell r="Z608" t="str">
            <v/>
          </cell>
          <cell r="AA608">
            <v>45687</v>
          </cell>
          <cell r="AB608" t="str">
            <v>Jayme Truong Jan 30, 2025 9:20 AM</v>
          </cell>
          <cell r="AC608">
            <v>45687</v>
          </cell>
          <cell r="AD608">
            <v>45687</v>
          </cell>
          <cell r="AE608" t="str">
            <v/>
          </cell>
          <cell r="AF608" t="str">
            <v/>
          </cell>
          <cell r="AG608">
            <v>46098</v>
          </cell>
          <cell r="AH608" t="str">
            <v>Rich  &amp; Corie Mitchell</v>
          </cell>
          <cell r="AI608" t="str">
            <v/>
          </cell>
        </row>
        <row r="609">
          <cell r="C609">
            <v>85639</v>
          </cell>
          <cell r="D609" t="str">
            <v/>
          </cell>
          <cell r="E609" t="str">
            <v/>
          </cell>
          <cell r="F609" t="str">
            <v>Final</v>
          </cell>
          <cell r="G609" t="str">
            <v>Final Collected</v>
          </cell>
          <cell r="H609" t="str">
            <v>No</v>
          </cell>
          <cell r="I609" t="str">
            <v>Derrick McCall</v>
          </cell>
          <cell r="J609" t="str">
            <v/>
          </cell>
          <cell r="K609" t="str">
            <v>https://panda-windows-and-doors.monday.com/protected_static/21046287/resources/2156153215/QQ#85639 Sunset Clubhouse #2 05192025.pdf</v>
          </cell>
          <cell r="L609" t="str">
            <v>https://panda-windows-and-doors.monday.com/protected_static/21046287/resources/2156157365/smtp.office365.com_20250519_132640.pdf</v>
          </cell>
          <cell r="M609" t="str">
            <v/>
          </cell>
          <cell r="N609" t="str">
            <v>https://panda-windows-and-doors.monday.com/protected_static/21046287/resources/2156632958/85639 Deposit Invoice.pdf</v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>Completed - Closed Out</v>
          </cell>
          <cell r="T609" t="str">
            <v/>
          </cell>
          <cell r="U609">
            <v>11673</v>
          </cell>
          <cell r="V609">
            <v>13895.74</v>
          </cell>
          <cell r="W609" t="str">
            <v>George Bails Mar 19, 2026 8:10 AM</v>
          </cell>
          <cell r="X609" t="str">
            <v>2025-05-19 00:00</v>
          </cell>
          <cell r="Y609">
            <v>45798</v>
          </cell>
          <cell r="Z609" t="str">
            <v/>
          </cell>
          <cell r="AA609">
            <v>45798</v>
          </cell>
          <cell r="AB609" t="str">
            <v>Jayme Truong May 21, 2025 11:48 AM</v>
          </cell>
          <cell r="AC609">
            <v>45798</v>
          </cell>
          <cell r="AD609">
            <v>45805</v>
          </cell>
          <cell r="AE609">
            <v>46097</v>
          </cell>
          <cell r="AF609">
            <v>46097</v>
          </cell>
          <cell r="AG609">
            <v>46099</v>
          </cell>
          <cell r="AH609" t="str">
            <v>American Glass</v>
          </cell>
          <cell r="AI609" t="str">
            <v/>
          </cell>
        </row>
        <row r="610">
          <cell r="C610">
            <v>78377</v>
          </cell>
          <cell r="D610">
            <v>46014</v>
          </cell>
          <cell r="E610" t="str">
            <v/>
          </cell>
          <cell r="F610" t="str">
            <v>Final</v>
          </cell>
          <cell r="G610" t="str">
            <v>Final Collected</v>
          </cell>
          <cell r="H610" t="str">
            <v>No</v>
          </cell>
          <cell r="I610" t="str">
            <v>Efrain Zarate, Trevor Benthagen</v>
          </cell>
          <cell r="J610" t="str">
            <v/>
          </cell>
          <cell r="K610" t="str">
            <v>https://panda-windows-and-doors.monday.com/protected_static/21046287/resources/1995073776/Q#78377 SIGNED PROPOSAL.pdf</v>
          </cell>
          <cell r="L610" t="str">
            <v>https://panda-windows-and-doors.monday.com/protected_static/21046287/resources/2083325727/Q#78377 SIGNED BACKER.pdf</v>
          </cell>
          <cell r="M610" t="str">
            <v/>
          </cell>
          <cell r="N610" t="str">
            <v>https://panda-windows-and-doors.monday.com/protected_static/21046287/resources/1977769700/78377 REVISED DEPOSIT INVOICE CO 1.pdf, https://panda-windows-and-doors.monday.com/protected_static/21046287/resources/2141515938/78377 Deposit Invoice CO 1.pdf, https://panda-windows-and-doors.monday.com/protected_static/21046287/resources/2551169506/78377 Deposit Invoice CO 2.pdf, https://panda-windows-and-doors.monday.com/protected_static/21046287/resources/2646114783/78377 Deposit Invoice CO 3.pdf</v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>Completed - Closed Out</v>
          </cell>
          <cell r="T610" t="str">
            <v/>
          </cell>
          <cell r="U610">
            <v>342623.5</v>
          </cell>
          <cell r="V610">
            <v>251332.5</v>
          </cell>
          <cell r="W610" t="str">
            <v>George Bails Mar 19, 2026 8:31 AM</v>
          </cell>
          <cell r="X610" t="str">
            <v>2025-01-29 00:00</v>
          </cell>
          <cell r="Y610" t="str">
            <v/>
          </cell>
          <cell r="Z610" t="str">
            <v/>
          </cell>
          <cell r="AA610">
            <v>45783</v>
          </cell>
          <cell r="AB610" t="str">
            <v>Jayme Truong Feb 4, 2025 4:31 PM</v>
          </cell>
          <cell r="AC610">
            <v>45705</v>
          </cell>
          <cell r="AD610">
            <v>45712</v>
          </cell>
          <cell r="AE610">
            <v>46092</v>
          </cell>
          <cell r="AF610">
            <v>46093</v>
          </cell>
          <cell r="AG610">
            <v>46099</v>
          </cell>
          <cell r="AH610" t="str">
            <v>All New Glass</v>
          </cell>
          <cell r="AI610">
            <v>46014</v>
          </cell>
        </row>
        <row r="611">
          <cell r="C611">
            <v>87067</v>
          </cell>
          <cell r="D611" t="str">
            <v/>
          </cell>
          <cell r="E611" t="str">
            <v/>
          </cell>
          <cell r="F611" t="str">
            <v>Final</v>
          </cell>
          <cell r="G611" t="str">
            <v>Final Collected</v>
          </cell>
          <cell r="H611" t="str">
            <v>No</v>
          </cell>
          <cell r="I611" t="str">
            <v>Luke Valles, Jameson Dahn</v>
          </cell>
          <cell r="J611" t="str">
            <v/>
          </cell>
          <cell r="K611" t="str">
            <v>https://panda-windows-and-doors.monday.com/protected_static/21046287/resources/2481796750/87067 - Hampton Inn South Plainfield NJ - Signed proposal.pdf</v>
          </cell>
          <cell r="L611" t="str">
            <v>https://panda-windows-and-doors.monday.com/protected_static/21046287/resources/2481792455/87067 Hampton Inn South Plainfield - signed backer.pdf</v>
          </cell>
          <cell r="M611" t="str">
            <v/>
          </cell>
          <cell r="N611" t="str">
            <v>https://panda-windows-and-doors.monday.com/protected_static/21046287/resources/2482207483/87068 Deposit Invoice.pdf</v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>Completed - Closed Out</v>
          </cell>
          <cell r="T611" t="str">
            <v/>
          </cell>
          <cell r="U611">
            <v>10217</v>
          </cell>
          <cell r="V611">
            <v>11254.04</v>
          </cell>
          <cell r="W611" t="str">
            <v>George Bails Mar 23, 2026 7:56 PM</v>
          </cell>
          <cell r="X611" t="str">
            <v>2025-08-18 07:13</v>
          </cell>
          <cell r="Y611">
            <v>45943</v>
          </cell>
          <cell r="Z611" t="str">
            <v/>
          </cell>
          <cell r="AA611">
            <v>45943</v>
          </cell>
          <cell r="AB611" t="str">
            <v>Annalene Conde Oct 13, 2025 10:43 AM</v>
          </cell>
          <cell r="AC611">
            <v>45943</v>
          </cell>
          <cell r="AD611">
            <v>45947</v>
          </cell>
          <cell r="AE611" t="str">
            <v/>
          </cell>
          <cell r="AF611">
            <v>46097</v>
          </cell>
          <cell r="AG611">
            <v>46101</v>
          </cell>
          <cell r="AH611" t="str">
            <v>Zelham, Inc</v>
          </cell>
          <cell r="AI611" t="str">
            <v/>
          </cell>
        </row>
        <row r="612">
          <cell r="C612">
            <v>88670</v>
          </cell>
          <cell r="D612" t="str">
            <v/>
          </cell>
          <cell r="E612" t="str">
            <v/>
          </cell>
          <cell r="F612" t="str">
            <v>Final</v>
          </cell>
          <cell r="G612" t="str">
            <v>Final Collected</v>
          </cell>
          <cell r="H612" t="str">
            <v>No</v>
          </cell>
          <cell r="I612" t="str">
            <v>Spencer Anderson</v>
          </cell>
          <cell r="J612" t="str">
            <v/>
          </cell>
          <cell r="K612" t="str">
            <v>https://panda-windows-and-doors.monday.com/protected_static/21046287/resources/2664167298/QQ #88670 - DM20 - Signed.pdf</v>
          </cell>
          <cell r="L612" t="str">
            <v>https://panda-windows-and-doors.monday.com/protected_static/21046287/resources/2664641776/BP-70M55_20260107_091722.pdf</v>
          </cell>
          <cell r="M612" t="str">
            <v/>
          </cell>
          <cell r="N612" t="str">
            <v>https://panda-windows-and-doors.monday.com/protected_static/21046287/resources/2665876395/88670 Deposit Invoice.pdf</v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>Completed - Closed Out</v>
          </cell>
          <cell r="T612" t="str">
            <v/>
          </cell>
          <cell r="U612">
            <v>8423</v>
          </cell>
          <cell r="V612">
            <v>8423</v>
          </cell>
          <cell r="W612" t="str">
            <v>George Bails Apr 6, 2026 8:55 AM</v>
          </cell>
          <cell r="X612" t="str">
            <v/>
          </cell>
          <cell r="Y612">
            <v>46029</v>
          </cell>
          <cell r="Z612" t="str">
            <v/>
          </cell>
          <cell r="AA612">
            <v>46029</v>
          </cell>
          <cell r="AB612" t="str">
            <v>Annalene Conde Jan 7, 2026 9:28 AM</v>
          </cell>
          <cell r="AC612">
            <v>46029</v>
          </cell>
          <cell r="AD612">
            <v>46034</v>
          </cell>
          <cell r="AE612">
            <v>46097</v>
          </cell>
          <cell r="AF612">
            <v>46097</v>
          </cell>
          <cell r="AG612">
            <v>46104</v>
          </cell>
          <cell r="AH612" t="str">
            <v>Lyle Belnap</v>
          </cell>
          <cell r="AI612" t="str">
            <v/>
          </cell>
        </row>
        <row r="613">
          <cell r="C613">
            <v>83623</v>
          </cell>
          <cell r="D613">
            <v>46093</v>
          </cell>
          <cell r="E613" t="str">
            <v/>
          </cell>
          <cell r="F613" t="str">
            <v>Final</v>
          </cell>
          <cell r="G613" t="str">
            <v>Final Collected</v>
          </cell>
          <cell r="H613" t="str">
            <v>No</v>
          </cell>
          <cell r="I613" t="str">
            <v>Luke Valles</v>
          </cell>
          <cell r="J613" t="str">
            <v/>
          </cell>
          <cell r="K613" t="str">
            <v>https://panda-windows-and-doors.monday.com/protected_static/21046287/resources/2083019376/QQ #83623 450 Lexington David Schuldiner 010425 - SIGNED.pdf</v>
          </cell>
          <cell r="L613" t="str">
            <v>https://panda-windows-and-doors.monday.com/protected_static/21046287/resources/2083437420/450 Lexington David Shuldiner 012925.pdf</v>
          </cell>
          <cell r="M613" t="str">
            <v/>
          </cell>
          <cell r="N613" t="str">
            <v>https://panda-windows-and-doors.monday.com/protected_static/21046287/resources/2084287952/83623 dEPOSIT INVOICE.pdf, https://panda-windows-and-doors.monday.com/protected_static/21046287/resources/2431814039/83623 Change Order 1.pdf</v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>Completed - Closed Out</v>
          </cell>
          <cell r="T613" t="str">
            <v/>
          </cell>
          <cell r="U613">
            <v>75227</v>
          </cell>
          <cell r="V613">
            <v>98957.96</v>
          </cell>
          <cell r="W613" t="str">
            <v>George Bails Apr 6, 2026 8:49 AM</v>
          </cell>
          <cell r="X613" t="str">
            <v>2025-04-15 00:00</v>
          </cell>
          <cell r="Y613">
            <v>45762</v>
          </cell>
          <cell r="Z613" t="str">
            <v/>
          </cell>
          <cell r="AA613">
            <v>45849</v>
          </cell>
          <cell r="AB613" t="str">
            <v>Jayme Truong Apr 15, 2025 9:46 AM</v>
          </cell>
          <cell r="AC613">
            <v>45762</v>
          </cell>
          <cell r="AD613">
            <v>45859</v>
          </cell>
          <cell r="AE613">
            <v>46094</v>
          </cell>
          <cell r="AF613">
            <v>46094</v>
          </cell>
          <cell r="AG613">
            <v>46104</v>
          </cell>
          <cell r="AH613" t="str">
            <v>David Shuldiner Inc</v>
          </cell>
          <cell r="AI613">
            <v>46093</v>
          </cell>
        </row>
        <row r="614">
          <cell r="C614">
            <v>88258</v>
          </cell>
          <cell r="D614">
            <v>46034</v>
          </cell>
          <cell r="E614" t="str">
            <v/>
          </cell>
          <cell r="F614" t="str">
            <v>Final</v>
          </cell>
          <cell r="G614" t="str">
            <v>Final Collected</v>
          </cell>
          <cell r="H614" t="str">
            <v>No</v>
          </cell>
          <cell r="I614" t="str">
            <v>Tyler Clark</v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>https://panda-windows-and-doors.monday.com/protected_static/21046287/resources/2576763106/88258 Deposit Invoice.pdf</v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>Completed - Closed Out</v>
          </cell>
          <cell r="T614" t="str">
            <v/>
          </cell>
          <cell r="U614">
            <v>9467</v>
          </cell>
          <cell r="V614">
            <v>8885</v>
          </cell>
          <cell r="W614" t="str">
            <v>George Bails Apr 6, 2026 8:38 AM</v>
          </cell>
          <cell r="X614" t="str">
            <v/>
          </cell>
          <cell r="Y614">
            <v>46035</v>
          </cell>
          <cell r="Z614" t="str">
            <v/>
          </cell>
          <cell r="AA614">
            <v>45985</v>
          </cell>
          <cell r="AB614" t="str">
            <v>Annalene Conde Nov 24, 2025 3:15 PM</v>
          </cell>
          <cell r="AC614">
            <v>45985</v>
          </cell>
          <cell r="AD614">
            <v>45992</v>
          </cell>
          <cell r="AE614">
            <v>46097</v>
          </cell>
          <cell r="AF614">
            <v>46097</v>
          </cell>
          <cell r="AG614">
            <v>46106</v>
          </cell>
          <cell r="AH614" t="str">
            <v/>
          </cell>
          <cell r="AI614">
            <v>46034</v>
          </cell>
        </row>
        <row r="615">
          <cell r="C615">
            <v>87121</v>
          </cell>
          <cell r="D615" t="str">
            <v/>
          </cell>
          <cell r="E615" t="str">
            <v/>
          </cell>
          <cell r="F615" t="str">
            <v>Final</v>
          </cell>
          <cell r="G615" t="str">
            <v>Final Collected</v>
          </cell>
          <cell r="H615" t="str">
            <v>No</v>
          </cell>
          <cell r="I615" t="str">
            <v>Efrain Zarate, Trevor Benthagen</v>
          </cell>
          <cell r="J615" t="str">
            <v/>
          </cell>
          <cell r="K615" t="str">
            <v>https://panda-windows-and-doors.monday.com/protected_static/21046287/resources/2622153230/11172025_CtPAHDA.pdf</v>
          </cell>
          <cell r="L615" t="str">
            <v>https://panda-windows-and-doors.monday.com/protected_static/21046287/resources/2622153304/BP-70M55_20251215_080838.pdf</v>
          </cell>
          <cell r="M615" t="str">
            <v/>
          </cell>
          <cell r="N615" t="str">
            <v>https://panda-windows-and-doors.monday.com/protected_static/21046287/resources/2623820380/87121 Deposit Invoice.pdf</v>
          </cell>
          <cell r="O615" t="str">
            <v/>
          </cell>
          <cell r="P615" t="str">
            <v/>
          </cell>
          <cell r="Q615" t="str">
            <v/>
          </cell>
          <cell r="R615" t="str">
            <v>https://panda-windows-and-doors.monday.com/protected_static/21046287/resources/2763837447/Q87121_VOYAGE BOM.pdf, https://panda-windows-and-doors.monday.com/protected_static/21046287/resources/2763837450/Q87121_VOYAGE OPT 1.pdf, https://panda-windows-and-doors.monday.com/protected_static/21046287/resources/2763837450/Q87121_VOYAGE OPT 1.pdf, https://panda-windows-and-doors.monday.com/protected_static/21046287/resources/2763837443/Q87121_VOYAGE OPT 2.pdf, https://panda-windows-and-doors.monday.com/protected_static/21046287/resources/2763837448/Q87121_VOYAGE OPT 3.pdf</v>
          </cell>
          <cell r="S615" t="str">
            <v>Completed - Closed Out</v>
          </cell>
          <cell r="T615" t="str">
            <v/>
          </cell>
          <cell r="U615">
            <v>8901</v>
          </cell>
          <cell r="V615">
            <v>0</v>
          </cell>
          <cell r="W615" t="str">
            <v>George Bails Apr 3, 2026 4:03 PM</v>
          </cell>
          <cell r="X615" t="str">
            <v>2025-12-15 00:00</v>
          </cell>
          <cell r="Y615">
            <v>46006</v>
          </cell>
          <cell r="Z615" t="str">
            <v/>
          </cell>
          <cell r="AA615">
            <v>46006</v>
          </cell>
          <cell r="AB615" t="str">
            <v>Annalene Conde Dec 15, 2025 9:16 AM</v>
          </cell>
          <cell r="AC615">
            <v>46006</v>
          </cell>
          <cell r="AD615">
            <v>46010</v>
          </cell>
          <cell r="AE615">
            <v>46106</v>
          </cell>
          <cell r="AF615" t="str">
            <v/>
          </cell>
          <cell r="AG615">
            <v>46106</v>
          </cell>
          <cell r="AH615" t="str">
            <v>Fast Glass</v>
          </cell>
          <cell r="AI615" t="str">
            <v/>
          </cell>
        </row>
        <row r="616">
          <cell r="C616">
            <v>80868</v>
          </cell>
          <cell r="D616">
            <v>46049</v>
          </cell>
          <cell r="E616" t="str">
            <v/>
          </cell>
          <cell r="F616" t="str">
            <v>Change Order</v>
          </cell>
          <cell r="G616" t="str">
            <v>Final Collected</v>
          </cell>
          <cell r="H616" t="str">
            <v>No</v>
          </cell>
          <cell r="I616" t="str">
            <v>Stefan Monetta</v>
          </cell>
          <cell r="J616" t="str">
            <v/>
          </cell>
          <cell r="K616" t="str">
            <v>https://panda-windows-and-doors.monday.com/protected_static/21046287/resources/2398295982/QQ #80868 - Alvarez Res - 062624 approved quote.pdf</v>
          </cell>
          <cell r="L616" t="str">
            <v>https://panda-windows-and-doors.monday.com/protected_static/21046287/resources/2566277483/BP-70M55_20251118_161442.pdf, https://panda-windows-and-doors.monday.com/protected_static/21046287/resources/2713602543/BP-70M55_20260127_102455.pdf</v>
          </cell>
          <cell r="M616" t="str">
            <v/>
          </cell>
          <cell r="N616" t="str">
            <v>https://panda-windows-and-doors.monday.com/protected_static/21046287/resources/2604640558/80868 Deposit Invoice CO 1.pdf</v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>Completed - Closed Out</v>
          </cell>
          <cell r="T616" t="str">
            <v/>
          </cell>
          <cell r="U616">
            <v>169308</v>
          </cell>
          <cell r="V616">
            <v>171500</v>
          </cell>
          <cell r="W616" t="str">
            <v>Annalene Conde Mar 26, 2026 10:49 AM</v>
          </cell>
          <cell r="X616" t="str">
            <v>2025-06-03 00:00</v>
          </cell>
          <cell r="Y616">
            <v>45909</v>
          </cell>
          <cell r="Z616" t="str">
            <v/>
          </cell>
          <cell r="AA616">
            <v>45980</v>
          </cell>
          <cell r="AB616" t="str">
            <v>Jayme Truong Sep 9, 2025 3:30 PM</v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  <cell r="AG616">
            <v>46107</v>
          </cell>
          <cell r="AH616" t="str">
            <v>Window Classics</v>
          </cell>
          <cell r="AI616">
            <v>46049</v>
          </cell>
        </row>
        <row r="617">
          <cell r="C617">
            <v>87104</v>
          </cell>
          <cell r="D617">
            <v>46063</v>
          </cell>
          <cell r="E617" t="str">
            <v/>
          </cell>
          <cell r="F617" t="str">
            <v>Final</v>
          </cell>
          <cell r="G617" t="str">
            <v>Final Collected</v>
          </cell>
          <cell r="H617" t="str">
            <v>No</v>
          </cell>
          <cell r="I617" t="str">
            <v>Luke Valles</v>
          </cell>
          <cell r="J617" t="str">
            <v/>
          </cell>
          <cell r="K617" t="str">
            <v>https://panda-windows-and-doors.monday.com/protected_static/21046287/resources/2469614057/Silo Radius_Signed SO.pdf</v>
          </cell>
          <cell r="L617" t="str">
            <v>https://panda-windows-and-doors.monday.com/protected_static/21046287/resources/2753161794/02112026_zfffi =tS Ri.A.pdf</v>
          </cell>
          <cell r="M617" t="str">
            <v/>
          </cell>
          <cell r="N617" t="str">
            <v>https://panda-windows-and-doors.monday.com/protected_static/21046287/resources/2752959020/7659 Biery Cheese Company.pdf</v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>Completed - Closed Out</v>
          </cell>
          <cell r="T617" t="str">
            <v/>
          </cell>
          <cell r="U617">
            <v>24528.82</v>
          </cell>
          <cell r="V617">
            <v>4779.7299999999996</v>
          </cell>
          <cell r="W617" t="str">
            <v>George Bails Mar 30, 2026 9:41 AM</v>
          </cell>
          <cell r="X617" t="str">
            <v>2025-08-26 00:00</v>
          </cell>
          <cell r="Y617">
            <v>46063</v>
          </cell>
          <cell r="Z617" t="str">
            <v/>
          </cell>
          <cell r="AA617">
            <v>46063</v>
          </cell>
          <cell r="AB617" t="str">
            <v>Annalene Conde Feb 10, 2026 4:01 PM</v>
          </cell>
          <cell r="AC617" t="str">
            <v/>
          </cell>
          <cell r="AD617" t="str">
            <v/>
          </cell>
          <cell r="AE617">
            <v>46105</v>
          </cell>
          <cell r="AF617">
            <v>46106</v>
          </cell>
          <cell r="AG617">
            <v>46108</v>
          </cell>
          <cell r="AH617" t="str">
            <v>Ben Biery</v>
          </cell>
          <cell r="AI617">
            <v>46063</v>
          </cell>
        </row>
        <row r="618">
          <cell r="C618">
            <v>89379</v>
          </cell>
          <cell r="D618" t="str">
            <v/>
          </cell>
          <cell r="E618" t="str">
            <v/>
          </cell>
          <cell r="F618" t="str">
            <v>Final</v>
          </cell>
          <cell r="G618" t="str">
            <v>Final Collected</v>
          </cell>
          <cell r="H618" t="str">
            <v>⚠️ Expedited</v>
          </cell>
          <cell r="I618" t="str">
            <v>Spencer Anderson</v>
          </cell>
          <cell r="J618" t="str">
            <v/>
          </cell>
          <cell r="K618" t="str">
            <v>https://panda-windows-and-doors.monday.com/protected_static/21046287/resources/2781806890/QQ #89379 - Awning Window - 02122026.pdf</v>
          </cell>
          <cell r="L618" t="str">
            <v>https://panda-windows-and-doors.monday.com/protected_static/21046287/resources/2781846981/BP-70M55_20260224_083047.pdf</v>
          </cell>
          <cell r="M618" t="str">
            <v/>
          </cell>
          <cell r="N618" t="str">
            <v>https://panda-windows-and-doors.monday.com/protected_static/21046287/resources/2782283153/89379 Deposit Invoice.pdf</v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>
            <v>1142</v>
          </cell>
          <cell r="V618">
            <v>1141</v>
          </cell>
          <cell r="W618" t="str">
            <v>George Bails Mar 30, 2026 9:44 AM</v>
          </cell>
          <cell r="X618" t="str">
            <v/>
          </cell>
          <cell r="Y618">
            <v>46077</v>
          </cell>
          <cell r="Z618" t="str">
            <v/>
          </cell>
          <cell r="AA618">
            <v>46077</v>
          </cell>
          <cell r="AB618" t="str">
            <v>Annalene Conde Feb 24, 2026 9:33 AM</v>
          </cell>
          <cell r="AC618">
            <v>46077</v>
          </cell>
          <cell r="AD618">
            <v>46085</v>
          </cell>
          <cell r="AE618">
            <v>46101</v>
          </cell>
          <cell r="AF618">
            <v>46101</v>
          </cell>
          <cell r="AG618">
            <v>46108</v>
          </cell>
          <cell r="AH618" t="str">
            <v>Eric McMullen</v>
          </cell>
          <cell r="AI618" t="str">
            <v/>
          </cell>
        </row>
        <row r="619">
          <cell r="C619">
            <v>88897</v>
          </cell>
          <cell r="D619" t="str">
            <v/>
          </cell>
          <cell r="E619" t="str">
            <v/>
          </cell>
          <cell r="F619" t="str">
            <v>Final</v>
          </cell>
          <cell r="G619" t="str">
            <v>Final Collected</v>
          </cell>
          <cell r="H619" t="str">
            <v>No</v>
          </cell>
          <cell r="I619" t="str">
            <v>Trevor Benthagen, Efrain Zarate</v>
          </cell>
          <cell r="J619" t="str">
            <v/>
          </cell>
          <cell r="K619" t="str">
            <v>https://panda-windows-and-doors.monday.com/protected_static/21046287/resources/2699610959/Q#88897 SIGNED SALES ORDER.pdf</v>
          </cell>
          <cell r="L619" t="str">
            <v>https://panda-windows-and-doors.monday.com/protected_static/21046287/resources/2699610744/Q#88897 SIGNED BACKER.pdf</v>
          </cell>
          <cell r="M619" t="str">
            <v/>
          </cell>
          <cell r="N619" t="str">
            <v>https://panda-windows-and-doors.monday.com/protected_static/21046287/resources/2700549375/88897 Deposit Invoice.pdf</v>
          </cell>
          <cell r="O619" t="str">
            <v/>
          </cell>
          <cell r="P619" t="str">
            <v/>
          </cell>
          <cell r="Q619" t="str">
            <v/>
          </cell>
          <cell r="R619" t="str">
            <v>https://panda-windows-and-doors.monday.com/protected_static/21046287/resources/2797025375/Q88897_TS60_TS67 BOM.pdf, https://panda-windows-and-doors.monday.com/protected_static/21046287/resources/2797025381/Q88897_TS60_TS67 CUT LIST.pdf, https://panda-windows-and-doors.monday.com/protected_static/21046287/resources/2797025373/Q88897_TS60_TS67 MAT LIST.pdf, https://panda-windows-and-doors.monday.com/protected_static/21046287/resources/2797025392/Q88897_TS60_TS67 OPT.pdf</v>
          </cell>
          <cell r="S619" t="str">
            <v>Completed - Closed Out</v>
          </cell>
          <cell r="T619" t="str">
            <v/>
          </cell>
          <cell r="U619">
            <v>11041</v>
          </cell>
          <cell r="V619">
            <v>12669</v>
          </cell>
          <cell r="W619" t="str">
            <v>George Bails Apr 6, 2026 9:07 AM</v>
          </cell>
          <cell r="X619" t="str">
            <v>2026-01-21 00:00</v>
          </cell>
          <cell r="Y619">
            <v>46043</v>
          </cell>
          <cell r="Z619" t="str">
            <v/>
          </cell>
          <cell r="AA619">
            <v>46043</v>
          </cell>
          <cell r="AB619" t="str">
            <v>Annalene Conde Jan 21, 2026 10:54 AM</v>
          </cell>
          <cell r="AC619">
            <v>46043</v>
          </cell>
          <cell r="AD619">
            <v>46043</v>
          </cell>
          <cell r="AE619">
            <v>46104</v>
          </cell>
          <cell r="AF619">
            <v>46104</v>
          </cell>
          <cell r="AG619">
            <v>46108</v>
          </cell>
          <cell r="AH619" t="str">
            <v>Shobha Reddy</v>
          </cell>
          <cell r="AI619" t="str">
            <v/>
          </cell>
        </row>
        <row r="620">
          <cell r="C620">
            <v>85440</v>
          </cell>
          <cell r="D620" t="str">
            <v/>
          </cell>
          <cell r="E620" t="str">
            <v/>
          </cell>
          <cell r="F620" t="str">
            <v>Final</v>
          </cell>
          <cell r="G620" t="str">
            <v>Final Collected</v>
          </cell>
          <cell r="H620" t="str">
            <v>No</v>
          </cell>
          <cell r="I620" t="str">
            <v>Derrick McCall</v>
          </cell>
          <cell r="J620" t="str">
            <v/>
          </cell>
          <cell r="K620" t="str">
            <v>https://panda-windows-and-doors.monday.com/protected_static/21046287/resources/2562692845/QQ#85440 99 Rhode Island 05072025.pdf</v>
          </cell>
          <cell r="L620" t="str">
            <v>https://panda-windows-and-doors.monday.com/protected_static/21046287/resources/2562691808/BP-70M55_20251118_075631.pdf</v>
          </cell>
          <cell r="M620" t="str">
            <v/>
          </cell>
          <cell r="N620" t="str">
            <v>https://panda-windows-and-doors.monday.com/protected_static/21046287/resources/2563317879/85440 Deposit Invoice.pdf</v>
          </cell>
          <cell r="O620" t="str">
            <v/>
          </cell>
          <cell r="P620" t="str">
            <v/>
          </cell>
          <cell r="Q620" t="str">
            <v/>
          </cell>
          <cell r="R620" t="str">
            <v>https://panda-windows-and-doors.monday.com/protected_static/21046287/resources/2700416761/5171 Q85440 - 99 RHODE ISLAND - Material order.pdf, https://panda-windows-and-doors.monday.com/protected_static/21046287/resources/2700416763/5171 Q85440 - 99 RHODE ISLAND - Cut - List.pdf, https://panda-windows-and-doors.monday.com/protected_static/21046287/resources/2700416766/5171 Q85440 - 99 RHODE ISLAND - Optimization.pdf, https://panda-windows-and-doors.monday.com/protected_static/21046287/resources/2700416760/Q85440_UTS.60_R2-BOM.pdf</v>
          </cell>
          <cell r="S620" t="str">
            <v>Completed - Closed Out</v>
          </cell>
          <cell r="T620" t="str">
            <v/>
          </cell>
          <cell r="U620">
            <v>15439</v>
          </cell>
          <cell r="V620">
            <v>18757.3</v>
          </cell>
          <cell r="W620" t="str">
            <v>George Bails Mar 30, 2026 9:54 AM</v>
          </cell>
          <cell r="X620" t="str">
            <v/>
          </cell>
          <cell r="Y620">
            <v>45979</v>
          </cell>
          <cell r="Z620" t="str">
            <v/>
          </cell>
          <cell r="AA620">
            <v>45979</v>
          </cell>
          <cell r="AB620" t="str">
            <v>Annalene Conde Nov 18, 2025 10:03 AM</v>
          </cell>
          <cell r="AC620">
            <v>45979</v>
          </cell>
          <cell r="AD620">
            <v>45980</v>
          </cell>
          <cell r="AE620">
            <v>46106</v>
          </cell>
          <cell r="AF620">
            <v>46106</v>
          </cell>
          <cell r="AG620">
            <v>46108</v>
          </cell>
          <cell r="AH620" t="str">
            <v>Capitol Glass Company</v>
          </cell>
          <cell r="AI620" t="str">
            <v/>
          </cell>
        </row>
        <row r="621">
          <cell r="C621">
            <v>83381</v>
          </cell>
          <cell r="D621" t="str">
            <v/>
          </cell>
          <cell r="E621" t="str">
            <v/>
          </cell>
          <cell r="F621" t="str">
            <v>Final</v>
          </cell>
          <cell r="G621" t="str">
            <v>Final Collected</v>
          </cell>
          <cell r="H621" t="str">
            <v>No</v>
          </cell>
          <cell r="I621" t="str">
            <v>Sean Torre</v>
          </cell>
          <cell r="J621" t="str">
            <v/>
          </cell>
          <cell r="K621" t="str">
            <v>https://panda-windows-and-doors.monday.com/protected_static/21046287/resources/2019530269/QQ #83381 - Weslaco Public Library-RPC - 011325.pdf</v>
          </cell>
          <cell r="L621" t="str">
            <v>https://panda-windows-and-doors.monday.com/protected_static/21046287/resources/2083339553/Weslaco Public Library-RPC - 011325 BACKER.pdf, https://panda-windows-and-doors.monday.com/protected_static/21046287/resources/2083339562/Signed Backer.pdf</v>
          </cell>
          <cell r="M621" t="str">
            <v/>
          </cell>
          <cell r="N621" t="str">
            <v>https://panda-windows-and-doors.monday.com/protected_static/21046287/resources/2020667320/Deposit Invoice.pdf</v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>Completed - Closed Out</v>
          </cell>
          <cell r="T621" t="str">
            <v/>
          </cell>
          <cell r="U621">
            <v>35519.5</v>
          </cell>
          <cell r="V621">
            <v>35808.5</v>
          </cell>
          <cell r="W621" t="str">
            <v>George Bails Mar 31, 2026 8:50 AM</v>
          </cell>
          <cell r="X621" t="str">
            <v>2025-01-10 09:52</v>
          </cell>
          <cell r="Y621">
            <v>45733</v>
          </cell>
          <cell r="Z621" t="str">
            <v/>
          </cell>
          <cell r="AA621">
            <v>45733</v>
          </cell>
          <cell r="AB621" t="str">
            <v>Jayme Truong Mar 17, 2025 9:05 AM</v>
          </cell>
          <cell r="AC621">
            <v>45733</v>
          </cell>
          <cell r="AD621">
            <v>45736</v>
          </cell>
          <cell r="AE621">
            <v>46101</v>
          </cell>
          <cell r="AF621">
            <v>46101</v>
          </cell>
          <cell r="AG621">
            <v>46111</v>
          </cell>
          <cell r="AH621" t="str">
            <v>Lance Finley</v>
          </cell>
          <cell r="AI621" t="str">
            <v/>
          </cell>
        </row>
        <row r="622">
          <cell r="C622">
            <v>88618</v>
          </cell>
          <cell r="D622" t="str">
            <v/>
          </cell>
          <cell r="E622" t="str">
            <v/>
          </cell>
          <cell r="F622" t="str">
            <v>Final</v>
          </cell>
          <cell r="G622" t="str">
            <v>Final Collected</v>
          </cell>
          <cell r="H622" t="str">
            <v>No</v>
          </cell>
          <cell r="I622" t="str">
            <v>Trevor Benthagen, Efrain Zarate</v>
          </cell>
          <cell r="J622" t="str">
            <v/>
          </cell>
          <cell r="K622" t="str">
            <v>https://panda-windows-and-doors.monday.com/protected_static/21046287/resources/2717538717/BP-70M55_20260128_134501.pdf</v>
          </cell>
          <cell r="L622" t="str">
            <v>https://panda-windows-and-doors.monday.com/protected_static/21046287/resources/2717539076/BP-70M55_20260128_134452.pdf</v>
          </cell>
          <cell r="M622" t="str">
            <v/>
          </cell>
          <cell r="N622" t="str">
            <v>https://panda-windows-and-doors.monday.com/protected_static/21046287/resources/2719935160/88618 - Deposit Invoice.pdf</v>
          </cell>
          <cell r="O622" t="str">
            <v/>
          </cell>
          <cell r="P622" t="str">
            <v/>
          </cell>
          <cell r="Q622" t="str">
            <v/>
          </cell>
          <cell r="R622" t="str">
            <v>https://panda-windows-and-doors.monday.com/protected_static/21046287/resources/2797198200/Q88618_TS60 CUT LIST.pdf, https://panda-windows-and-doors.monday.com/protected_static/21046287/resources/2797198199/Q88618_TS60 BOM.pdf, https://panda-windows-and-doors.monday.com/protected_static/21046287/resources/2797198201/Q88618_TS60 MAT LIST.pdf, https://panda-windows-and-doors.monday.com/protected_static/21046287/resources/2797198196/Q88618_TS60 OPT.pdf</v>
          </cell>
          <cell r="S622" t="str">
            <v>Completed - Closed Out</v>
          </cell>
          <cell r="T622" t="str">
            <v/>
          </cell>
          <cell r="U622">
            <v>6845</v>
          </cell>
          <cell r="V622">
            <v>7990.45</v>
          </cell>
          <cell r="W622" t="str">
            <v>George Bails Mar 31, 2026 9:00 AM</v>
          </cell>
          <cell r="X622" t="str">
            <v/>
          </cell>
          <cell r="Y622">
            <v>46050</v>
          </cell>
          <cell r="Z622" t="str">
            <v/>
          </cell>
          <cell r="AA622">
            <v>46050</v>
          </cell>
          <cell r="AB622" t="str">
            <v>Annalene Conde Jan 28, 2026 2:49 PM</v>
          </cell>
          <cell r="AC622" t="str">
            <v/>
          </cell>
          <cell r="AD622">
            <v>46051</v>
          </cell>
          <cell r="AE622">
            <v>46106</v>
          </cell>
          <cell r="AF622">
            <v>46106</v>
          </cell>
          <cell r="AG622">
            <v>46111</v>
          </cell>
          <cell r="AH622" t="str">
            <v>Larry Walsh</v>
          </cell>
          <cell r="AI622" t="str">
            <v/>
          </cell>
        </row>
        <row r="623">
          <cell r="C623">
            <v>87595</v>
          </cell>
          <cell r="D623" t="str">
            <v/>
          </cell>
          <cell r="E623" t="str">
            <v/>
          </cell>
          <cell r="F623" t="str">
            <v>Final</v>
          </cell>
          <cell r="G623" t="str">
            <v>Final Collected</v>
          </cell>
          <cell r="H623" t="str">
            <v>No</v>
          </cell>
          <cell r="I623" t="str">
            <v>Derrick McCall</v>
          </cell>
          <cell r="J623" t="str">
            <v/>
          </cell>
          <cell r="K623" t="str">
            <v>https://panda-windows-and-doors.monday.com/protected_static/21046287/resources/2503186861/Q87595.pdf</v>
          </cell>
          <cell r="L623" t="str">
            <v>https://panda-windows-and-doors.monday.com/protected_static/21046287/resources/2503188466/Q87595 B.pdf</v>
          </cell>
          <cell r="M623" t="str">
            <v/>
          </cell>
          <cell r="N623" t="str">
            <v>https://panda-windows-and-doors.monday.com/protected_static/21046287/resources/2504052920/87595 Deposit Invoice.pdf</v>
          </cell>
          <cell r="O623" t="str">
            <v/>
          </cell>
          <cell r="P623" t="str">
            <v/>
          </cell>
          <cell r="Q623" t="str">
            <v/>
          </cell>
          <cell r="R623" t="str">
            <v>https://panda-windows-and-doors.monday.com/protected_static/21046287/resources/2783067660/Q87595_BOM.pdf, https://panda-windows-and-doors.monday.com/protected_static/21046287/resources/2783067656/Q87595_OPT_MANUAL.pdf</v>
          </cell>
          <cell r="S623" t="str">
            <v>Completed - Closed Out</v>
          </cell>
          <cell r="T623" t="str">
            <v/>
          </cell>
          <cell r="U623">
            <v>13980</v>
          </cell>
          <cell r="V623">
            <v>16220.84</v>
          </cell>
          <cell r="W623" t="str">
            <v>George Bails Apr 6, 2026 8:10 AM</v>
          </cell>
          <cell r="X623" t="str">
            <v>2025-10-22 00:00</v>
          </cell>
          <cell r="Y623">
            <v>45952</v>
          </cell>
          <cell r="Z623" t="str">
            <v/>
          </cell>
          <cell r="AA623">
            <v>45952</v>
          </cell>
          <cell r="AB623" t="str">
            <v>Annalene Conde Oct 22, 2025 11:25 AM</v>
          </cell>
          <cell r="AC623">
            <v>45952</v>
          </cell>
          <cell r="AD623">
            <v>45959</v>
          </cell>
          <cell r="AE623">
            <v>46100</v>
          </cell>
          <cell r="AF623">
            <v>46100</v>
          </cell>
          <cell r="AG623">
            <v>46112</v>
          </cell>
          <cell r="AH623" t="str">
            <v>LiveMetta Pilates</v>
          </cell>
          <cell r="AI623" t="str">
            <v/>
          </cell>
        </row>
        <row r="624">
          <cell r="C624">
            <v>87446</v>
          </cell>
          <cell r="D624">
            <v>46065</v>
          </cell>
          <cell r="E624" t="str">
            <v/>
          </cell>
          <cell r="F624" t="str">
            <v>Final</v>
          </cell>
          <cell r="G624" t="str">
            <v>Final Collected</v>
          </cell>
          <cell r="H624" t="str">
            <v>No</v>
          </cell>
          <cell r="I624" t="str">
            <v>Sean Torre</v>
          </cell>
          <cell r="J624" t="str">
            <v/>
          </cell>
          <cell r="K624" t="str">
            <v>https://panda-windows-and-doors.monday.com/protected_static/21046287/resources/2538884294/QQ#87446 Empire Glass 11062026 signed.pdf</v>
          </cell>
          <cell r="L624" t="str">
            <v>https://panda-windows-and-doors.monday.com/protected_static/21046287/resources/2538882325/BP-70M55_20251106_151057.pdf</v>
          </cell>
          <cell r="M624" t="str">
            <v/>
          </cell>
          <cell r="N624" t="str">
            <v>https://panda-windows-and-doors.monday.com/protected_static/21046287/resources/2759478478/87446 Deposit Invoice 0001.pdf</v>
          </cell>
          <cell r="O624" t="str">
            <v/>
          </cell>
          <cell r="P624" t="str">
            <v/>
          </cell>
          <cell r="Q624" t="str">
            <v/>
          </cell>
          <cell r="R624" t="str">
            <v>https://panda-windows-and-doors.monday.com/protected_static/21046287/resources/2728961035/Q87446_TS60 MAT LIST.pdf, https://panda-windows-and-doors.monday.com/protected_static/21046287/resources/2728961036/Q87446_TS60 BOM.pdf, https://panda-windows-and-doors.monday.com/protected_static/21046287/resources/2728961033/Q87446_TS60 CUT LIST.pdf, https://panda-windows-and-doors.monday.com/protected_static/21046287/resources/2728961031/Q87446_TS60 OPT.pdf</v>
          </cell>
          <cell r="S624" t="str">
            <v>Completed - Closed Out</v>
          </cell>
          <cell r="T624" t="str">
            <v/>
          </cell>
          <cell r="U624">
            <v>20000</v>
          </cell>
          <cell r="V624">
            <v>11359.82</v>
          </cell>
          <cell r="W624" t="str">
            <v>George Bails Apr 1, 2026 12:22 PM</v>
          </cell>
          <cell r="X624" t="str">
            <v>2025-09-23 00:00</v>
          </cell>
          <cell r="Y624">
            <v>45967</v>
          </cell>
          <cell r="Z624" t="str">
            <v/>
          </cell>
          <cell r="AA624">
            <v>45967</v>
          </cell>
          <cell r="AB624" t="str">
            <v>Annalene Conde Nov 6, 2025 10:19 AM</v>
          </cell>
          <cell r="AC624">
            <v>45967</v>
          </cell>
          <cell r="AD624">
            <v>45971</v>
          </cell>
          <cell r="AE624">
            <v>46098</v>
          </cell>
          <cell r="AF624">
            <v>46098</v>
          </cell>
          <cell r="AG624">
            <v>46112</v>
          </cell>
          <cell r="AH624" t="str">
            <v>Megan Parchem</v>
          </cell>
          <cell r="AI624">
            <v>46065</v>
          </cell>
        </row>
        <row r="625">
          <cell r="C625">
            <v>87577</v>
          </cell>
          <cell r="D625" t="str">
            <v/>
          </cell>
          <cell r="E625" t="str">
            <v/>
          </cell>
          <cell r="F625" t="str">
            <v>Final</v>
          </cell>
          <cell r="G625" t="str">
            <v>Final Collected</v>
          </cell>
          <cell r="H625" t="str">
            <v>No</v>
          </cell>
          <cell r="I625" t="str">
            <v>Efrain Zarate, Trevor Benthagen</v>
          </cell>
          <cell r="J625" t="str">
            <v/>
          </cell>
          <cell r="K625" t="str">
            <v>https://panda-windows-and-doors.monday.com/protected_static/21046287/resources/2675251228/QQ #87577 PANADA SALES ORDER SIGNED .pdf</v>
          </cell>
          <cell r="L625" t="str">
            <v>https://panda-windows-and-doors.monday.com/protected_static/21046287/resources/2675252231/BP-70M55_20260112_092259.pdf</v>
          </cell>
          <cell r="M625" t="str">
            <v/>
          </cell>
          <cell r="N625" t="str">
            <v>https://panda-windows-and-doors.monday.com/protected_static/21046287/resources/2676043010/87577 Deposit Invoice.pdf</v>
          </cell>
          <cell r="O625" t="str">
            <v/>
          </cell>
          <cell r="P625" t="str">
            <v/>
          </cell>
          <cell r="Q625" t="str">
            <v/>
          </cell>
          <cell r="R625" t="str">
            <v>https://panda-windows-and-doors.monday.com/protected_static/21046287/resources/2771703608/5204 Q87577 DCI PITTOCK - Optimization.pdf, https://panda-windows-and-doors.monday.com/protected_static/21046287/resources/2771703664/5204 Q87577 DCI PITTOCK - Cut - List.pdf, https://panda-windows-and-doors.monday.com/protected_static/21046287/resources/2771703649/Q87577_TS60_R1-BOM.pdf</v>
          </cell>
          <cell r="S625" t="str">
            <v>Completed - Closed Out</v>
          </cell>
          <cell r="T625" t="str">
            <v/>
          </cell>
          <cell r="U625">
            <v>11785</v>
          </cell>
          <cell r="V625">
            <v>11782</v>
          </cell>
          <cell r="W625" t="str">
            <v>George Bails Apr 1, 2026 12:09 PM</v>
          </cell>
          <cell r="X625" t="str">
            <v>2026-01-12 00:00</v>
          </cell>
          <cell r="Y625">
            <v>46034</v>
          </cell>
          <cell r="Z625" t="str">
            <v/>
          </cell>
          <cell r="AA625">
            <v>46034</v>
          </cell>
          <cell r="AB625" t="str">
            <v>Annalene Conde Jan 12, 2026 10:24 AM</v>
          </cell>
          <cell r="AC625">
            <v>46034</v>
          </cell>
          <cell r="AD625">
            <v>46038</v>
          </cell>
          <cell r="AE625">
            <v>46094</v>
          </cell>
          <cell r="AF625">
            <v>46094</v>
          </cell>
          <cell r="AG625">
            <v>46112</v>
          </cell>
          <cell r="AH625" t="str">
            <v>Heritage Glass</v>
          </cell>
          <cell r="AI625" t="str">
            <v/>
          </cell>
        </row>
        <row r="626">
          <cell r="C626">
            <v>80783</v>
          </cell>
          <cell r="D626" t="str">
            <v/>
          </cell>
          <cell r="E626" t="str">
            <v/>
          </cell>
          <cell r="F626" t="str">
            <v>Final</v>
          </cell>
          <cell r="G626" t="str">
            <v>Final Collected</v>
          </cell>
          <cell r="H626" t="str">
            <v>No</v>
          </cell>
          <cell r="I626" t="str">
            <v>Luke Valles</v>
          </cell>
          <cell r="J626" t="str">
            <v/>
          </cell>
          <cell r="K626" t="str">
            <v>https://panda-windows-and-doors.monday.com/protected_static/21046287/resources/2611759944/QQ #80783 - Perrotta - Hoboken - 12082025.pdf</v>
          </cell>
          <cell r="L626" t="str">
            <v>https://panda-windows-and-doors.monday.com/protected_static/21046287/resources/2602148419/BDL-Hoboken - 12022025.xlsx</v>
          </cell>
          <cell r="M626" t="str">
            <v/>
          </cell>
          <cell r="N626" t="str">
            <v>https://panda-windows-and-doors.monday.com/protected_static/21046287/resources/2611821558/80783 Deposit Invoice.pdf</v>
          </cell>
          <cell r="O626" t="str">
            <v/>
          </cell>
          <cell r="P626" t="str">
            <v/>
          </cell>
          <cell r="Q626" t="str">
            <v/>
          </cell>
          <cell r="R626" t="str">
            <v>https://panda-windows-and-doors.monday.com/protected_static/21046287/resources/2666153180/Q80783_FTS60 BOM.pdf, https://panda-windows-and-doors.monday.com/protected_static/21046287/resources/2666153173/Q80783_FTS60 CUTLIST.pdf, https://panda-windows-and-doors.monday.com/protected_static/21046287/resources/2666153172/Q80783_FTS60 OPT.pdf</v>
          </cell>
          <cell r="S626" t="str">
            <v>Completed - Closed Out</v>
          </cell>
          <cell r="T626" t="str">
            <v/>
          </cell>
          <cell r="U626">
            <v>7110</v>
          </cell>
          <cell r="V626">
            <v>9710</v>
          </cell>
          <cell r="W626" t="str">
            <v>Annalene Conde Apr 3, 2026 12:26 PM</v>
          </cell>
          <cell r="X626" t="str">
            <v>2025-12-05 00:00</v>
          </cell>
          <cell r="Y626">
            <v>45996</v>
          </cell>
          <cell r="Z626" t="str">
            <v/>
          </cell>
          <cell r="AA626">
            <v>45996</v>
          </cell>
          <cell r="AB626" t="str">
            <v>Annalene Conde Dec 5, 2025 3:47 PM</v>
          </cell>
          <cell r="AC626">
            <v>45996</v>
          </cell>
          <cell r="AD626">
            <v>46006</v>
          </cell>
          <cell r="AE626">
            <v>46077</v>
          </cell>
          <cell r="AF626">
            <v>46077</v>
          </cell>
          <cell r="AG626">
            <v>46115</v>
          </cell>
          <cell r="AH626" t="str">
            <v>Onsite Products</v>
          </cell>
          <cell r="AI626" t="str">
            <v/>
          </cell>
        </row>
        <row r="627">
          <cell r="C627">
            <v>85352</v>
          </cell>
          <cell r="D627">
            <v>46051</v>
          </cell>
          <cell r="E627" t="str">
            <v/>
          </cell>
          <cell r="F627" t="str">
            <v>Final</v>
          </cell>
          <cell r="G627" t="str">
            <v>Final Collected</v>
          </cell>
          <cell r="H627" t="str">
            <v>No</v>
          </cell>
          <cell r="I627" t="str">
            <v>Trevor Benthagen, Efrain Zarate</v>
          </cell>
          <cell r="J627" t="str">
            <v/>
          </cell>
          <cell r="K627" t="str">
            <v>https://panda-windows-and-doors.monday.com/protected_static/21046287/resources/2488188417/Q#85352.pdf</v>
          </cell>
          <cell r="L627" t="str">
            <v>https://panda-windows-and-doors.monday.com/protected_static/21046287/resources/2488190253/smtp.office365.com_20251015_072701.pdf</v>
          </cell>
          <cell r="M627" t="str">
            <v/>
          </cell>
          <cell r="N627" t="str">
            <v>https://panda-windows-and-doors.monday.com/protected_static/21046287/resources/2491710424/85352 Deposit Invoice.pdf</v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>Completed - Closed Out</v>
          </cell>
          <cell r="T627" t="str">
            <v/>
          </cell>
          <cell r="U627">
            <v>35018</v>
          </cell>
          <cell r="V627">
            <v>35018</v>
          </cell>
          <cell r="W627" t="str">
            <v>George Bails Apr 3, 2026 4:45 PM</v>
          </cell>
          <cell r="X627" t="str">
            <v>2025-04-28 14:13</v>
          </cell>
          <cell r="Y627">
            <v>45945</v>
          </cell>
          <cell r="Z627" t="str">
            <v/>
          </cell>
          <cell r="AA627">
            <v>45945</v>
          </cell>
          <cell r="AB627" t="str">
            <v>Annalene Conde Oct 15, 2025 11:14 AM</v>
          </cell>
          <cell r="AC627">
            <v>45946</v>
          </cell>
          <cell r="AD627">
            <v>46064</v>
          </cell>
          <cell r="AE627">
            <v>46106</v>
          </cell>
          <cell r="AF627">
            <v>46106</v>
          </cell>
          <cell r="AG627">
            <v>46115</v>
          </cell>
          <cell r="AH627" t="str">
            <v>Lake Glass</v>
          </cell>
          <cell r="AI627">
            <v>46051</v>
          </cell>
        </row>
        <row r="628">
          <cell r="C628">
            <v>87633</v>
          </cell>
          <cell r="D628" t="str">
            <v/>
          </cell>
          <cell r="E628" t="str">
            <v/>
          </cell>
          <cell r="F628" t="str">
            <v>Final</v>
          </cell>
          <cell r="G628" t="str">
            <v>Final Collected</v>
          </cell>
          <cell r="H628" t="str">
            <v>No</v>
          </cell>
          <cell r="I628" t="str">
            <v>Efrain Zarate, Trevor Benthagen</v>
          </cell>
          <cell r="J628" t="str">
            <v/>
          </cell>
          <cell r="K628" t="str">
            <v>https://panda-windows-and-doors.monday.com/protected_static/21046287/resources/2614119015/CEASARS LAKE TAHOE SIGNED PANDA SALES ORDER - 12-11-25.pdf</v>
          </cell>
          <cell r="L628" t="str">
            <v>https://panda-windows-and-doors.monday.com/protected_static/21046287/resources/2614124913/BP-70M55_20251211_101345.pdf</v>
          </cell>
          <cell r="M628" t="str">
            <v/>
          </cell>
          <cell r="N628" t="str">
            <v>https://panda-windows-and-doors.monday.com/protected_static/21046287/resources/2615063832/87633 Deposit Invoice.pdf</v>
          </cell>
          <cell r="O628" t="str">
            <v/>
          </cell>
          <cell r="P628" t="str">
            <v/>
          </cell>
          <cell r="Q628" t="str">
            <v/>
          </cell>
          <cell r="R628" t="str">
            <v>https://panda-windows-and-doors.monday.com/protected_static/21046287/resources/2772797582/Q87633_BOM.pdf, https://panda-windows-and-doors.monday.com/protected_static/21046287/resources/2772797586/Q87633_OPT_MANUAL.pdf</v>
          </cell>
          <cell r="S628" t="str">
            <v>Completed - Closed Out</v>
          </cell>
          <cell r="T628" t="str">
            <v/>
          </cell>
          <cell r="U628">
            <v>39028</v>
          </cell>
          <cell r="V628">
            <v>44377.45</v>
          </cell>
          <cell r="W628" t="str">
            <v>George Bails Apr 3, 2026 4:41 PM</v>
          </cell>
          <cell r="X628" t="str">
            <v>2025-12-11 00:00</v>
          </cell>
          <cell r="Y628">
            <v>46002</v>
          </cell>
          <cell r="Z628" t="str">
            <v/>
          </cell>
          <cell r="AA628">
            <v>46002</v>
          </cell>
          <cell r="AB628" t="str">
            <v>Annalene Conde Dec 11, 2025 11:21 AM</v>
          </cell>
          <cell r="AC628">
            <v>46002</v>
          </cell>
          <cell r="AD628">
            <v>46030</v>
          </cell>
          <cell r="AE628">
            <v>46108</v>
          </cell>
          <cell r="AF628">
            <v>46108</v>
          </cell>
          <cell r="AG628">
            <v>46115</v>
          </cell>
          <cell r="AH628" t="str">
            <v>C Thru Glass</v>
          </cell>
          <cell r="AI628" t="str">
            <v/>
          </cell>
        </row>
        <row r="629">
          <cell r="C629">
            <v>86639</v>
          </cell>
          <cell r="D629">
            <v>46055</v>
          </cell>
          <cell r="E629" t="str">
            <v/>
          </cell>
          <cell r="F629" t="str">
            <v>Final</v>
          </cell>
          <cell r="G629" t="str">
            <v>Final Collected</v>
          </cell>
          <cell r="H629" t="str">
            <v>No</v>
          </cell>
          <cell r="I629" t="str">
            <v>Trevor Benthagen, Efrain Zarate</v>
          </cell>
          <cell r="J629" t="str">
            <v/>
          </cell>
          <cell r="K629" t="str">
            <v>https://panda-windows-and-doors.monday.com/protected_static/21046287/resources/2664010105/BP-70M55_20260107_073409.pdf</v>
          </cell>
          <cell r="L629" t="str">
            <v>https://panda-windows-and-doors.monday.com/protected_static/21046287/resources/2664009984/BP-70M55_20260107_073331.pdf</v>
          </cell>
          <cell r="M629" t="str">
            <v/>
          </cell>
          <cell r="N629" t="str">
            <v>https://panda-windows-and-doors.monday.com/protected_static/21046287/resources/2668904105/86639 Deposit Invoice.pdf, https://panda-windows-and-doors.monday.com/protected_static/21046287/resources/2732713781/86639 Deposit Invoice CO  1.pdf</v>
          </cell>
          <cell r="O629" t="str">
            <v/>
          </cell>
          <cell r="P629" t="str">
            <v/>
          </cell>
          <cell r="Q629" t="str">
            <v/>
          </cell>
          <cell r="R629" t="str">
            <v>https://panda-windows-and-doors.monday.com/protected_static/21046287/resources/2764106042/MF 5197 Q86639 BROOKS PROJECT - B.O.M.pdf, https://panda-windows-and-doors.monday.com/protected_static/21046287/resources/2764106039/MF 5197 Q86639 BROOKS PROJECT - CUTLIST (GINERI).pdf, https://panda-windows-and-doors.monday.com/protected_static/21046287/resources/2764106038/MF 5197 Q86639 BROOKS PROJECT - CUTLIST (MANUAL).pdf, https://panda-windows-and-doors.monday.com/protected_static/21046287/resources/2764106043/MF 5197 Q86639 BROOKS PROJECT - OPT.pdf</v>
          </cell>
          <cell r="S629" t="str">
            <v>Completed - Closed Out</v>
          </cell>
          <cell r="T629" t="str">
            <v/>
          </cell>
          <cell r="U629">
            <v>29037</v>
          </cell>
          <cell r="V629">
            <v>28237</v>
          </cell>
          <cell r="W629" t="str">
            <v>George Bails Apr 7, 2026 8:25 AM</v>
          </cell>
          <cell r="X629" t="str">
            <v>2025-07-25 00:00</v>
          </cell>
          <cell r="Y629">
            <v>46014</v>
          </cell>
          <cell r="Z629" t="str">
            <v/>
          </cell>
          <cell r="AA629">
            <v>46014</v>
          </cell>
          <cell r="AB629" t="str">
            <v>Annalene Conde Dec 23, 2025 2:36 PM</v>
          </cell>
          <cell r="AC629">
            <v>46014</v>
          </cell>
          <cell r="AD629">
            <v>46030</v>
          </cell>
          <cell r="AE629">
            <v>46105</v>
          </cell>
          <cell r="AF629">
            <v>46106</v>
          </cell>
          <cell r="AG629">
            <v>46118</v>
          </cell>
          <cell r="AH629" t="str">
            <v>Natural Interior Domain Interiors, LLC</v>
          </cell>
          <cell r="AI629">
            <v>46055</v>
          </cell>
        </row>
        <row r="630">
          <cell r="C630">
            <v>83937</v>
          </cell>
          <cell r="D630">
            <v>46034</v>
          </cell>
          <cell r="E630" t="str">
            <v/>
          </cell>
          <cell r="F630" t="str">
            <v>Final</v>
          </cell>
          <cell r="G630" t="str">
            <v>Final Collected</v>
          </cell>
          <cell r="H630" t="str">
            <v>No</v>
          </cell>
          <cell r="I630" t="str">
            <v>Efrain Zarate, Trevor Benthagen</v>
          </cell>
          <cell r="J630" t="str">
            <v/>
          </cell>
          <cell r="K630" t="str">
            <v>https://panda-windows-and-doors.monday.com/protected_static/21046287/resources/2521533982/smtp.office365.com_20251030_071941.pdf</v>
          </cell>
          <cell r="L630" t="str">
            <v>https://panda-windows-and-doors.monday.com/protected_static/21046287/resources/2521535338/smtp.office365.com_20251030_071953.pdf</v>
          </cell>
          <cell r="M630" t="str">
            <v/>
          </cell>
          <cell r="N630" t="str">
            <v>https://panda-windows-and-doors.monday.com/protected_static/21046287/resources/2524475989/83937 Deposit Invoice.pdf, https://panda-windows-and-doors.monday.com/protected_static/21046287/resources/2871372106/83937 Deposit Invoice CO#2.pdf</v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>Completed - Closed Out</v>
          </cell>
          <cell r="T630" t="str">
            <v/>
          </cell>
          <cell r="U630">
            <v>59570.5</v>
          </cell>
          <cell r="V630">
            <v>55667.5</v>
          </cell>
          <cell r="W630" t="str">
            <v>George Bails Apr 17, 2026 9:22 AM</v>
          </cell>
          <cell r="X630" t="str">
            <v>2025-02-18 00:00</v>
          </cell>
          <cell r="Y630">
            <v>45960</v>
          </cell>
          <cell r="Z630" t="str">
            <v/>
          </cell>
          <cell r="AA630">
            <v>45960</v>
          </cell>
          <cell r="AB630" t="str">
            <v>Annalene Conde Oct 30, 2025 9:56 AM</v>
          </cell>
          <cell r="AC630">
            <v>45961</v>
          </cell>
          <cell r="AD630" t="str">
            <v/>
          </cell>
          <cell r="AE630">
            <v>46112</v>
          </cell>
          <cell r="AF630">
            <v>46113</v>
          </cell>
          <cell r="AG630">
            <v>46121</v>
          </cell>
          <cell r="AH630" t="str">
            <v>Constructa</v>
          </cell>
          <cell r="AI630">
            <v>46034</v>
          </cell>
        </row>
        <row r="631">
          <cell r="C631">
            <v>87078</v>
          </cell>
          <cell r="D631">
            <v>46079</v>
          </cell>
          <cell r="E631" t="str">
            <v/>
          </cell>
          <cell r="F631" t="str">
            <v>Final</v>
          </cell>
          <cell r="G631" t="str">
            <v>Final Collected</v>
          </cell>
          <cell r="H631" t="str">
            <v>No</v>
          </cell>
          <cell r="I631" t="str">
            <v>Trevor Benthagen, Efrain Zarate</v>
          </cell>
          <cell r="J631" t="str">
            <v/>
          </cell>
          <cell r="K631" t="str">
            <v>https://panda-windows-and-doors.monday.com/protected_static/21046287/resources/2749167310/BP-70M55_20260210_073223.pdf</v>
          </cell>
          <cell r="L631" t="str">
            <v>https://panda-windows-and-doors.monday.com/protected_static/21046287/resources/2749167888/BP-70M55_20260210_073239.pdf</v>
          </cell>
          <cell r="M631" t="str">
            <v/>
          </cell>
          <cell r="N631" t="str">
            <v>https://panda-windows-and-doors.monday.com/protected_static/21046287/resources/2749488258/87078 Deposit Invoice.pdf</v>
          </cell>
          <cell r="O631" t="str">
            <v/>
          </cell>
          <cell r="P631" t="str">
            <v/>
          </cell>
          <cell r="Q631" t="str">
            <v/>
          </cell>
          <cell r="R631" t="str">
            <v>https://panda-windows-and-doors.monday.com/protected_static/21046287/resources/2803394123/Q87078 PARK CITY PROJECT - B.O.M.pdf, https://panda-windows-and-doors.monday.com/protected_static/21046287/resources/2803394121/Q87078 PARK CITY PROJECT - CUTLIST (MANUAL).pdf</v>
          </cell>
          <cell r="S631" t="str">
            <v>Completed - Closed Out</v>
          </cell>
          <cell r="T631" t="str">
            <v/>
          </cell>
          <cell r="U631">
            <v>12457</v>
          </cell>
          <cell r="V631">
            <v>11589</v>
          </cell>
          <cell r="W631" t="str">
            <v>George Bails Apr 17, 2026 9:15 AM</v>
          </cell>
          <cell r="X631" t="str">
            <v>2025-08-20 06:14</v>
          </cell>
          <cell r="Y631">
            <v>46063</v>
          </cell>
          <cell r="Z631" t="str">
            <v/>
          </cell>
          <cell r="AA631">
            <v>46063</v>
          </cell>
          <cell r="AB631" t="str">
            <v>Annalene Conde Feb 10, 2026 8:33 AM</v>
          </cell>
          <cell r="AC631">
            <v>46063</v>
          </cell>
          <cell r="AD631">
            <v>46064</v>
          </cell>
          <cell r="AE631">
            <v>46121</v>
          </cell>
          <cell r="AF631">
            <v>46121</v>
          </cell>
          <cell r="AG631">
            <v>46122</v>
          </cell>
          <cell r="AH631" t="str">
            <v>Richard Mazzarino</v>
          </cell>
          <cell r="AI631">
            <v>46079</v>
          </cell>
        </row>
        <row r="632">
          <cell r="C632">
            <v>88524</v>
          </cell>
          <cell r="D632" t="str">
            <v/>
          </cell>
          <cell r="E632" t="str">
            <v/>
          </cell>
          <cell r="F632" t="str">
            <v>Final</v>
          </cell>
          <cell r="G632" t="str">
            <v>Final Collected</v>
          </cell>
          <cell r="H632" t="str">
            <v>No</v>
          </cell>
          <cell r="I632" t="str">
            <v>Sean Torre</v>
          </cell>
          <cell r="J632" t="str">
            <v/>
          </cell>
          <cell r="K632" t="str">
            <v>https://panda-windows-and-doors.monday.com/protected_static/21046287/resources/2749602197/2346 Rosewood Order.pdf</v>
          </cell>
          <cell r="L632" t="str">
            <v>https://panda-windows-and-doors.monday.com/protected_static/21046287/resources/2749602368/CamScanner 2-10-26 08.53.pdf</v>
          </cell>
          <cell r="M632" t="str">
            <v/>
          </cell>
          <cell r="N632" t="str">
            <v>https://panda-windows-and-doors.monday.com/protected_static/21046287/resources/2750674013/88524 Deposit Invoice.pdf</v>
          </cell>
          <cell r="O632" t="str">
            <v/>
          </cell>
          <cell r="P632" t="str">
            <v/>
          </cell>
          <cell r="Q632" t="str">
            <v/>
          </cell>
          <cell r="R632" t="str">
            <v>https://panda-windows-and-doors.monday.com/protected_static/21046287/resources/2826964105/Q88524 2348 ROSEWOOD - B.O.M.pdf, https://panda-windows-and-doors.monday.com/protected_static/21046287/resources/2826964117/Q88524 2348 ROSEWOOD - CUTLIST (MANUAL).pdf</v>
          </cell>
          <cell r="S632" t="str">
            <v>Completed - Closed Out</v>
          </cell>
          <cell r="T632" t="str">
            <v/>
          </cell>
          <cell r="U632">
            <v>6563</v>
          </cell>
          <cell r="V632">
            <v>6563</v>
          </cell>
          <cell r="W632" t="str">
            <v>George Bails Apr 16, 2026 3:52 PM</v>
          </cell>
          <cell r="X632" t="str">
            <v>2026-02-10 00:00</v>
          </cell>
          <cell r="Y632">
            <v>46063</v>
          </cell>
          <cell r="Z632" t="str">
            <v/>
          </cell>
          <cell r="AA632">
            <v>46063</v>
          </cell>
          <cell r="AB632" t="str">
            <v>Annalene Conde Feb 10, 2026 10:19 AM</v>
          </cell>
          <cell r="AC632">
            <v>46063</v>
          </cell>
          <cell r="AD632">
            <v>46076</v>
          </cell>
          <cell r="AE632">
            <v>46119</v>
          </cell>
          <cell r="AF632">
            <v>46119</v>
          </cell>
          <cell r="AG632">
            <v>46122</v>
          </cell>
          <cell r="AH632" t="str">
            <v>Precision Glass</v>
          </cell>
          <cell r="AI632" t="str">
            <v/>
          </cell>
        </row>
        <row r="633">
          <cell r="C633">
            <v>88612</v>
          </cell>
          <cell r="D633" t="str">
            <v/>
          </cell>
          <cell r="E633" t="str">
            <v/>
          </cell>
          <cell r="F633" t="str">
            <v>Final</v>
          </cell>
          <cell r="G633" t="str">
            <v>Final Collected</v>
          </cell>
          <cell r="H633" t="str">
            <v>No</v>
          </cell>
          <cell r="I633" t="str">
            <v>Spencer Anderson</v>
          </cell>
          <cell r="J633" t="str">
            <v/>
          </cell>
          <cell r="K633" t="str">
            <v>https://panda-windows-and-doors.monday.com/protected_static/21046287/resources/2746366783/Scanned_from_a_Lexmark_Multifunction_Product02-09-2026-120916.pdf, https://panda-windows-and-doors.monday.com/protected_static/21046287/resources/2746368629/QQ #88612 - Lowes #0129_Cody Cutom Builds - 02062026.pdf</v>
          </cell>
          <cell r="L633" t="str">
            <v>https://panda-windows-and-doors.monday.com/protected_static/21046287/resources/2746622327/BP-70M55_20260209_113321.pdf</v>
          </cell>
          <cell r="M633" t="str">
            <v/>
          </cell>
          <cell r="N633" t="str">
            <v>https://panda-windows-and-doors.monday.com/protected_static/21046287/resources/2749349933/88612 Deposit Invoice.pdf</v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>
            <v>0</v>
          </cell>
          <cell r="V633">
            <v>25061</v>
          </cell>
          <cell r="W633" t="str">
            <v>George Bails Apr 16, 2026 3:49 PM</v>
          </cell>
          <cell r="X633" t="str">
            <v/>
          </cell>
          <cell r="Y633">
            <v>46062</v>
          </cell>
          <cell r="Z633" t="str">
            <v/>
          </cell>
          <cell r="AA633">
            <v>46063</v>
          </cell>
          <cell r="AB633" t="str">
            <v>Annalene Conde Feb 9, 2026 1:23 PM</v>
          </cell>
          <cell r="AC633">
            <v>46065</v>
          </cell>
          <cell r="AD633" t="str">
            <v/>
          </cell>
          <cell r="AE633">
            <v>46112</v>
          </cell>
          <cell r="AF633">
            <v>46113</v>
          </cell>
          <cell r="AG633">
            <v>46122</v>
          </cell>
          <cell r="AH633" t="str">
            <v>Reed Davidson</v>
          </cell>
          <cell r="AI633" t="str">
            <v/>
          </cell>
        </row>
        <row r="634">
          <cell r="C634">
            <v>85838</v>
          </cell>
          <cell r="D634" t="str">
            <v/>
          </cell>
          <cell r="E634" t="str">
            <v/>
          </cell>
          <cell r="F634" t="str">
            <v>Final</v>
          </cell>
          <cell r="G634" t="str">
            <v>Final Collected</v>
          </cell>
          <cell r="H634" t="str">
            <v>No</v>
          </cell>
          <cell r="I634" t="str">
            <v>Efrain Zarate, Trevor Benthagen</v>
          </cell>
          <cell r="J634" t="str">
            <v/>
          </cell>
          <cell r="K634" t="str">
            <v>https://panda-windows-and-doors.monday.com/protected_static/21046287/resources/2700537200/Doc.pdf</v>
          </cell>
          <cell r="L634" t="str">
            <v>https://panda-windows-and-doors.monday.com/protected_static/21046287/resources/2700538004/BP-70M55_20260121_135402.pdf</v>
          </cell>
          <cell r="M634" t="str">
            <v/>
          </cell>
          <cell r="N634" t="str">
            <v>https://panda-windows-and-doors.monday.com/protected_static/21046287/resources/2700696083/85838 Deposit Invoice.pdf</v>
          </cell>
          <cell r="O634" t="str">
            <v/>
          </cell>
          <cell r="P634" t="str">
            <v/>
          </cell>
          <cell r="Q634" t="str">
            <v/>
          </cell>
          <cell r="R634" t="str">
            <v>https://panda-windows-and-doors.monday.com/protected_static/21046287/resources/2783137847/Q85838_FDTS30 OPT.pdf, https://panda-windows-and-doors.monday.com/protected_static/21046287/resources/2783137848/Q85838_FDTS30 BOM.pdf</v>
          </cell>
          <cell r="S634" t="str">
            <v>Completed - Closed Out</v>
          </cell>
          <cell r="T634" t="str">
            <v/>
          </cell>
          <cell r="U634">
            <v>3386</v>
          </cell>
          <cell r="V634">
            <v>3952.07</v>
          </cell>
          <cell r="W634" t="str">
            <v>George Bails Apr 17, 2026 9:07 AM</v>
          </cell>
          <cell r="X634" t="str">
            <v>2026-01-21 00:00</v>
          </cell>
          <cell r="Y634">
            <v>46043</v>
          </cell>
          <cell r="Z634" t="str">
            <v/>
          </cell>
          <cell r="AA634">
            <v>46043</v>
          </cell>
          <cell r="AB634" t="str">
            <v>Annalene Conde Jan 21, 2026 2:58 PM</v>
          </cell>
          <cell r="AC634">
            <v>46043</v>
          </cell>
          <cell r="AD634">
            <v>46049</v>
          </cell>
          <cell r="AE634">
            <v>46112</v>
          </cell>
          <cell r="AF634">
            <v>46112</v>
          </cell>
          <cell r="AG634">
            <v>46122</v>
          </cell>
          <cell r="AH634" t="str">
            <v>Elaine Fitzpatrick</v>
          </cell>
          <cell r="AI634" t="str">
            <v/>
          </cell>
        </row>
        <row r="635">
          <cell r="C635">
            <v>88921</v>
          </cell>
          <cell r="D635" t="str">
            <v/>
          </cell>
          <cell r="E635" t="str">
            <v/>
          </cell>
          <cell r="F635" t="str">
            <v>Final</v>
          </cell>
          <cell r="G635" t="str">
            <v>Final Collected</v>
          </cell>
          <cell r="H635" t="str">
            <v>No</v>
          </cell>
          <cell r="I635" t="str">
            <v>Efrain Zarate, Trevor Benthagen</v>
          </cell>
          <cell r="J635" t="str">
            <v/>
          </cell>
          <cell r="K635" t="str">
            <v>https://panda-windows-and-doors.monday.com/protected_static/21046287/resources/2715846897/Scanned Document.pdf</v>
          </cell>
          <cell r="L635" t="str">
            <v>https://panda-windows-and-doors.monday.com/protected_static/21046287/resources/2715851713/BP-70M55_20260128_074324.pdf</v>
          </cell>
          <cell r="M635" t="str">
            <v/>
          </cell>
          <cell r="N635" t="str">
            <v>https://panda-windows-and-doors.monday.com/protected_static/21046287/resources/2720256583/88921 Deposit Invoice.pdf</v>
          </cell>
          <cell r="O635" t="str">
            <v/>
          </cell>
          <cell r="P635" t="str">
            <v/>
          </cell>
          <cell r="Q635" t="str">
            <v/>
          </cell>
          <cell r="R635" t="str">
            <v>https://panda-windows-and-doors.monday.com/protected_static/21046287/resources/2796537737/Q88921_TS19 MAT LIST.pdf, https://panda-windows-and-doors.monday.com/protected_static/21046287/resources/2796537757/Q88921_TS19 BOM.pdf, https://panda-windows-and-doors.monday.com/protected_static/21046287/resources/2796537744/Q88921_TS19 CUT LIST.pdf, https://panda-windows-and-doors.monday.com/protected_static/21046287/resources/2796537833/Q88921_TS19 OPT.pdf</v>
          </cell>
          <cell r="S635" t="str">
            <v>Completed - Closed Out</v>
          </cell>
          <cell r="T635" t="str">
            <v/>
          </cell>
          <cell r="U635">
            <v>18436</v>
          </cell>
          <cell r="V635">
            <v>21524.03</v>
          </cell>
          <cell r="W635" t="str">
            <v>George Bails Apr 14, 2026 7:50 AM</v>
          </cell>
          <cell r="X635" t="str">
            <v>2025-12-30 12:54</v>
          </cell>
          <cell r="Y635">
            <v>46050</v>
          </cell>
          <cell r="Z635" t="str">
            <v/>
          </cell>
          <cell r="AA635">
            <v>46050</v>
          </cell>
          <cell r="AB635" t="str">
            <v>Annalene Conde Jan 28, 2026 9:09 AM</v>
          </cell>
          <cell r="AC635">
            <v>46051</v>
          </cell>
          <cell r="AD635">
            <v>46052</v>
          </cell>
          <cell r="AE635">
            <v>46112</v>
          </cell>
          <cell r="AF635">
            <v>46112</v>
          </cell>
          <cell r="AG635">
            <v>46125</v>
          </cell>
          <cell r="AH635" t="str">
            <v>BMG Door &amp; Glass</v>
          </cell>
          <cell r="AI635" t="str">
            <v/>
          </cell>
        </row>
        <row r="636">
          <cell r="C636">
            <v>89139</v>
          </cell>
          <cell r="D636" t="str">
            <v/>
          </cell>
          <cell r="E636" t="str">
            <v/>
          </cell>
          <cell r="F636" t="str">
            <v>Final</v>
          </cell>
          <cell r="G636" t="str">
            <v>Final Collected</v>
          </cell>
          <cell r="H636" t="str">
            <v>No</v>
          </cell>
          <cell r="I636" t="str">
            <v>Trevor Benthagen, Efrain Zarate</v>
          </cell>
          <cell r="J636" t="str">
            <v/>
          </cell>
          <cell r="K636" t="str">
            <v>https://panda-windows-and-doors.monday.com/protected_static/21046287/resources/2728345546/QQ#89139 Little Residence 01302026.pdf</v>
          </cell>
          <cell r="L636" t="str">
            <v>https://panda-windows-and-doors.monday.com/protected_static/21046287/resources/2728373817/BP-70M55_20260202_091406.pdf</v>
          </cell>
          <cell r="M636" t="str">
            <v/>
          </cell>
          <cell r="N636" t="str">
            <v>https://panda-windows-and-doors.monday.com/protected_static/21046287/resources/2729607145/89139 Deposit Invoice.pdf</v>
          </cell>
          <cell r="O636" t="str">
            <v/>
          </cell>
          <cell r="P636" t="str">
            <v/>
          </cell>
          <cell r="Q636" t="str">
            <v/>
          </cell>
          <cell r="R636" t="str">
            <v>https://panda-windows-and-doors.monday.com/protected_static/21046287/resources/2797113603/Q89139_TS60 MAT LIST.pdf, https://panda-windows-and-doors.monday.com/protected_static/21046287/resources/2797113607/Q89139_TS60 BOM.pdf, https://panda-windows-and-doors.monday.com/protected_static/21046287/resources/2797113600/Q89139_TS60 CUT LIST.pdf, https://panda-windows-and-doors.monday.com/protected_static/21046287/resources/2797113606/Q89139_TS60 OPT.pdf</v>
          </cell>
          <cell r="S636" t="str">
            <v>Completed - Closed Out</v>
          </cell>
          <cell r="T636" t="str">
            <v/>
          </cell>
          <cell r="U636">
            <v>24500</v>
          </cell>
          <cell r="V636">
            <v>24196.14</v>
          </cell>
          <cell r="W636" t="str">
            <v>George Bails Apr 14, 2026 8:16 AM</v>
          </cell>
          <cell r="X636" t="str">
            <v>2025-12-23 00:00</v>
          </cell>
          <cell r="Y636">
            <v>46055</v>
          </cell>
          <cell r="Z636" t="str">
            <v/>
          </cell>
          <cell r="AA636">
            <v>46055</v>
          </cell>
          <cell r="AB636" t="str">
            <v>Annalene Conde Feb 2, 2026 10:06 AM</v>
          </cell>
          <cell r="AC636" t="str">
            <v/>
          </cell>
          <cell r="AD636">
            <v>46055</v>
          </cell>
          <cell r="AE636">
            <v>46106</v>
          </cell>
          <cell r="AF636">
            <v>46106</v>
          </cell>
          <cell r="AG636">
            <v>46125</v>
          </cell>
          <cell r="AH636" t="str">
            <v>Little Residence</v>
          </cell>
          <cell r="AI636" t="str">
            <v/>
          </cell>
        </row>
        <row r="637">
          <cell r="C637">
            <v>87645</v>
          </cell>
          <cell r="D637" t="str">
            <v/>
          </cell>
          <cell r="E637" t="str">
            <v/>
          </cell>
          <cell r="F637" t="str">
            <v>Final</v>
          </cell>
          <cell r="G637" t="str">
            <v>Final Collected</v>
          </cell>
          <cell r="H637" t="str">
            <v>No</v>
          </cell>
          <cell r="I637" t="str">
            <v>Derrick McCall</v>
          </cell>
          <cell r="J637" t="str">
            <v/>
          </cell>
          <cell r="K637" t="str">
            <v>https://panda-windows-and-doors.monday.com/protected_static/21046287/resources/2524286990/QQ#87645 Top of Crystal 10072025.pdf</v>
          </cell>
          <cell r="L637" t="str">
            <v>https://panda-windows-and-doors.monday.com/protected_static/21046287/resources/2524286424/BP-70M55_20251031_081728.pdf</v>
          </cell>
          <cell r="M637" t="str">
            <v/>
          </cell>
          <cell r="N637" t="str">
            <v>https://panda-windows-and-doors.monday.com/protected_static/21046287/resources/2524578285/87645 Deposit Invoice.pdf</v>
          </cell>
          <cell r="O637" t="str">
            <v/>
          </cell>
          <cell r="P637" t="str">
            <v/>
          </cell>
          <cell r="Q637" t="str">
            <v/>
          </cell>
          <cell r="R637" t="str">
            <v>https://panda-windows-and-doors.monday.com/protected_static/21046287/resources/2657566924/MF 5152 Q87645 TOP OF CRYSTAL - B.O.M.pdf, https://panda-windows-and-doors.monday.com/protected_static/21046287/resources/2657566912/MF 5152 Q87645 TOP OF CRYSTAL - CUTLIST (GINERI).pdf, https://panda-windows-and-doors.monday.com/protected_static/21046287/resources/2657566911/MF 5152 Q87645 TOP OF CRYSTAL - OPT.pdf</v>
          </cell>
          <cell r="S637" t="str">
            <v>Completed - Closed Out</v>
          </cell>
          <cell r="T637" t="str">
            <v/>
          </cell>
          <cell r="U637">
            <v>13500</v>
          </cell>
          <cell r="V637">
            <v>12251.97</v>
          </cell>
          <cell r="W637" t="str">
            <v>George Bails Apr 14, 2026 8:09 AM</v>
          </cell>
          <cell r="X637" t="str">
            <v>2025-10-01 13:01</v>
          </cell>
          <cell r="Y637">
            <v>45961</v>
          </cell>
          <cell r="Z637" t="str">
            <v/>
          </cell>
          <cell r="AA637">
            <v>45961</v>
          </cell>
          <cell r="AB637" t="str">
            <v>Annalene Conde Oct 31, 2025 9:34 AM</v>
          </cell>
          <cell r="AC637">
            <v>45961</v>
          </cell>
          <cell r="AD637">
            <v>45971</v>
          </cell>
          <cell r="AE637">
            <v>46107</v>
          </cell>
          <cell r="AF637">
            <v>46107</v>
          </cell>
          <cell r="AG637">
            <v>46125</v>
          </cell>
          <cell r="AH637" t="str">
            <v>Phoenix Glass</v>
          </cell>
          <cell r="AI637" t="str">
            <v/>
          </cell>
        </row>
        <row r="638">
          <cell r="C638">
            <v>88335</v>
          </cell>
          <cell r="D638" t="str">
            <v/>
          </cell>
          <cell r="E638" t="str">
            <v/>
          </cell>
          <cell r="F638" t="str">
            <v>Final</v>
          </cell>
          <cell r="G638" t="str">
            <v>Final Collected</v>
          </cell>
          <cell r="H638" t="str">
            <v>No</v>
          </cell>
          <cell r="I638" t="str">
            <v>Derrick McCall</v>
          </cell>
          <cell r="J638" t="str">
            <v/>
          </cell>
          <cell r="K638" t="str">
            <v>https://panda-windows-and-doors.monday.com/protected_static/21046287/resources/2593555273/25006-120-01.pdf</v>
          </cell>
          <cell r="L638" t="str">
            <v>https://panda-windows-and-doors.monday.com/protected_static/21046287/resources/2593550888/BP-70M55_20251202_144117.pdf</v>
          </cell>
          <cell r="M638" t="str">
            <v/>
          </cell>
          <cell r="N638" t="str">
            <v>https://panda-windows-and-doors.monday.com/protected_static/21046287/resources/2595584017/88335 Deposit Invoice.pdf</v>
          </cell>
          <cell r="O638" t="str">
            <v/>
          </cell>
          <cell r="P638" t="str">
            <v/>
          </cell>
          <cell r="Q638" t="str">
            <v/>
          </cell>
          <cell r="R638" t="str">
            <v>https://panda-windows-and-doors.monday.com/protected_static/21046287/resources/2728472695/Q88335 ARE FITNESS - B.O.M.pdf, https://panda-windows-and-doors.monday.com/protected_static/21046287/resources/2728472694/Q88335 ARE FITNESS - CUTLIST (MANUAL).pdf, https://panda-windows-and-doors.monday.com/protected_static/21046287/resources/2728472698/Q88335_UTS60_KYNAR.pdf</v>
          </cell>
          <cell r="S638" t="str">
            <v>Completed - Closed Out</v>
          </cell>
          <cell r="T638" t="str">
            <v/>
          </cell>
          <cell r="U638">
            <v>21104</v>
          </cell>
          <cell r="V638">
            <v>24450.53</v>
          </cell>
          <cell r="W638" t="str">
            <v>George Bails Apr 14, 2026 12:10 PM</v>
          </cell>
          <cell r="X638" t="str">
            <v>2025-11-25 00:00</v>
          </cell>
          <cell r="Y638">
            <v>45993</v>
          </cell>
          <cell r="Z638" t="str">
            <v/>
          </cell>
          <cell r="AA638">
            <v>45993</v>
          </cell>
          <cell r="AB638" t="str">
            <v>Annalene Conde Dec 2, 2025 3:41 PM</v>
          </cell>
          <cell r="AC638">
            <v>45994</v>
          </cell>
          <cell r="AD638">
            <v>45995</v>
          </cell>
          <cell r="AE638">
            <v>46125</v>
          </cell>
          <cell r="AF638">
            <v>46125</v>
          </cell>
          <cell r="AG638">
            <v>46126</v>
          </cell>
          <cell r="AH638" t="str">
            <v>Lunstrum Windows &amp; Doors</v>
          </cell>
          <cell r="AI638" t="str">
            <v/>
          </cell>
        </row>
        <row r="639">
          <cell r="C639">
            <v>87232</v>
          </cell>
          <cell r="D639">
            <v>46064</v>
          </cell>
          <cell r="E639" t="str">
            <v/>
          </cell>
          <cell r="F639" t="str">
            <v>Final</v>
          </cell>
          <cell r="G639" t="str">
            <v>Final Collected</v>
          </cell>
          <cell r="H639" t="str">
            <v>No</v>
          </cell>
          <cell r="I639" t="str">
            <v>Trevor Benthagen, Efrain Zarate</v>
          </cell>
          <cell r="J639" t="str">
            <v/>
          </cell>
          <cell r="K639" t="str">
            <v>https://panda-windows-and-doors.monday.com/protected_static/21046287/resources/2560209788/BP-70M55_20251117_105346.pdf</v>
          </cell>
          <cell r="L639" t="str">
            <v>https://panda-windows-and-doors.monday.com/protected_static/21046287/resources/2560209610/BP-70M55_20251117_105400.pdf</v>
          </cell>
          <cell r="M639" t="str">
            <v/>
          </cell>
          <cell r="N639" t="str">
            <v>https://panda-windows-and-doors.monday.com/protected_static/21046287/resources/2562981833/87232 Deposit Invoice.pdf, https://panda-windows-and-doors.monday.com/protected_static/21046287/resources/2896144526/87232 Deposit Invoice CO# 1.pdf</v>
          </cell>
          <cell r="O639" t="str">
            <v/>
          </cell>
          <cell r="P639" t="str">
            <v/>
          </cell>
          <cell r="Q639" t="str">
            <v/>
          </cell>
          <cell r="R639" t="str">
            <v>https://panda-windows-and-doors.monday.com/protected_static/21046287/resources/2710881677/Q87232 MESSINGER DOORS - B.O.M.pdf, https://panda-windows-and-doors.monday.com/protected_static/21046287/resources/2710881679/Q87232 MESSINGER DOORS - CUTLIST (MANUAL).pdf</v>
          </cell>
          <cell r="S639" t="str">
            <v>Completed - Closed Out</v>
          </cell>
          <cell r="T639" t="str">
            <v/>
          </cell>
          <cell r="U639">
            <v>29640.5</v>
          </cell>
          <cell r="V639">
            <v>34318.06</v>
          </cell>
          <cell r="W639" t="str">
            <v>George Bails Apr 16, 2026 1:46 PM</v>
          </cell>
          <cell r="X639" t="str">
            <v>2025-09-08 00:00</v>
          </cell>
          <cell r="Y639">
            <v>45978</v>
          </cell>
          <cell r="Z639" t="str">
            <v/>
          </cell>
          <cell r="AA639">
            <v>45978</v>
          </cell>
          <cell r="AB639" t="str">
            <v>Annalene Conde Nov 17, 2025 12:18 PM</v>
          </cell>
          <cell r="AC639">
            <v>45979</v>
          </cell>
          <cell r="AD639">
            <v>46072</v>
          </cell>
          <cell r="AE639">
            <v>46122</v>
          </cell>
          <cell r="AF639">
            <v>46125</v>
          </cell>
          <cell r="AG639">
            <v>46128</v>
          </cell>
          <cell r="AH639" t="str">
            <v>Signature Custom Homes</v>
          </cell>
          <cell r="AI639">
            <v>46064</v>
          </cell>
        </row>
        <row r="640">
          <cell r="C640">
            <v>88240</v>
          </cell>
          <cell r="D640" t="str">
            <v/>
          </cell>
          <cell r="E640" t="str">
            <v/>
          </cell>
          <cell r="F640" t="str">
            <v>Final</v>
          </cell>
          <cell r="G640" t="str">
            <v>Final Collected</v>
          </cell>
          <cell r="H640" t="str">
            <v>No</v>
          </cell>
          <cell r="I640" t="str">
            <v>Stefan Monetta</v>
          </cell>
          <cell r="J640" t="str">
            <v/>
          </cell>
          <cell r="K640" t="str">
            <v>https://panda-windows-and-doors.monday.com/protected_static/21046287/resources/2741214672/Signed Sales Order 2.6.26.PDF</v>
          </cell>
          <cell r="L640" t="str">
            <v>https://panda-windows-and-doors.monday.com/protected_static/21046287/resources/2741220658/BP-70M55_20260205_153716.pdf</v>
          </cell>
          <cell r="M640" t="str">
            <v/>
          </cell>
          <cell r="N640" t="str">
            <v>https://panda-windows-and-doors.monday.com/protected_static/21046287/resources/2741703754/88240 Deposit Invoice.pdf</v>
          </cell>
          <cell r="O640" t="str">
            <v/>
          </cell>
          <cell r="P640" t="str">
            <v/>
          </cell>
          <cell r="Q640" t="str">
            <v/>
          </cell>
          <cell r="R640" t="str">
            <v>https://panda-windows-and-doors.monday.com/protected_static/21046287/resources/2809729895/Glass_Panel Request General from 3_5_2026.pdf, https://panda-windows-and-doors.monday.com/protected_static/21046287/resources/2809729893/Assembly List Panda 001(1) from 3_5_2026.pdf, https://panda-windows-and-doors.monday.com/protected_static/21046287/resources/2809729915/Cut Optimisation from 3_5_2026.pdf, https://panda-windows-and-doors.monday.com/protected_static/21046287/resources/2809729901/Cutting List from 3_5_2026.pdf, https://panda-windows-and-doors.monday.com/protected_static/21046287/resources/2809729904/Q88240_MANUAL PARTS OPT.pdf, https://panda-windows-and-doors.monday.com/protected_static/21046287/resources/2809730032/Stock List from 3_5_2026.pdf</v>
          </cell>
          <cell r="S640" t="str">
            <v>Completed - Closed Out</v>
          </cell>
          <cell r="T640" t="str">
            <v/>
          </cell>
          <cell r="U640">
            <v>16435.5</v>
          </cell>
          <cell r="V640">
            <v>16435.5</v>
          </cell>
          <cell r="W640" t="str">
            <v>George Bails Apr 16, 2026 1:32 PM</v>
          </cell>
          <cell r="X640" t="str">
            <v>2025-11-04 11:17</v>
          </cell>
          <cell r="Y640">
            <v>46059</v>
          </cell>
          <cell r="Z640" t="str">
            <v/>
          </cell>
          <cell r="AA640">
            <v>46059</v>
          </cell>
          <cell r="AB640" t="str">
            <v>Annalene Conde Feb 6, 2026 8:20 AM</v>
          </cell>
          <cell r="AC640">
            <v>46059</v>
          </cell>
          <cell r="AD640">
            <v>46062</v>
          </cell>
          <cell r="AE640">
            <v>46120</v>
          </cell>
          <cell r="AF640">
            <v>46120</v>
          </cell>
          <cell r="AG640">
            <v>46128</v>
          </cell>
          <cell r="AH640" t="str">
            <v>Capitol Glass &amp; Aluminum Co.</v>
          </cell>
          <cell r="AI640" t="str">
            <v/>
          </cell>
        </row>
        <row r="641">
          <cell r="C641">
            <v>87128</v>
          </cell>
          <cell r="D641" t="str">
            <v/>
          </cell>
          <cell r="E641" t="str">
            <v/>
          </cell>
          <cell r="F641" t="str">
            <v>Final</v>
          </cell>
          <cell r="G641" t="str">
            <v>Final Collected</v>
          </cell>
          <cell r="H641" t="str">
            <v>No</v>
          </cell>
          <cell r="I641" t="str">
            <v>Trevor Benthagen, Efrain Zarate</v>
          </cell>
          <cell r="J641" t="str">
            <v/>
          </cell>
          <cell r="K641" t="str">
            <v>https://panda-windows-and-doors.monday.com/protected_static/21046287/resources/2658463110/BP-70M55_20260105_142349.pdf</v>
          </cell>
          <cell r="L641" t="str">
            <v>https://panda-windows-and-doors.monday.com/protected_static/21046287/resources/2658463532/BP-70M55_20260105_142404.pdf</v>
          </cell>
          <cell r="M641" t="str">
            <v/>
          </cell>
          <cell r="N641" t="str">
            <v>https://panda-windows-and-doors.monday.com/protected_static/21046287/resources/2658591335/87128 Deposit Invoice.pdf</v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>Completed - Closed Out</v>
          </cell>
          <cell r="T641" t="str">
            <v/>
          </cell>
          <cell r="U641">
            <v>25470</v>
          </cell>
          <cell r="V641">
            <v>25467</v>
          </cell>
          <cell r="W641" t="str">
            <v>George Bails Apr 16, 2026 1:41 PM</v>
          </cell>
          <cell r="X641" t="str">
            <v>2025-08-28 00:00</v>
          </cell>
          <cell r="Y641">
            <v>46027</v>
          </cell>
          <cell r="Z641" t="str">
            <v/>
          </cell>
          <cell r="AA641">
            <v>46027</v>
          </cell>
          <cell r="AB641" t="str">
            <v>Annalene Conde Jan 5, 2026 3:39 PM</v>
          </cell>
          <cell r="AC641">
            <v>46027</v>
          </cell>
          <cell r="AD641">
            <v>46034</v>
          </cell>
          <cell r="AE641">
            <v>46122</v>
          </cell>
          <cell r="AF641">
            <v>46122</v>
          </cell>
          <cell r="AG641">
            <v>46128</v>
          </cell>
          <cell r="AH641" t="str">
            <v>Hardman Glazing Management, LLC</v>
          </cell>
          <cell r="AI641" t="str">
            <v/>
          </cell>
        </row>
        <row r="642">
          <cell r="C642">
            <v>88603</v>
          </cell>
          <cell r="D642">
            <v>46079</v>
          </cell>
          <cell r="E642" t="str">
            <v/>
          </cell>
          <cell r="F642" t="str">
            <v>Final</v>
          </cell>
          <cell r="G642" t="str">
            <v>Final Collected</v>
          </cell>
          <cell r="H642" t="str">
            <v>No</v>
          </cell>
          <cell r="I642" t="str">
            <v>Trevor Benthagen, Efrain Zarate</v>
          </cell>
          <cell r="J642" t="str">
            <v/>
          </cell>
          <cell r="K642" t="str">
            <v>https://panda-windows-and-doors.monday.com/protected_static/21046287/resources/2662045526/BP-70M55_20260106_142730.pdf</v>
          </cell>
          <cell r="L642" t="str">
            <v>https://panda-windows-and-doors.monday.com/protected_static/21046287/resources/2662045422/BP-70M55_20260106_142739.pdf</v>
          </cell>
          <cell r="M642" t="str">
            <v/>
          </cell>
          <cell r="N642" t="str">
            <v>https://panda-windows-and-doors.monday.com/protected_static/21046287/resources/2662165522/88603 - Deposit Invoice.pdf, https://panda-windows-and-doors.monday.com/protected_static/21046287/resources/2791205438/88603 - Deposit Invoice REVISED.pdf, https://panda-windows-and-doors.monday.com/protected_static/21046287/resources/2890188239/b3773312-a861-4437-93b5-0d80d681646e.pdf</v>
          </cell>
          <cell r="O642" t="str">
            <v/>
          </cell>
          <cell r="P642" t="str">
            <v/>
          </cell>
          <cell r="Q642" t="str">
            <v/>
          </cell>
          <cell r="R642" t="str">
            <v>https://panda-windows-and-doors.monday.com/protected_static/21046287/resources/2820883349/Q88603_BOM.pdf, https://panda-windows-and-doors.monday.com/protected_static/21046287/resources/2820883366/Q88603_OPT_MANUAL_.pdf</v>
          </cell>
          <cell r="S642" t="str">
            <v>Completed - Closed Out</v>
          </cell>
          <cell r="T642" t="str">
            <v/>
          </cell>
          <cell r="U642">
            <v>23396</v>
          </cell>
          <cell r="V642">
            <v>20212.36</v>
          </cell>
          <cell r="W642" t="str">
            <v>George Bails Apr 16, 2026 1:38 PM</v>
          </cell>
          <cell r="X642" t="str">
            <v>2026-01-05 00:00</v>
          </cell>
          <cell r="Y642">
            <v>46028</v>
          </cell>
          <cell r="Z642" t="str">
            <v/>
          </cell>
          <cell r="AA642">
            <v>46028</v>
          </cell>
          <cell r="AB642" t="str">
            <v>Annalene Conde Jan 6, 2026 3:36 PM</v>
          </cell>
          <cell r="AC642" t="str">
            <v/>
          </cell>
          <cell r="AD642">
            <v>46028</v>
          </cell>
          <cell r="AE642">
            <v>46121</v>
          </cell>
          <cell r="AF642">
            <v>46121</v>
          </cell>
          <cell r="AG642">
            <v>46128</v>
          </cell>
          <cell r="AH642" t="str">
            <v>Billy Richardson</v>
          </cell>
          <cell r="AI642">
            <v>46079</v>
          </cell>
        </row>
        <row r="643">
          <cell r="C643">
            <v>86022</v>
          </cell>
          <cell r="D643" t="str">
            <v/>
          </cell>
          <cell r="E643" t="str">
            <v/>
          </cell>
          <cell r="F643" t="str">
            <v>Final</v>
          </cell>
          <cell r="G643" t="str">
            <v>Final Collected</v>
          </cell>
          <cell r="H643" t="str">
            <v>No</v>
          </cell>
          <cell r="I643" t="str">
            <v>Trevor Benthagen, Efrain Zarate</v>
          </cell>
          <cell r="J643" t="str">
            <v/>
          </cell>
          <cell r="K643" t="str">
            <v>https://panda-windows-and-doors.monday.com/protected_static/21046287/resources/2741824839/BP-70M55_20260206_102535.pdf</v>
          </cell>
          <cell r="L643" t="str">
            <v>https://panda-windows-and-doors.monday.com/protected_static/21046287/resources/2741825222/BP-70M55_20260206_102541.pdf</v>
          </cell>
          <cell r="M643" t="str">
            <v/>
          </cell>
          <cell r="N643" t="str">
            <v>https://panda-windows-and-doors.monday.com/protected_static/21046287/resources/2752439105/86022 Deposit Invoice.pdf</v>
          </cell>
          <cell r="O643" t="str">
            <v/>
          </cell>
          <cell r="P643" t="str">
            <v/>
          </cell>
          <cell r="Q643" t="str">
            <v/>
          </cell>
          <cell r="R643" t="str">
            <v>https://panda-windows-and-doors.monday.com/protected_static/21046287/resources/2838288926/ES 5238 Q86022 2460 CAJON LANE - OPT.pdf, https://panda-windows-and-doors.monday.com/protected_static/21046287/resources/2838288929/ES 5238 Q86022 2460 CAJON LANE - CUTLIST (GINERI).pdf</v>
          </cell>
          <cell r="S643" t="str">
            <v>Completed - Closed Out</v>
          </cell>
          <cell r="T643" t="str">
            <v/>
          </cell>
          <cell r="U643">
            <v>4247</v>
          </cell>
          <cell r="V643">
            <v>3067</v>
          </cell>
          <cell r="W643" t="str">
            <v>George Bails Apr 16, 2026 2:03 PM</v>
          </cell>
          <cell r="X643" t="str">
            <v>2025-06-11 00:00</v>
          </cell>
          <cell r="Y643">
            <v>46059</v>
          </cell>
          <cell r="Z643" t="str">
            <v/>
          </cell>
          <cell r="AA643">
            <v>46059</v>
          </cell>
          <cell r="AB643" t="str">
            <v>Annalene Conde Feb 6, 2026 11:28 AM</v>
          </cell>
          <cell r="AC643">
            <v>46059</v>
          </cell>
          <cell r="AD643">
            <v>46091</v>
          </cell>
          <cell r="AE643">
            <v>46122</v>
          </cell>
          <cell r="AF643">
            <v>46122</v>
          </cell>
          <cell r="AG643">
            <v>46128</v>
          </cell>
          <cell r="AH643" t="str">
            <v>Aune Brothers Construction</v>
          </cell>
          <cell r="AI643" t="str">
            <v/>
          </cell>
        </row>
        <row r="644">
          <cell r="C644">
            <v>87088</v>
          </cell>
          <cell r="D644" t="str">
            <v/>
          </cell>
          <cell r="E644" t="str">
            <v/>
          </cell>
          <cell r="F644" t="str">
            <v>Final</v>
          </cell>
          <cell r="G644" t="str">
            <v>Final Collected</v>
          </cell>
          <cell r="H644" t="str">
            <v>No</v>
          </cell>
          <cell r="I644" t="str">
            <v>Spencer Anderson</v>
          </cell>
          <cell r="J644" t="str">
            <v/>
          </cell>
          <cell r="K644" t="str">
            <v>https://panda-windows-and-doors.monday.com/protected_static/21046287/resources/2624117381/QQ #87088 - SPW_Haig Residence - 11262025 - Signed.pdf</v>
          </cell>
          <cell r="L644" t="str">
            <v>https://panda-windows-and-doors.monday.com/protected_static/21046287/resources/2624119695/BP-70M55_20251216_091518.pdf</v>
          </cell>
          <cell r="M644" t="str">
            <v/>
          </cell>
          <cell r="N644" t="str">
            <v>https://panda-windows-and-doors.monday.com/protected_static/21046287/resources/2625063777/87088 Deposit Invoice.pdf</v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>Completed - Closed Out</v>
          </cell>
          <cell r="T644" t="str">
            <v/>
          </cell>
          <cell r="U644">
            <v>1266</v>
          </cell>
          <cell r="V644">
            <v>1265</v>
          </cell>
          <cell r="W644" t="str">
            <v>George Bails Apr 17, 2026 10:00 AM</v>
          </cell>
          <cell r="X644" t="str">
            <v/>
          </cell>
          <cell r="Y644">
            <v>46007</v>
          </cell>
          <cell r="Z644" t="str">
            <v/>
          </cell>
          <cell r="AA644">
            <v>46007</v>
          </cell>
          <cell r="AB644" t="str">
            <v>Annalene Conde Dec 16, 2025 10:23 AM</v>
          </cell>
          <cell r="AC644">
            <v>46007</v>
          </cell>
          <cell r="AD644">
            <v>46014</v>
          </cell>
          <cell r="AE644">
            <v>46122</v>
          </cell>
          <cell r="AF644">
            <v>46122</v>
          </cell>
          <cell r="AG644">
            <v>46129</v>
          </cell>
          <cell r="AH644" t="str">
            <v>Jared Foley</v>
          </cell>
          <cell r="AI644" t="str">
            <v/>
          </cell>
        </row>
        <row r="645">
          <cell r="C645">
            <v>89398</v>
          </cell>
          <cell r="D645" t="str">
            <v/>
          </cell>
          <cell r="E645" t="str">
            <v/>
          </cell>
          <cell r="F645" t="str">
            <v>Final</v>
          </cell>
          <cell r="G645" t="str">
            <v>Final Collected</v>
          </cell>
          <cell r="H645" t="str">
            <v>No</v>
          </cell>
          <cell r="I645" t="str">
            <v>Spencer Anderson</v>
          </cell>
          <cell r="J645" t="str">
            <v/>
          </cell>
          <cell r="K645" t="str">
            <v>https://panda-windows-and-doors.monday.com/protected_static/21046287/resources/2775002617/QQ #89398 - SPW_Pivot Door with Sidelite - 02132026.pdf</v>
          </cell>
          <cell r="L645" t="str">
            <v>https://panda-windows-and-doors.monday.com/protected_static/21046287/resources/2775003134/BP-70M55_20260220_074834.pdf</v>
          </cell>
          <cell r="M645" t="str">
            <v/>
          </cell>
          <cell r="N645" t="str">
            <v>https://panda-windows-and-doors.monday.com/protected_static/21046287/resources/2775868149/89398 Deposit Invoice.pdf</v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>
            <v>8134</v>
          </cell>
          <cell r="V645">
            <v>8133</v>
          </cell>
          <cell r="W645" t="str">
            <v>George Bails Apr 17, 2026 10:02 AM</v>
          </cell>
          <cell r="X645" t="str">
            <v/>
          </cell>
          <cell r="Y645">
            <v>46073</v>
          </cell>
          <cell r="Z645" t="str">
            <v/>
          </cell>
          <cell r="AA645">
            <v>46073</v>
          </cell>
          <cell r="AB645" t="str">
            <v>Annalene Conde Feb 20, 2026 10:16 AM</v>
          </cell>
          <cell r="AC645">
            <v>46073</v>
          </cell>
          <cell r="AD645">
            <v>46122</v>
          </cell>
          <cell r="AE645">
            <v>46125</v>
          </cell>
          <cell r="AF645">
            <v>46126</v>
          </cell>
          <cell r="AG645">
            <v>46129</v>
          </cell>
          <cell r="AH645" t="str">
            <v>Jared Foley</v>
          </cell>
          <cell r="AI645" t="str">
            <v/>
          </cell>
        </row>
        <row r="646">
          <cell r="C646">
            <v>88896</v>
          </cell>
          <cell r="D646">
            <v>46085</v>
          </cell>
          <cell r="E646" t="str">
            <v/>
          </cell>
          <cell r="F646" t="str">
            <v>Final</v>
          </cell>
          <cell r="G646" t="str">
            <v>Final Collected</v>
          </cell>
          <cell r="H646" t="str">
            <v>No</v>
          </cell>
          <cell r="I646" t="str">
            <v>Sean Torre</v>
          </cell>
          <cell r="J646" t="str">
            <v/>
          </cell>
          <cell r="K646" t="str">
            <v>https://panda-windows-and-doors.monday.com/protected_static/21046287/resources/2732218128/Q#88896-Grause Residence.pdf</v>
          </cell>
          <cell r="L646" t="str">
            <v>https://panda-windows-and-doors.monday.com/protected_static/21046287/resources/2732217972/CamScanner 2-3-26 11.22.pdf</v>
          </cell>
          <cell r="M646" t="str">
            <v/>
          </cell>
          <cell r="N646" t="str">
            <v>https://panda-windows-and-doors.monday.com/protected_static/21046287/resources/2734834027/88896 Deposit Invoice.pdf</v>
          </cell>
          <cell r="O646" t="str">
            <v/>
          </cell>
          <cell r="P646" t="str">
            <v/>
          </cell>
          <cell r="Q646" t="str">
            <v/>
          </cell>
          <cell r="R646" t="str">
            <v>https://panda-windows-and-doors.monday.com/protected_static/21046287/resources/2832457927/Cut Optimisation from 3_6_2026.pdf, https://panda-windows-and-doors.monday.com/protected_static/21046287/resources/2832457935/Assembly List Panda 001(1) from 3_6_2026.pdf, https://panda-windows-and-doors.monday.com/protected_static/21046287/resources/2832457932/Cutting List from 3_6_2026.pdf, https://panda-windows-and-doors.monday.com/protected_static/21046287/resources/2832457940/Glass_Panel Request General from 3_6_2026.pdf, https://panda-windows-and-doors.monday.com/protected_static/21046287/resources/2832457938/Q88896 GRAUSE RESIDENCE - B.O.M.pdf, https://panda-windows-and-doors.monday.com/protected_static/21046287/resources/2832458119/Q88896 GRAUSE RESIDENCE - CUTLIST (MANUAL).pdf, https://panda-windows-and-doors.monday.com/protected_static/21046287/resources/2832458160/Stock List from 3_6_2026.pdf, https://panda-windows-and-doors.monday.com/protected_static/21046287/resources/2838250058/TS68_CNC_CUTS_ACACIA_ARIA_SUMMIT_VERONA_LEILANI.pdf</v>
          </cell>
          <cell r="S646" t="str">
            <v>Completed - Closed Out</v>
          </cell>
          <cell r="T646" t="str">
            <v/>
          </cell>
          <cell r="U646">
            <v>10238</v>
          </cell>
          <cell r="V646">
            <v>16654.82</v>
          </cell>
          <cell r="W646" t="str">
            <v>George Bails Apr 21, 2026 8:52 AM</v>
          </cell>
          <cell r="X646" t="str">
            <v>2026-02-03 00:00</v>
          </cell>
          <cell r="Y646">
            <v>46056</v>
          </cell>
          <cell r="Z646" t="str">
            <v/>
          </cell>
          <cell r="AA646">
            <v>46056</v>
          </cell>
          <cell r="AB646" t="str">
            <v>Annalene Conde Feb 3, 2026 12:31 PM</v>
          </cell>
          <cell r="AC646">
            <v>46057</v>
          </cell>
          <cell r="AD646">
            <v>46058</v>
          </cell>
          <cell r="AE646">
            <v>46129</v>
          </cell>
          <cell r="AF646">
            <v>46129</v>
          </cell>
          <cell r="AG646">
            <v>46132</v>
          </cell>
          <cell r="AH646" t="str">
            <v>Grause Residence</v>
          </cell>
          <cell r="AI646">
            <v>46085</v>
          </cell>
        </row>
        <row r="647">
          <cell r="C647">
            <v>88961</v>
          </cell>
          <cell r="D647">
            <v>46085</v>
          </cell>
          <cell r="E647" t="str">
            <v/>
          </cell>
          <cell r="F647" t="str">
            <v>Final</v>
          </cell>
          <cell r="G647" t="str">
            <v>Final Collected</v>
          </cell>
          <cell r="H647" t="str">
            <v>No</v>
          </cell>
          <cell r="I647" t="str">
            <v>Efrain Zarate, Trevor Benthagen</v>
          </cell>
          <cell r="J647" t="str">
            <v/>
          </cell>
          <cell r="K647" t="str">
            <v>https://panda-windows-and-doors.monday.com/protected_static/21046287/resources/2739162752/QQ#88961 Rowley 02022026.pdf, https://panda-windows-and-doors.monday.com/protected_static/21046287/resources/2741603966/01202026_SALES ORDER.pdf</v>
          </cell>
          <cell r="L647" t="str">
            <v>https://panda-windows-and-doors.monday.com/protected_static/21046287/resources/2739163639/BP-70M55_20260205_112714.pdf</v>
          </cell>
          <cell r="M647" t="str">
            <v/>
          </cell>
          <cell r="N647" t="str">
            <v>https://panda-windows-and-doors.monday.com/protected_static/21046287/resources/2741611396/88961 Deposit Invoice.pdf</v>
          </cell>
          <cell r="O647" t="str">
            <v/>
          </cell>
          <cell r="P647" t="str">
            <v/>
          </cell>
          <cell r="Q647" t="str">
            <v/>
          </cell>
          <cell r="R647" t="str">
            <v>https://panda-windows-and-doors.monday.com/protected_static/21046287/resources/2816541587/LG 5200 Q88961 - ROWLEY - Material List.pdf, https://panda-windows-and-doors.monday.com/protected_static/21046287/resources/2816541583/LG 5200 Q88961 - ROWLEY - Cut - List.pdf, https://panda-windows-and-doors.monday.com/protected_static/21046287/resources/2816541590/LG 5200 Q88961 - ROWLEY - Optimization.pdf, https://panda-windows-and-doors.monday.com/protected_static/21046287/resources/2816541599/Q88961_TS67_R2-B O M.pdf</v>
          </cell>
          <cell r="S647" t="str">
            <v>Completed - Closed Out</v>
          </cell>
          <cell r="T647" t="str">
            <v/>
          </cell>
          <cell r="U647">
            <v>22865</v>
          </cell>
          <cell r="V647">
            <v>31413.95</v>
          </cell>
          <cell r="W647" t="str">
            <v>George Bails Apr 21, 2026 8:40 AM</v>
          </cell>
          <cell r="X647" t="str">
            <v>2026-01-22 00:00</v>
          </cell>
          <cell r="Y647">
            <v>46058</v>
          </cell>
          <cell r="Z647" t="str">
            <v/>
          </cell>
          <cell r="AA647">
            <v>46058</v>
          </cell>
          <cell r="AB647" t="str">
            <v>Annalene Conde Feb 5, 2026 12:26 PM</v>
          </cell>
          <cell r="AC647">
            <v>46059</v>
          </cell>
          <cell r="AD647">
            <v>46062</v>
          </cell>
          <cell r="AE647">
            <v>46128</v>
          </cell>
          <cell r="AF647">
            <v>46128</v>
          </cell>
          <cell r="AG647">
            <v>46132</v>
          </cell>
          <cell r="AH647" t="str">
            <v>BMG</v>
          </cell>
          <cell r="AI647">
            <v>46085</v>
          </cell>
        </row>
        <row r="648">
          <cell r="C648">
            <v>86965</v>
          </cell>
          <cell r="D648">
            <v>46071</v>
          </cell>
          <cell r="E648" t="str">
            <v/>
          </cell>
          <cell r="F648" t="str">
            <v>Final</v>
          </cell>
          <cell r="G648" t="str">
            <v>Final Collected</v>
          </cell>
          <cell r="H648" t="str">
            <v>No</v>
          </cell>
          <cell r="I648" t="str">
            <v>Sean Torre</v>
          </cell>
          <cell r="J648" t="str">
            <v/>
          </cell>
          <cell r="K648" t="str">
            <v>https://panda-windows-and-doors.monday.com/protected_static/21046287/resources/2432348090/Q#86965 - The village.pdf</v>
          </cell>
          <cell r="L648" t="str">
            <v>https://panda-windows-and-doors.monday.com/protected_static/21046287/resources/2432348134/CamScanner 9-19-25 14.21.pdf</v>
          </cell>
          <cell r="M648" t="str">
            <v/>
          </cell>
          <cell r="N648" t="str">
            <v>https://panda-windows-and-doors.monday.com/protected_static/21046287/resources/2435147404/10076 Deposit Invoice.pdf, https://panda-windows-and-doors.monday.com/protected_static/21046287/resources/2771503620/86965 Deposit Invoice CO 2.pdf, https://panda-windows-and-doors.monday.com/protected_static/21046287/resources/2771578285/Agreements _ Docusign - CO2.pdf</v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>Completed - Closed Out</v>
          </cell>
          <cell r="T648" t="str">
            <v/>
          </cell>
          <cell r="U648">
            <v>49026</v>
          </cell>
          <cell r="V648">
            <v>51328</v>
          </cell>
          <cell r="W648" t="str">
            <v>George Bails Apr 21, 2026 8:45 AM</v>
          </cell>
          <cell r="X648" t="str">
            <v>2025-09-19 00:00</v>
          </cell>
          <cell r="Y648">
            <v>46071</v>
          </cell>
          <cell r="Z648" t="str">
            <v/>
          </cell>
          <cell r="AA648">
            <v>45919</v>
          </cell>
          <cell r="AB648" t="str">
            <v>Jayme Truong Sep 19, 2025 3:34 PM</v>
          </cell>
          <cell r="AC648">
            <v>45924</v>
          </cell>
          <cell r="AD648">
            <v>46043</v>
          </cell>
          <cell r="AE648">
            <v>46127</v>
          </cell>
          <cell r="AF648">
            <v>46127</v>
          </cell>
          <cell r="AG648">
            <v>46132</v>
          </cell>
          <cell r="AH648" t="str">
            <v>Hotel Drey</v>
          </cell>
          <cell r="AI648">
            <v>46071</v>
          </cell>
        </row>
        <row r="649">
          <cell r="C649">
            <v>89121</v>
          </cell>
          <cell r="D649">
            <v>46069</v>
          </cell>
          <cell r="E649" t="str">
            <v/>
          </cell>
          <cell r="F649" t="str">
            <v>Final</v>
          </cell>
          <cell r="G649" t="str">
            <v>Final Collected</v>
          </cell>
          <cell r="H649" t="str">
            <v>No</v>
          </cell>
          <cell r="I649" t="str">
            <v>Sean Torre</v>
          </cell>
          <cell r="J649" t="str">
            <v/>
          </cell>
          <cell r="K649" t="str">
            <v>https://panda-windows-and-doors.monday.com/protected_static/21046287/resources/2739709917/Pinot Panda - Hinged Door - 01292026 copy.pdf</v>
          </cell>
          <cell r="L649" t="str">
            <v>https://panda-windows-and-doors.monday.com/protected_static/21046287/resources/2739709782/BP-70M55_20260205_150148.pdf</v>
          </cell>
          <cell r="M649" t="str">
            <v/>
          </cell>
          <cell r="N649" t="str">
            <v>https://panda-windows-and-doors.monday.com/protected_static/21046287/resources/2741944735/89121 Deposit Invoice.pdf, https://panda-windows-and-doors.monday.com/protected_static/21046287/resources/2771841080/89121 Deposit Invoice CO# 1.pdf</v>
          </cell>
          <cell r="O649" t="str">
            <v/>
          </cell>
          <cell r="P649" t="str">
            <v/>
          </cell>
          <cell r="Q649" t="str">
            <v/>
          </cell>
          <cell r="R649" t="str">
            <v>https://panda-windows-and-doors.monday.com/protected_static/21046287/resources/2832084858/Q89121 HINGED DOOR - B.O.M.pdf, https://panda-windows-and-doors.monday.com/protected_static/21046287/resources/2832084865/Q89121 HINGED DOOR - CUTLIST (MANUAL).pdf</v>
          </cell>
          <cell r="S649" t="str">
            <v>Completed - Closed Out</v>
          </cell>
          <cell r="T649" t="str">
            <v/>
          </cell>
          <cell r="U649">
            <v>2712</v>
          </cell>
          <cell r="V649">
            <v>3336</v>
          </cell>
          <cell r="W649" t="str">
            <v>George Bails Apr 21, 2026 8:18 AM</v>
          </cell>
          <cell r="X649" t="str">
            <v>2026-02-05 00:00</v>
          </cell>
          <cell r="Y649">
            <v>46058</v>
          </cell>
          <cell r="Z649" t="str">
            <v/>
          </cell>
          <cell r="AA649">
            <v>46058</v>
          </cell>
          <cell r="AB649" t="str">
            <v>Annalene Conde Feb 5, 2026 4:01 PM</v>
          </cell>
          <cell r="AC649">
            <v>46059</v>
          </cell>
          <cell r="AD649">
            <v>46062</v>
          </cell>
          <cell r="AE649">
            <v>46128</v>
          </cell>
          <cell r="AF649">
            <v>46129</v>
          </cell>
          <cell r="AG649">
            <v>46132</v>
          </cell>
          <cell r="AH649" t="str">
            <v>Hardman Glazing Systems</v>
          </cell>
          <cell r="AI649">
            <v>46069</v>
          </cell>
        </row>
        <row r="650">
          <cell r="C650">
            <v>88115</v>
          </cell>
          <cell r="D650" t="str">
            <v/>
          </cell>
          <cell r="E650" t="str">
            <v/>
          </cell>
          <cell r="F650" t="str">
            <v>Final</v>
          </cell>
          <cell r="G650" t="str">
            <v>Final Collected</v>
          </cell>
          <cell r="H650" t="str">
            <v>No</v>
          </cell>
          <cell r="I650" t="str">
            <v>Derrick McCall</v>
          </cell>
          <cell r="J650" t="str">
            <v/>
          </cell>
          <cell r="K650" t="str">
            <v>https://panda-windows-and-doors.monday.com/protected_static/21046287/resources/2716463718/P.O. 5943 - PANDA JW MARIOTT - SIGNED 1.23.2026.pdf</v>
          </cell>
          <cell r="L650" t="str">
            <v>https://panda-windows-and-doors.monday.com/protected_static/21046287/resources/2716462116/APB.pdf</v>
          </cell>
          <cell r="M650" t="str">
            <v/>
          </cell>
          <cell r="N650" t="str">
            <v>https://panda-windows-and-doors.monday.com/protected_static/21046287/resources/2720231613/88115 Deposit Invoice.pdf</v>
          </cell>
          <cell r="O650" t="str">
            <v/>
          </cell>
          <cell r="P650" t="str">
            <v/>
          </cell>
          <cell r="Q650" t="str">
            <v/>
          </cell>
          <cell r="R650" t="str">
            <v>https://panda-windows-and-doors.monday.com/protected_static/21046287/resources/2798993736/MF 5215 Q88115 MARRIOTT - B.O.M.pdf, https://panda-windows-and-doors.monday.com/protected_static/21046287/resources/2798993741/MF 5215 Q88115 MARRIOTT - CUTLIST (GINERI).pdf, https://panda-windows-and-doors.monday.com/protected_static/21046287/resources/2798993739/MF 5215 Q88115 MARRIOTT - CUTLIST (MANUAL).pdf, https://panda-windows-and-doors.monday.com/protected_static/21046287/resources/2798993737/MF 5215 Q88115 MARRIOTT - OPT.pdf</v>
          </cell>
          <cell r="S650" t="str">
            <v>Completed - Closed Out</v>
          </cell>
          <cell r="T650" t="str">
            <v/>
          </cell>
          <cell r="U650">
            <v>62150.5</v>
          </cell>
          <cell r="V650">
            <v>62150.5</v>
          </cell>
          <cell r="W650" t="str">
            <v>George Bails Apr 21, 2026 2:25 PM</v>
          </cell>
          <cell r="X650" t="str">
            <v>2025-11-10 00:00</v>
          </cell>
          <cell r="Y650">
            <v>46050</v>
          </cell>
          <cell r="Z650" t="str">
            <v/>
          </cell>
          <cell r="AA650">
            <v>46050</v>
          </cell>
          <cell r="AB650" t="str">
            <v>Annalene Conde Jan 28, 2026 10:21 AM</v>
          </cell>
          <cell r="AC650">
            <v>46051</v>
          </cell>
          <cell r="AD650">
            <v>46059</v>
          </cell>
          <cell r="AE650">
            <v>46128</v>
          </cell>
          <cell r="AF650">
            <v>46129</v>
          </cell>
          <cell r="AG650">
            <v>46133</v>
          </cell>
          <cell r="AH650" t="str">
            <v>Builders Direct Supply</v>
          </cell>
          <cell r="AI650" t="str">
            <v/>
          </cell>
        </row>
        <row r="651">
          <cell r="C651">
            <v>88448</v>
          </cell>
          <cell r="D651">
            <v>46070</v>
          </cell>
          <cell r="E651" t="str">
            <v/>
          </cell>
          <cell r="F651" t="str">
            <v>Final</v>
          </cell>
          <cell r="G651" t="str">
            <v>Final Collected</v>
          </cell>
          <cell r="H651" t="str">
            <v>No</v>
          </cell>
          <cell r="I651" t="str">
            <v>Trevor Benthagen, Efrain Zarate</v>
          </cell>
          <cell r="J651" t="str">
            <v/>
          </cell>
          <cell r="K651" t="str">
            <v>https://panda-windows-and-doors.monday.com/protected_static/21046287/resources/2686491222/BP-70M55_20260115_131717.pdf, https://panda-windows-and-doors.monday.com/protected_static/21046287/resources/2686739626/01152026_(rPANDA.pdf</v>
          </cell>
          <cell r="L651" t="str">
            <v>https://panda-windows-and-doors.monday.com/protected_static/21046287/resources/2686489948/BP-70M55_20260115_131735.pdf, https://panda-windows-and-doors.monday.com/protected_static/21046287/resources/2766274452/Copy of Q#88848 SUMMERLIN CO#2.xlsx</v>
          </cell>
          <cell r="M651" t="str">
            <v/>
          </cell>
          <cell r="N651" t="str">
            <v>https://panda-windows-and-doors.monday.com/protected_static/21046287/resources/2686712585/88448 Deposit Invoice.pdf</v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>Completed - Closed Out</v>
          </cell>
          <cell r="T651" t="str">
            <v/>
          </cell>
          <cell r="U651">
            <v>37830</v>
          </cell>
          <cell r="V651">
            <v>48998.63</v>
          </cell>
          <cell r="W651" t="str">
            <v>George Bails Apr 21, 2026 2:34 PM</v>
          </cell>
          <cell r="X651" t="str">
            <v>2026-01-12 00:00</v>
          </cell>
          <cell r="Y651">
            <v>46064</v>
          </cell>
          <cell r="Z651" t="str">
            <v/>
          </cell>
          <cell r="AA651">
            <v>46037</v>
          </cell>
          <cell r="AB651" t="str">
            <v>Annalene Conde Jan 15, 2026 2:20 PM</v>
          </cell>
          <cell r="AC651">
            <v>46037</v>
          </cell>
          <cell r="AD651">
            <v>46037</v>
          </cell>
          <cell r="AE651" t="str">
            <v/>
          </cell>
          <cell r="AF651">
            <v>46126</v>
          </cell>
          <cell r="AG651">
            <v>46133</v>
          </cell>
          <cell r="AH651" t="str">
            <v>Tzahi Salomon</v>
          </cell>
          <cell r="AI651">
            <v>46070</v>
          </cell>
        </row>
        <row r="652">
          <cell r="C652">
            <v>84044</v>
          </cell>
          <cell r="D652">
            <v>46007</v>
          </cell>
          <cell r="E652" t="str">
            <v/>
          </cell>
          <cell r="F652" t="str">
            <v>Final</v>
          </cell>
          <cell r="G652" t="str">
            <v>Final Collected</v>
          </cell>
          <cell r="H652" t="str">
            <v>No</v>
          </cell>
          <cell r="I652" t="str">
            <v>Derrick McCall</v>
          </cell>
          <cell r="J652" t="str">
            <v/>
          </cell>
          <cell r="K652" t="str">
            <v>https://panda-windows-and-doors.monday.com/protected_static/21046287/resources/2149715912/Q84044.pdf</v>
          </cell>
          <cell r="L652" t="str">
            <v>https://panda-windows-and-doors.monday.com/protected_static/21046287/resources/2146390091/Q84044 B.pdf</v>
          </cell>
          <cell r="M652" t="str">
            <v/>
          </cell>
          <cell r="N652" t="str">
            <v>https://panda-windows-and-doors.monday.com/protected_static/21046287/resources/2149910259/84044 deposit invoice.pdf, https://panda-windows-and-doors.monday.com/protected_static/21046287/resources/2631405733/84044 Deposit invoice CO 1.pdf</v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>Completed - Closed Out</v>
          </cell>
          <cell r="T652" t="str">
            <v/>
          </cell>
          <cell r="U652">
            <v>93528</v>
          </cell>
          <cell r="V652">
            <v>0</v>
          </cell>
          <cell r="W652" t="str">
            <v>George Bails Apr 24, 2026 9:55 AM</v>
          </cell>
          <cell r="X652" t="str">
            <v>2025-02-24 00:00</v>
          </cell>
          <cell r="Y652">
            <v>45793</v>
          </cell>
          <cell r="Z652" t="str">
            <v/>
          </cell>
          <cell r="AA652">
            <v>45793</v>
          </cell>
          <cell r="AB652" t="str">
            <v>Jayme Truong May 16, 2025 1:12 PM</v>
          </cell>
          <cell r="AC652">
            <v>45793</v>
          </cell>
          <cell r="AD652">
            <v>45811</v>
          </cell>
          <cell r="AE652">
            <v>46128</v>
          </cell>
          <cell r="AF652">
            <v>46134</v>
          </cell>
          <cell r="AG652">
            <v>46134</v>
          </cell>
          <cell r="AH652" t="str">
            <v>Aragon</v>
          </cell>
          <cell r="AI652">
            <v>46007</v>
          </cell>
        </row>
        <row r="653">
          <cell r="C653">
            <v>86496</v>
          </cell>
          <cell r="D653">
            <v>46041</v>
          </cell>
          <cell r="E653" t="str">
            <v/>
          </cell>
          <cell r="F653" t="str">
            <v>Final</v>
          </cell>
          <cell r="G653" t="str">
            <v>Final Collected</v>
          </cell>
          <cell r="H653" t="str">
            <v>No</v>
          </cell>
          <cell r="I653" t="str">
            <v>Efrain Zarate, Trevor Benthagen</v>
          </cell>
          <cell r="J653" t="str">
            <v/>
          </cell>
          <cell r="K653" t="str">
            <v>https://panda-windows-and-doors.monday.com/protected_static/21046287/resources/2365377760/smtp.office365.com_20250820_060456.pdf, https://panda-windows-and-doors.monday.com/protected_static/21046287/resources/2366041013/07152025_C^PANDA.pdf</v>
          </cell>
          <cell r="L653" t="str">
            <v>https://panda-windows-and-doors.monday.com/protected_static/21046287/resources/2365377113/smtp.office365.com_20250820_060443.pdf</v>
          </cell>
          <cell r="M653" t="str">
            <v/>
          </cell>
          <cell r="N653" t="str">
            <v>https://panda-windows-and-doors.monday.com/protected_static/21046287/resources/2366048600/86496 Deposit Invoice.pdf</v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>Completed - Closed Out</v>
          </cell>
          <cell r="T653" t="str">
            <v/>
          </cell>
          <cell r="U653">
            <v>52666</v>
          </cell>
          <cell r="V653">
            <v>52666</v>
          </cell>
          <cell r="W653" t="str">
            <v>George Bails Apr 23, 2026 7:55 AM</v>
          </cell>
          <cell r="X653" t="str">
            <v>2025-08-20 00:00</v>
          </cell>
          <cell r="Y653">
            <v>45889</v>
          </cell>
          <cell r="Z653" t="str">
            <v/>
          </cell>
          <cell r="AA653">
            <v>45889</v>
          </cell>
          <cell r="AB653" t="str">
            <v>Jayme Truong Aug 20, 2025 9:08 AM</v>
          </cell>
          <cell r="AC653">
            <v>45889</v>
          </cell>
          <cell r="AD653">
            <v>46050</v>
          </cell>
          <cell r="AE653">
            <v>46128</v>
          </cell>
          <cell r="AF653">
            <v>46128</v>
          </cell>
          <cell r="AG653">
            <v>46134</v>
          </cell>
          <cell r="AH653" t="str">
            <v>Washington Glass &amp; Glazing</v>
          </cell>
          <cell r="AI653">
            <v>46041</v>
          </cell>
        </row>
        <row r="654">
          <cell r="C654">
            <v>79059</v>
          </cell>
          <cell r="D654" t="str">
            <v/>
          </cell>
          <cell r="E654" t="str">
            <v/>
          </cell>
          <cell r="F654" t="str">
            <v>Final</v>
          </cell>
          <cell r="G654" t="str">
            <v>Final Collected</v>
          </cell>
          <cell r="H654" t="str">
            <v>No</v>
          </cell>
          <cell r="I654" t="str">
            <v>Derrick McCall</v>
          </cell>
          <cell r="J654" t="str">
            <v/>
          </cell>
          <cell r="K654" t="str">
            <v>https://panda-windows-and-doors.monday.com/protected_static/21046287/resources/2817616262/24051-109-01.pdf</v>
          </cell>
          <cell r="L654" t="str">
            <v>https://panda-windows-and-doors.monday.com/protected_static/21046287/resources/2817609925/BP-70M55_20260310_111745.pdf</v>
          </cell>
          <cell r="M654" t="str">
            <v/>
          </cell>
          <cell r="N654" t="str">
            <v>https://panda-windows-and-doors.monday.com/protected_static/21046287/resources/2817616287/79059 Deposit Invoice.pdf</v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>Completed - Closed Out</v>
          </cell>
          <cell r="T654" t="str">
            <v/>
          </cell>
          <cell r="U654">
            <v>87422</v>
          </cell>
          <cell r="V654">
            <v>101845.55</v>
          </cell>
          <cell r="W654" t="str">
            <v>George Bails Apr 24, 2026 9:35 AM</v>
          </cell>
          <cell r="X654" t="str">
            <v>2026-03-10 00:00</v>
          </cell>
          <cell r="Y654">
            <v>46091</v>
          </cell>
          <cell r="Z654" t="str">
            <v/>
          </cell>
          <cell r="AA654">
            <v>46091</v>
          </cell>
          <cell r="AB654" t="str">
            <v>Annalene Conde Mar 10, 2026 12:06 PM</v>
          </cell>
          <cell r="AC654">
            <v>46092</v>
          </cell>
          <cell r="AD654">
            <v>46092</v>
          </cell>
          <cell r="AE654" t="str">
            <v/>
          </cell>
          <cell r="AF654">
            <v>46134</v>
          </cell>
          <cell r="AG654">
            <v>46136</v>
          </cell>
          <cell r="AH654" t="str">
            <v>Lunstrum Windows</v>
          </cell>
          <cell r="AI654" t="str">
            <v/>
          </cell>
        </row>
        <row r="655">
          <cell r="C655">
            <v>84046</v>
          </cell>
          <cell r="D655">
            <v>46007</v>
          </cell>
          <cell r="E655" t="str">
            <v/>
          </cell>
          <cell r="F655" t="str">
            <v>Final</v>
          </cell>
          <cell r="G655" t="str">
            <v>Final Collected</v>
          </cell>
          <cell r="H655" t="str">
            <v>No</v>
          </cell>
          <cell r="I655" t="str">
            <v>Derrick McCall</v>
          </cell>
          <cell r="J655" t="str">
            <v/>
          </cell>
          <cell r="K655" t="str">
            <v>https://panda-windows-and-doors.monday.com/protected_static/21046287/resources/2146417571/Q84046 P.pdf</v>
          </cell>
          <cell r="L655" t="str">
            <v>https://panda-windows-and-doors.monday.com/protected_static/21046287/resources/2146418351/Q84046 B.pdf</v>
          </cell>
          <cell r="M655" t="str">
            <v/>
          </cell>
          <cell r="N655" t="str">
            <v>https://panda-windows-and-doors.monday.com/protected_static/21046287/resources/2147132186/84046 deposit invoice.pdf, https://panda-windows-and-doors.monday.com/protected_static/21046287/resources/2633168156/84046 Deposit Invoice CO 1.pdf</v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>Completed - Closed Out</v>
          </cell>
          <cell r="T655" t="str">
            <v/>
          </cell>
          <cell r="U655">
            <v>97035</v>
          </cell>
          <cell r="V655">
            <v>50953.65</v>
          </cell>
          <cell r="W655" t="str">
            <v>George Bails Apr 24, 2026 10:02 AM</v>
          </cell>
          <cell r="X655" t="str">
            <v>2025-02-24 00:00</v>
          </cell>
          <cell r="Y655">
            <v>45793</v>
          </cell>
          <cell r="Z655" t="str">
            <v/>
          </cell>
          <cell r="AA655">
            <v>45793</v>
          </cell>
          <cell r="AB655" t="str">
            <v>Jayme Truong May 16, 2025 1:12 PM</v>
          </cell>
          <cell r="AC655">
            <v>45793</v>
          </cell>
          <cell r="AD655">
            <v>45811</v>
          </cell>
          <cell r="AE655">
            <v>46128</v>
          </cell>
          <cell r="AF655">
            <v>46129</v>
          </cell>
          <cell r="AG655">
            <v>46136</v>
          </cell>
          <cell r="AH655" t="str">
            <v>Aragon</v>
          </cell>
          <cell r="AI655">
            <v>46007</v>
          </cell>
        </row>
        <row r="656">
          <cell r="C656">
            <v>88582</v>
          </cell>
          <cell r="D656" t="str">
            <v/>
          </cell>
          <cell r="E656" t="str">
            <v/>
          </cell>
          <cell r="F656" t="str">
            <v>Final</v>
          </cell>
          <cell r="G656" t="str">
            <v>Final Collected</v>
          </cell>
          <cell r="H656" t="str">
            <v>No</v>
          </cell>
          <cell r="I656" t="str">
            <v>Sean Torre</v>
          </cell>
          <cell r="J656" t="str">
            <v/>
          </cell>
          <cell r="K656" t="str">
            <v>https://panda-windows-and-doors.monday.com/protected_static/21046287/resources/2734705647/QQ#88582 Larroque Door 1-9-2026 (2) (002) (1).pdf</v>
          </cell>
          <cell r="L656" t="str">
            <v>https://panda-windows-and-doors.monday.com/protected_static/21046287/resources/2734705471/CamScanner 2-4-26 07.25.pdf</v>
          </cell>
          <cell r="M656" t="str">
            <v/>
          </cell>
          <cell r="N656" t="str">
            <v>https://panda-windows-and-doors.monday.com/protected_static/21046287/resources/2869352493/88582 Deposit Invoice.pdf</v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>Completed - Closed Out</v>
          </cell>
          <cell r="T656" t="str">
            <v/>
          </cell>
          <cell r="U656">
            <v>4551</v>
          </cell>
          <cell r="V656">
            <v>4551</v>
          </cell>
          <cell r="W656" t="str">
            <v>George Bails Apr 27, 2026 3:52 PM</v>
          </cell>
          <cell r="X656" t="str">
            <v>2025-12-16 00:00</v>
          </cell>
          <cell r="Y656">
            <v>46105</v>
          </cell>
          <cell r="Z656" t="str">
            <v/>
          </cell>
          <cell r="AA656">
            <v>46112</v>
          </cell>
          <cell r="AB656" t="str">
            <v>Annalene Conde Mar 24, 2026 12:00 PM</v>
          </cell>
          <cell r="AC656" t="str">
            <v/>
          </cell>
          <cell r="AD656" t="str">
            <v/>
          </cell>
          <cell r="AE656">
            <v>46112</v>
          </cell>
          <cell r="AF656">
            <v>46112</v>
          </cell>
          <cell r="AG656">
            <v>46139</v>
          </cell>
          <cell r="AH656" t="str">
            <v>Builder's Direct Supply</v>
          </cell>
          <cell r="AI656" t="str">
            <v/>
          </cell>
        </row>
        <row r="657">
          <cell r="C657">
            <v>87390</v>
          </cell>
          <cell r="D657" t="str">
            <v/>
          </cell>
          <cell r="E657" t="str">
            <v/>
          </cell>
          <cell r="F657" t="str">
            <v>Final</v>
          </cell>
          <cell r="G657" t="str">
            <v>Final Collected</v>
          </cell>
          <cell r="H657" t="str">
            <v>No</v>
          </cell>
          <cell r="I657" t="str">
            <v>Spencer Anderson</v>
          </cell>
          <cell r="J657" t="str">
            <v/>
          </cell>
          <cell r="K657" t="str">
            <v>https://panda-windows-and-doors.monday.com/protected_static/21046287/resources/2716871594/QQ #87390 - SPW_Ikeda Pivot Door PO# 569-1229 - 01162026.pdf</v>
          </cell>
          <cell r="L657" t="str">
            <v>https://panda-windows-and-doors.monday.com/protected_static/21046287/resources/2716870510/BP-70M55_20260128_103349.pdf</v>
          </cell>
          <cell r="M657" t="str">
            <v/>
          </cell>
          <cell r="N657" t="str">
            <v>https://panda-windows-and-doors.monday.com/protected_static/21046287/resources/2720164579/87390 Deposit Invoice.pdf</v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>Completed - Closed Out</v>
          </cell>
          <cell r="T657" t="str">
            <v/>
          </cell>
          <cell r="U657">
            <v>12880</v>
          </cell>
          <cell r="V657">
            <v>12879</v>
          </cell>
          <cell r="W657" t="str">
            <v>Annalene Conde Apr 27, 2026 10:24 AM</v>
          </cell>
          <cell r="X657" t="str">
            <v/>
          </cell>
          <cell r="Y657">
            <v>46050</v>
          </cell>
          <cell r="Z657" t="str">
            <v/>
          </cell>
          <cell r="AA657">
            <v>46050</v>
          </cell>
          <cell r="AB657" t="str">
            <v>Annalene Conde Jan 28, 2026 11:57 AM</v>
          </cell>
          <cell r="AC657">
            <v>46051</v>
          </cell>
          <cell r="AD657">
            <v>46132</v>
          </cell>
          <cell r="AE657">
            <v>46122</v>
          </cell>
          <cell r="AF657">
            <v>46132</v>
          </cell>
          <cell r="AG657">
            <v>46139</v>
          </cell>
          <cell r="AH657" t="str">
            <v>Kyle Woodruff</v>
          </cell>
          <cell r="AI657" t="str">
            <v/>
          </cell>
        </row>
        <row r="658">
          <cell r="C658">
            <v>89263</v>
          </cell>
          <cell r="D658" t="str">
            <v/>
          </cell>
          <cell r="E658" t="str">
            <v/>
          </cell>
          <cell r="F658" t="str">
            <v>Final</v>
          </cell>
          <cell r="G658" t="str">
            <v>Final Collected</v>
          </cell>
          <cell r="H658" t="str">
            <v>No</v>
          </cell>
          <cell r="I658" t="str">
            <v>Efrain Zarate, Trevor Benthagen</v>
          </cell>
          <cell r="J658" t="str">
            <v/>
          </cell>
          <cell r="K658" t="str">
            <v>https://panda-windows-and-doors.monday.com/protected_static/21046287/resources/2782433255/Robert 2 Windows Signed.pdf</v>
          </cell>
          <cell r="L658" t="str">
            <v>https://panda-windows-and-doors.monday.com/protected_static/21046287/resources/2782433521/BP-70M55_20260224_110952.pdf</v>
          </cell>
          <cell r="M658" t="str">
            <v/>
          </cell>
          <cell r="N658" t="str">
            <v>https://panda-windows-and-doors.monday.com/protected_static/21046287/resources/2782587471/89263 Deposit Invoice.pdf</v>
          </cell>
          <cell r="O658" t="str">
            <v/>
          </cell>
          <cell r="P658" t="str">
            <v/>
          </cell>
          <cell r="Q658" t="str">
            <v/>
          </cell>
          <cell r="R658" t="str">
            <v>https://panda-windows-and-doors.monday.com/protected_static/21046287/resources/2821896010/MF5230 Q89063 ROBERT 2 WINDOWS - B.O.M.pdf, https://panda-windows-and-doors.monday.com/protected_static/21046287/resources/2821895997/MF5230 Q89063 ROBERT 2 WINDOWS - CUTLIST (MANUAL).pdf, https://panda-windows-and-doors.monday.com/protected_static/21046287/resources/2821895999/MF5230 Q89063 ROBERT 2 WINDOWS - OPT.pdf, https://panda-windows-and-doors.monday.com/protected_static/21046287/resources/2821896002/MF5230 Q89063 ROBERT 2 WINDOWS -CUTLIST (GINERI).pdf</v>
          </cell>
          <cell r="S658" t="str">
            <v>Completed - Closed Out</v>
          </cell>
          <cell r="T658" t="str">
            <v/>
          </cell>
          <cell r="U658">
            <v>2398</v>
          </cell>
          <cell r="V658">
            <v>2799.79</v>
          </cell>
          <cell r="W658" t="str">
            <v>George Bails Apr 29, 2026 3:15 PM</v>
          </cell>
          <cell r="X658" t="str">
            <v>2026-02-24 00:00</v>
          </cell>
          <cell r="Y658">
            <v>46077</v>
          </cell>
          <cell r="Z658" t="str">
            <v/>
          </cell>
          <cell r="AA658">
            <v>46077</v>
          </cell>
          <cell r="AB658" t="str">
            <v>Annalene Conde Feb 24, 2026 12:13 PM</v>
          </cell>
          <cell r="AC658">
            <v>46077</v>
          </cell>
          <cell r="AD658">
            <v>46080</v>
          </cell>
          <cell r="AE658">
            <v>46135</v>
          </cell>
          <cell r="AF658">
            <v>46135</v>
          </cell>
          <cell r="AG658">
            <v>46141</v>
          </cell>
          <cell r="AH658" t="str">
            <v>Vegas Window Pros</v>
          </cell>
          <cell r="AI658" t="str">
            <v/>
          </cell>
        </row>
        <row r="659">
          <cell r="C659">
            <v>89119</v>
          </cell>
          <cell r="D659" t="str">
            <v/>
          </cell>
          <cell r="E659" t="str">
            <v/>
          </cell>
          <cell r="F659" t="str">
            <v>Final</v>
          </cell>
          <cell r="G659" t="str">
            <v>Final Collected</v>
          </cell>
          <cell r="H659" t="str">
            <v>No</v>
          </cell>
          <cell r="I659" t="str">
            <v>Efrain Zarate, Trevor Benthagen</v>
          </cell>
          <cell r="J659" t="str">
            <v/>
          </cell>
          <cell r="K659" t="str">
            <v>https://panda-windows-and-doors.monday.com/protected_static/21046287/resources/2760100560/BP-70M55_20260213_130042.pdf</v>
          </cell>
          <cell r="L659" t="str">
            <v>https://panda-windows-and-doors.monday.com/protected_static/21046287/resources/2760102276/BP-70M55_20260213_130034.pdf</v>
          </cell>
          <cell r="M659" t="str">
            <v/>
          </cell>
          <cell r="N659" t="str">
            <v>https://panda-windows-and-doors.monday.com/protected_static/21046287/resources/2763642475/89119 Deposit Invoice.pdf</v>
          </cell>
          <cell r="O659" t="str">
            <v/>
          </cell>
          <cell r="P659" t="str">
            <v/>
          </cell>
          <cell r="Q659" t="str">
            <v/>
          </cell>
          <cell r="R659" t="str">
            <v>https://panda-windows-and-doors.monday.com/protected_static/21046287/resources/2798925719/Q89119_FTS30 OPT.pdf, https://panda-windows-and-doors.monday.com/protected_static/21046287/resources/2798925739/Q89119_FTS30 BOM.pdf</v>
          </cell>
          <cell r="S659" t="str">
            <v>Completed - Closed Out</v>
          </cell>
          <cell r="T659" t="str">
            <v/>
          </cell>
          <cell r="U659">
            <v>4158</v>
          </cell>
          <cell r="V659">
            <v>4922.47</v>
          </cell>
          <cell r="W659" t="str">
            <v>George Bails Apr 29, 2026 3:20 PM</v>
          </cell>
          <cell r="X659" t="str">
            <v>2026-01-29 00:00</v>
          </cell>
          <cell r="Y659">
            <v>46066</v>
          </cell>
          <cell r="Z659" t="str">
            <v/>
          </cell>
          <cell r="AA659">
            <v>46066</v>
          </cell>
          <cell r="AB659" t="str">
            <v>Annalene Conde Feb 13, 2026 2:01 PM</v>
          </cell>
          <cell r="AC659">
            <v>46069</v>
          </cell>
          <cell r="AD659">
            <v>46070</v>
          </cell>
          <cell r="AE659">
            <v>46112</v>
          </cell>
          <cell r="AF659">
            <v>46112</v>
          </cell>
          <cell r="AG659">
            <v>46141</v>
          </cell>
          <cell r="AH659" t="str">
            <v>Vegas Window Pros</v>
          </cell>
          <cell r="AI659" t="str">
            <v/>
          </cell>
        </row>
        <row r="660">
          <cell r="C660">
            <v>89773</v>
          </cell>
          <cell r="D660" t="str">
            <v/>
          </cell>
          <cell r="E660" t="str">
            <v/>
          </cell>
          <cell r="F660" t="str">
            <v>Final</v>
          </cell>
          <cell r="G660" t="str">
            <v>Final Collected</v>
          </cell>
          <cell r="H660" t="str">
            <v>No</v>
          </cell>
          <cell r="I660" t="str">
            <v>Avi Shoshan</v>
          </cell>
          <cell r="J660" t="str">
            <v/>
          </cell>
          <cell r="K660" t="str">
            <v>https://panda-windows-and-doors.monday.com/protected_static/21046287/resources/2820723985/BP-70M55_20260311_064901.pdf</v>
          </cell>
          <cell r="L660" t="str">
            <v>https://panda-windows-and-doors.monday.com/protected_static/21046287/resources/2821198381/BP-70M55_20260311_090631.pdf</v>
          </cell>
          <cell r="M660" t="str">
            <v/>
          </cell>
          <cell r="N660" t="str">
            <v>https://panda-windows-and-doors.monday.com/protected_static/21046287/resources/2823802241/89773 Deposit Invoice.pdf</v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>Completed - Closed Out</v>
          </cell>
          <cell r="T660" t="str">
            <v/>
          </cell>
          <cell r="U660">
            <v>1142.27</v>
          </cell>
          <cell r="V660">
            <v>0</v>
          </cell>
          <cell r="W660" t="str">
            <v>Annalene Conde Apr 30, 2026 11:38 AM</v>
          </cell>
          <cell r="X660" t="str">
            <v>2026-03-11 00:00</v>
          </cell>
          <cell r="Y660">
            <v>46092</v>
          </cell>
          <cell r="Z660" t="str">
            <v/>
          </cell>
          <cell r="AA660">
            <v>46092</v>
          </cell>
          <cell r="AB660" t="str">
            <v>Annalene Conde Mar 11, 2026 10:30 AM</v>
          </cell>
          <cell r="AC660">
            <v>46093</v>
          </cell>
          <cell r="AD660">
            <v>46106</v>
          </cell>
          <cell r="AE660">
            <v>46142</v>
          </cell>
          <cell r="AF660" t="str">
            <v/>
          </cell>
          <cell r="AG660">
            <v>46142</v>
          </cell>
          <cell r="AH660" t="str">
            <v>George Yousefi</v>
          </cell>
          <cell r="AI660" t="str">
            <v/>
          </cell>
        </row>
        <row r="661">
          <cell r="C661">
            <v>89187</v>
          </cell>
          <cell r="D661" t="str">
            <v/>
          </cell>
          <cell r="E661" t="str">
            <v/>
          </cell>
          <cell r="F661" t="str">
            <v>Final</v>
          </cell>
          <cell r="G661" t="str">
            <v>Final Collected</v>
          </cell>
          <cell r="H661" t="str">
            <v>No</v>
          </cell>
          <cell r="I661" t="str">
            <v>Avi Shoshan</v>
          </cell>
          <cell r="J661" t="str">
            <v/>
          </cell>
          <cell r="K661" t="str">
            <v>https://panda-windows-and-doors.monday.com/protected_static/21046287/resources/2784955099/Signed Proposal.pdf</v>
          </cell>
          <cell r="L661" t="str">
            <v/>
          </cell>
          <cell r="M661" t="str">
            <v/>
          </cell>
          <cell r="N661" t="str">
            <v>https://panda-windows-and-doors.monday.com/protected_static/21046287/resources/2789026519/89187 Deposit Invoice.pdf</v>
          </cell>
          <cell r="O661" t="str">
            <v/>
          </cell>
          <cell r="P661" t="str">
            <v/>
          </cell>
          <cell r="Q661" t="str">
            <v/>
          </cell>
          <cell r="R661" t="str">
            <v>https://panda-windows-and-doors.monday.com/protected_static/21046287/resources/2820904064/LG 5217 Q89187 WINDOWS -CUTLIST (GINERI).pdf, https://panda-windows-and-doors.monday.com/protected_static/21046287/resources/2820904070/LG 5217 Q89187 WINDOWS - OPT.pdf, https://panda-windows-and-doors.monday.com/protected_static/21046287/resources/2820904065/Q89187 ADD ON WINDOWS - BENDING MAT..pdf, https://panda-windows-and-doors.monday.com/protected_static/21046287/resources/2820904065/Q89187 ADD ON WINDOWS - BENDING MAT..pdf</v>
          </cell>
          <cell r="S661" t="str">
            <v>Completed - Closed Out</v>
          </cell>
          <cell r="T661" t="str">
            <v/>
          </cell>
          <cell r="U661">
            <v>6814.62</v>
          </cell>
          <cell r="V661">
            <v>0</v>
          </cell>
          <cell r="W661" t="str">
            <v>Annalene Conde Apr 30, 2026 11:43 AM</v>
          </cell>
          <cell r="X661" t="str">
            <v>2026-02-25 00:00</v>
          </cell>
          <cell r="Y661">
            <v>46078</v>
          </cell>
          <cell r="Z661" t="str">
            <v/>
          </cell>
          <cell r="AA661">
            <v>46078</v>
          </cell>
          <cell r="AB661" t="str">
            <v>Annalene Conde Feb 25, 2026 9:14 AM</v>
          </cell>
          <cell r="AC661">
            <v>46079</v>
          </cell>
          <cell r="AD661">
            <v>46084</v>
          </cell>
          <cell r="AE661">
            <v>46142</v>
          </cell>
          <cell r="AF661" t="str">
            <v/>
          </cell>
          <cell r="AG661">
            <v>46142</v>
          </cell>
          <cell r="AH661" t="str">
            <v>George Yousefi</v>
          </cell>
          <cell r="AI661" t="str">
            <v/>
          </cell>
        </row>
        <row r="662">
          <cell r="C662">
            <v>89075</v>
          </cell>
          <cell r="D662" t="str">
            <v/>
          </cell>
          <cell r="E662" t="str">
            <v/>
          </cell>
          <cell r="F662" t="str">
            <v>Final</v>
          </cell>
          <cell r="G662" t="str">
            <v>Final Collected</v>
          </cell>
          <cell r="H662" t="str">
            <v>No</v>
          </cell>
          <cell r="I662" t="str">
            <v>Spencer Anderson</v>
          </cell>
          <cell r="J662" t="str">
            <v/>
          </cell>
          <cell r="K662" t="str">
            <v>https://panda-windows-and-doors.monday.com/protected_static/21046287/resources/2812986495/QQ #89075 - SPW_Aluminum Window - 02172026 - ORDER 3-6-26.pdf</v>
          </cell>
          <cell r="L662" t="str">
            <v>https://panda-windows-and-doors.monday.com/protected_static/21046287/resources/2812989575/BP-70M55_20260309_081007.pdf</v>
          </cell>
          <cell r="M662" t="str">
            <v/>
          </cell>
          <cell r="N662" t="str">
            <v>https://panda-windows-and-doors.monday.com/protected_static/21046287/resources/2813897347/89075 Deposit Invoice.pdf</v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>
            <v>940</v>
          </cell>
          <cell r="V662">
            <v>940</v>
          </cell>
          <cell r="W662" t="str">
            <v>George Bails Apr 30, 2026 3:55 PM</v>
          </cell>
          <cell r="X662" t="str">
            <v/>
          </cell>
          <cell r="Y662">
            <v>46090</v>
          </cell>
          <cell r="Z662" t="str">
            <v/>
          </cell>
          <cell r="AA662">
            <v>46090</v>
          </cell>
          <cell r="AB662" t="str">
            <v>Annalene Conde Mar 9, 2026 9:18 AM</v>
          </cell>
          <cell r="AC662">
            <v>46090</v>
          </cell>
          <cell r="AD662">
            <v>46097</v>
          </cell>
          <cell r="AE662">
            <v>46135</v>
          </cell>
          <cell r="AF662">
            <v>46135</v>
          </cell>
          <cell r="AG662">
            <v>46142</v>
          </cell>
          <cell r="AH662" t="str">
            <v>Jared Foley</v>
          </cell>
          <cell r="AI662" t="str">
            <v/>
          </cell>
        </row>
        <row r="663">
          <cell r="C663">
            <v>88001</v>
          </cell>
          <cell r="D663">
            <v>46057</v>
          </cell>
          <cell r="E663" t="str">
            <v/>
          </cell>
          <cell r="F663" t="str">
            <v>Final</v>
          </cell>
          <cell r="G663" t="str">
            <v>Final Collected</v>
          </cell>
          <cell r="H663" t="str">
            <v>No</v>
          </cell>
          <cell r="I663" t="str">
            <v>Spencer Anderson</v>
          </cell>
          <cell r="J663" t="str">
            <v/>
          </cell>
          <cell r="K663" t="str">
            <v>https://panda-windows-and-doors.monday.com/protected_static/21046287/resources/2532849735/QQ #88001 - PPG 38 Elena Kitchen Window - 10312025 signed.pdf</v>
          </cell>
          <cell r="L663" t="str">
            <v>https://panda-windows-and-doors.monday.com/protected_static/21046287/resources/2532850235/BP-70M55_20251104_135806.pdf</v>
          </cell>
          <cell r="M663" t="str">
            <v/>
          </cell>
          <cell r="N663" t="str">
            <v>https://panda-windows-and-doors.monday.com/protected_static/21046287/resources/2534378439/88001 Deposit invoice.pdf</v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>Completed - Closed Out</v>
          </cell>
          <cell r="T663" t="str">
            <v/>
          </cell>
          <cell r="U663">
            <v>7679</v>
          </cell>
          <cell r="V663">
            <v>7679</v>
          </cell>
          <cell r="W663" t="str">
            <v>George Bails Apr 30, 2026 3:57 PM</v>
          </cell>
          <cell r="X663" t="str">
            <v/>
          </cell>
          <cell r="Y663">
            <v>45965</v>
          </cell>
          <cell r="Z663" t="str">
            <v/>
          </cell>
          <cell r="AA663">
            <v>45965</v>
          </cell>
          <cell r="AB663" t="str">
            <v>Annalene Conde Nov 4, 2025 3:38 PM</v>
          </cell>
          <cell r="AC663">
            <v>45966</v>
          </cell>
          <cell r="AD663">
            <v>46063</v>
          </cell>
          <cell r="AE663">
            <v>46135</v>
          </cell>
          <cell r="AF663">
            <v>46135</v>
          </cell>
          <cell r="AG663">
            <v>46142</v>
          </cell>
          <cell r="AH663" t="str">
            <v>Mike Haskell</v>
          </cell>
          <cell r="AI663">
            <v>46057</v>
          </cell>
        </row>
        <row r="664">
          <cell r="C664">
            <v>88440</v>
          </cell>
          <cell r="D664" t="str">
            <v/>
          </cell>
          <cell r="E664" t="str">
            <v/>
          </cell>
          <cell r="F664" t="str">
            <v>Final</v>
          </cell>
          <cell r="G664" t="str">
            <v>Final Collected</v>
          </cell>
          <cell r="H664" t="str">
            <v>No</v>
          </cell>
          <cell r="I664" t="str">
            <v>Spencer Anderson</v>
          </cell>
          <cell r="J664" t="str">
            <v/>
          </cell>
          <cell r="K664" t="str">
            <v>https://panda-windows-and-doors.monday.com/protected_static/21046287/resources/2827051723/QQ #88440 - SPW_Bathroom Window - 02122026.pdf</v>
          </cell>
          <cell r="L664" t="str">
            <v>https://panda-windows-and-doors.monday.com/protected_static/21046287/resources/2827051986/BP-70M55_20260313_075526.pdf</v>
          </cell>
          <cell r="M664" t="str">
            <v/>
          </cell>
          <cell r="N664" t="str">
            <v>https://panda-windows-and-doors.monday.com/protected_static/21046287/resources/2827941683/88440 Deposit Invoice.pdf</v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>Completed - Closed Out</v>
          </cell>
          <cell r="T664" t="str">
            <v/>
          </cell>
          <cell r="U664">
            <v>1206.5</v>
          </cell>
          <cell r="V664">
            <v>1206.5</v>
          </cell>
          <cell r="W664" t="str">
            <v>George Bails Apr 30, 2026 4:00 PM</v>
          </cell>
          <cell r="X664" t="str">
            <v/>
          </cell>
          <cell r="Y664">
            <v>46094</v>
          </cell>
          <cell r="Z664" t="str">
            <v/>
          </cell>
          <cell r="AA664">
            <v>46094</v>
          </cell>
          <cell r="AB664" t="str">
            <v>Annalene Conde Mar 13, 2026 8:59 AM</v>
          </cell>
          <cell r="AC664">
            <v>46094</v>
          </cell>
          <cell r="AD664">
            <v>46101</v>
          </cell>
          <cell r="AE664">
            <v>46135</v>
          </cell>
          <cell r="AF664">
            <v>46135</v>
          </cell>
          <cell r="AG664">
            <v>46142</v>
          </cell>
          <cell r="AH664" t="str">
            <v>Kyle Woodruff</v>
          </cell>
          <cell r="AI664" t="str">
            <v/>
          </cell>
        </row>
        <row r="665">
          <cell r="C665">
            <v>87402</v>
          </cell>
          <cell r="D665" t="str">
            <v/>
          </cell>
          <cell r="E665" t="str">
            <v/>
          </cell>
          <cell r="F665" t="str">
            <v>Final</v>
          </cell>
          <cell r="G665" t="str">
            <v>Final Collected</v>
          </cell>
          <cell r="H665" t="str">
            <v>No</v>
          </cell>
          <cell r="I665" t="str">
            <v>Sean Torre</v>
          </cell>
          <cell r="J665" t="str">
            <v/>
          </cell>
          <cell r="K665" t="str">
            <v>https://panda-windows-and-doors.monday.com/protected_static/21046287/resources/2474970464/Panda Windows Sales Order 10-7-25.pdf</v>
          </cell>
          <cell r="L665" t="str">
            <v>https://panda-windows-and-doors.monday.com/protected_static/21046287/resources/2474970274/CamScanner 10-9-25 07.18.pdf</v>
          </cell>
          <cell r="M665" t="str">
            <v/>
          </cell>
          <cell r="N665" t="str">
            <v>https://panda-windows-and-doors.monday.com/protected_static/21046287/resources/2475351334/87402 Deposit Invoice.pdf</v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>Completed - Closed Out</v>
          </cell>
          <cell r="T665" t="str">
            <v/>
          </cell>
          <cell r="U665">
            <v>20000</v>
          </cell>
          <cell r="V665">
            <v>22825.45</v>
          </cell>
          <cell r="W665" t="str">
            <v>George Bails Apr 30, 2026 4:12 PM</v>
          </cell>
          <cell r="X665" t="str">
            <v>2025-10-09 00:00</v>
          </cell>
          <cell r="Y665">
            <v>45939</v>
          </cell>
          <cell r="Z665" t="str">
            <v/>
          </cell>
          <cell r="AA665">
            <v>45939</v>
          </cell>
          <cell r="AB665" t="str">
            <v>Annalene Conde Oct 9, 2025 8:26 AM</v>
          </cell>
          <cell r="AC665" t="str">
            <v/>
          </cell>
          <cell r="AD665">
            <v>45939</v>
          </cell>
          <cell r="AE665">
            <v>46141</v>
          </cell>
          <cell r="AF665">
            <v>46141</v>
          </cell>
          <cell r="AG665">
            <v>46142</v>
          </cell>
          <cell r="AH665" t="str">
            <v>Bellio Residence</v>
          </cell>
          <cell r="AI665" t="str">
            <v/>
          </cell>
        </row>
        <row r="666">
          <cell r="C666">
            <v>83698</v>
          </cell>
          <cell r="D666" t="str">
            <v/>
          </cell>
          <cell r="E666" t="str">
            <v/>
          </cell>
          <cell r="F666" t="str">
            <v>Final</v>
          </cell>
          <cell r="G666" t="str">
            <v>Final Collected</v>
          </cell>
          <cell r="H666" t="str">
            <v>No</v>
          </cell>
          <cell r="I666" t="str">
            <v>Derrick McCall</v>
          </cell>
          <cell r="J666" t="str">
            <v/>
          </cell>
          <cell r="K666" t="str">
            <v>https://panda-windows-and-doors.monday.com/protected_static/21046287/resources/2365779556/QQ#83698 Park Summit (2) 08182025.pdf</v>
          </cell>
          <cell r="L666" t="str">
            <v>https://panda-windows-and-doors.monday.com/protected_static/21046287/resources/2365780016/Q83698 APB.pdf</v>
          </cell>
          <cell r="M666" t="str">
            <v/>
          </cell>
          <cell r="N666" t="str">
            <v>https://panda-windows-and-doors.monday.com/protected_static/21046287/resources/2366075321/83698 Deposit Invoice.pdf</v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>Completed - Closed Out</v>
          </cell>
          <cell r="T666" t="str">
            <v/>
          </cell>
          <cell r="U666">
            <v>7860</v>
          </cell>
          <cell r="V666">
            <v>9064.5</v>
          </cell>
          <cell r="W666" t="str">
            <v>Annalene Conde May 1, 2026 7:53 AM</v>
          </cell>
          <cell r="X666" t="str">
            <v>2025-02-04 00:00</v>
          </cell>
          <cell r="Y666">
            <v>45889</v>
          </cell>
          <cell r="Z666" t="str">
            <v/>
          </cell>
          <cell r="AA666">
            <v>45889</v>
          </cell>
          <cell r="AB666" t="str">
            <v>Jayme Truong Aug 20, 2025 11:29 AM</v>
          </cell>
          <cell r="AC666">
            <v>45889</v>
          </cell>
          <cell r="AD666">
            <v>45904</v>
          </cell>
          <cell r="AE666">
            <v>46134</v>
          </cell>
          <cell r="AF666">
            <v>46134</v>
          </cell>
          <cell r="AG666">
            <v>46143</v>
          </cell>
          <cell r="AH666" t="str">
            <v>Lunstrum Windows &amp; Doors</v>
          </cell>
          <cell r="AI666" t="str">
            <v/>
          </cell>
        </row>
        <row r="667">
          <cell r="C667">
            <v>87376</v>
          </cell>
          <cell r="D667" t="str">
            <v/>
          </cell>
          <cell r="E667" t="str">
            <v/>
          </cell>
          <cell r="F667" t="str">
            <v>Final</v>
          </cell>
          <cell r="G667" t="str">
            <v>Final Collected</v>
          </cell>
          <cell r="H667" t="str">
            <v>No</v>
          </cell>
          <cell r="I667" t="str">
            <v>Tyler Clark</v>
          </cell>
          <cell r="J667" t="str">
            <v/>
          </cell>
          <cell r="K667" t="str">
            <v>https://panda-windows-and-doors.monday.com/protected_static/21046287/resources/2802486316/QQ#87376 Chacon Residence SSO.pdf</v>
          </cell>
          <cell r="L667" t="str">
            <v>https://panda-windows-and-doors.monday.com/protected_static/21046287/resources/2802490955/BP-70M55_20260304_072208.pdf</v>
          </cell>
          <cell r="M667" t="str">
            <v/>
          </cell>
          <cell r="N667" t="str">
            <v>https://panda-windows-and-doors.monday.com/protected_static/21046287/resources/2803172758/87376 Deposit Invoice.pdf, https://panda-windows-and-doors.monday.com/protected_static/21046287/resources/2805506886/87376 Deposit Invoice (Updated SO).pdf</v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>
            <v>20322</v>
          </cell>
          <cell r="V667">
            <v>20321</v>
          </cell>
          <cell r="W667" t="str">
            <v>George Bails May 2, 2026 7:36 AM</v>
          </cell>
          <cell r="X667" t="str">
            <v>2025-09-17 00:00</v>
          </cell>
          <cell r="Y667">
            <v>46085</v>
          </cell>
          <cell r="Z667" t="str">
            <v/>
          </cell>
          <cell r="AA667">
            <v>46085</v>
          </cell>
          <cell r="AB667" t="str">
            <v>Annalene Conde Mar 4, 2026 9:31 AM</v>
          </cell>
          <cell r="AC667" t="str">
            <v/>
          </cell>
          <cell r="AD667">
            <v>46085</v>
          </cell>
          <cell r="AE667">
            <v>46142</v>
          </cell>
          <cell r="AF667">
            <v>46142</v>
          </cell>
          <cell r="AG667">
            <v>46143</v>
          </cell>
          <cell r="AH667" t="str">
            <v>J Shuman Door Installation</v>
          </cell>
          <cell r="AI667" t="str">
            <v/>
          </cell>
        </row>
        <row r="668">
          <cell r="C668">
            <v>89065</v>
          </cell>
          <cell r="D668" t="str">
            <v/>
          </cell>
          <cell r="E668" t="str">
            <v/>
          </cell>
          <cell r="F668" t="str">
            <v>Final</v>
          </cell>
          <cell r="G668" t="str">
            <v>Final Collected</v>
          </cell>
          <cell r="H668" t="str">
            <v>No</v>
          </cell>
          <cell r="I668" t="str">
            <v>Tyler Clark</v>
          </cell>
          <cell r="J668" t="str">
            <v/>
          </cell>
          <cell r="K668" t="str">
            <v>https://panda-windows-and-doors.monday.com/protected_static/21046287/resources/2728135148/BP-70M55_20260202_081405.pdf</v>
          </cell>
          <cell r="L668" t="str">
            <v>https://panda-windows-and-doors.monday.com/protected_static/21046287/resources/2728135878/BP-70M55_20260202_081423.pdf</v>
          </cell>
          <cell r="M668" t="str">
            <v/>
          </cell>
          <cell r="N668" t="str">
            <v>https://panda-windows-and-doors.monday.com/protected_static/21046287/resources/2732779835/89065 Deposit Invoice.pdf</v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>
            <v>16645</v>
          </cell>
          <cell r="V668">
            <v>16644</v>
          </cell>
          <cell r="W668" t="str">
            <v>Annalene Conde May 1, 2026 12:52 PM</v>
          </cell>
          <cell r="X668" t="str">
            <v>2026-02-02 08:53</v>
          </cell>
          <cell r="Y668">
            <v>46055</v>
          </cell>
          <cell r="Z668" t="str">
            <v/>
          </cell>
          <cell r="AA668">
            <v>46055</v>
          </cell>
          <cell r="AB668" t="str">
            <v>Annalene Conde Feb 2, 2026 9:10 AM</v>
          </cell>
          <cell r="AC668">
            <v>46056</v>
          </cell>
          <cell r="AD668">
            <v>46062</v>
          </cell>
          <cell r="AE668">
            <v>46143</v>
          </cell>
          <cell r="AF668" t="str">
            <v/>
          </cell>
          <cell r="AG668">
            <v>46143</v>
          </cell>
          <cell r="AH668" t="str">
            <v>Luciano Johnson</v>
          </cell>
          <cell r="AI668" t="str">
            <v/>
          </cell>
        </row>
        <row r="669">
          <cell r="C669">
            <v>87636</v>
          </cell>
          <cell r="D669" t="str">
            <v/>
          </cell>
          <cell r="E669" t="str">
            <v/>
          </cell>
          <cell r="F669" t="str">
            <v>Final</v>
          </cell>
          <cell r="G669" t="str">
            <v>Final Collected</v>
          </cell>
          <cell r="H669" t="str">
            <v>No</v>
          </cell>
          <cell r="I669" t="str">
            <v>Luke Valles</v>
          </cell>
          <cell r="J669" t="str">
            <v/>
          </cell>
          <cell r="K669" t="str">
            <v>https://panda-windows-and-doors.monday.com/protected_static/21046287/resources/2560637039/QQ#87636 Monroe Residence 11-17-2025.pdf</v>
          </cell>
          <cell r="L669" t="str">
            <v>https://panda-windows-and-doors.monday.com/protected_static/21046287/resources/2560636400/87636 Monroe Residence signed backer 111725.pdf</v>
          </cell>
          <cell r="M669" t="str">
            <v/>
          </cell>
          <cell r="N669" t="str">
            <v>https://panda-windows-and-doors.monday.com/protected_static/21046287/resources/2563051618/87636 Deposit Invoice.pdf</v>
          </cell>
          <cell r="O669" t="str">
            <v/>
          </cell>
          <cell r="P669" t="str">
            <v/>
          </cell>
          <cell r="Q669" t="str">
            <v/>
          </cell>
          <cell r="R669" t="str">
            <v>https://panda-windows-and-doors.monday.com/protected_static/21046287/resources/2706240108/Q87636_OPT_GINERI.pdf, https://panda-windows-and-doors.monday.com/protected_static/21046287/resources/2706240111/Q87636_CUTLIST_GINERI.pdf, https://panda-windows-and-doors.monday.com/protected_static/21046287/resources/2706240120/GR 5104 Q87636 MONROE RESIDENCE - B.O.M.pdf, https://panda-windows-and-doors.monday.com/protected_static/21046287/resources/2706240109/GR 5104 Q87636 MONROE RESIDENCE -CUTLIST (MANUAL).pdf, https://panda-windows-and-doors.monday.com/protected_static/21046287/resources/2706240126/Q87636_MATERIAL ORDER_GINERI.pdf</v>
          </cell>
          <cell r="S669" t="str">
            <v>Completed - Closed Out</v>
          </cell>
          <cell r="T669" t="str">
            <v/>
          </cell>
          <cell r="U669">
            <v>45837</v>
          </cell>
          <cell r="V669">
            <v>49275.48</v>
          </cell>
          <cell r="W669" t="str">
            <v>George Bails May 5, 2026 8:40 AM</v>
          </cell>
          <cell r="X669" t="str">
            <v>2025-10-02 05:42</v>
          </cell>
          <cell r="Y669">
            <v>45978</v>
          </cell>
          <cell r="Z669" t="str">
            <v/>
          </cell>
          <cell r="AA669">
            <v>45978</v>
          </cell>
          <cell r="AB669" t="str">
            <v>Annalene Conde Nov 17, 2025 2:00 PM</v>
          </cell>
          <cell r="AC669">
            <v>45979</v>
          </cell>
          <cell r="AD669">
            <v>45980</v>
          </cell>
          <cell r="AE669">
            <v>46141</v>
          </cell>
          <cell r="AF669">
            <v>46141</v>
          </cell>
          <cell r="AG669">
            <v>46146</v>
          </cell>
          <cell r="AH669" t="str">
            <v>Jonah Monroe</v>
          </cell>
          <cell r="AI669" t="str">
            <v/>
          </cell>
        </row>
        <row r="670">
          <cell r="C670">
            <v>88100</v>
          </cell>
          <cell r="D670" t="str">
            <v/>
          </cell>
          <cell r="E670" t="str">
            <v/>
          </cell>
          <cell r="F670" t="str">
            <v>Final</v>
          </cell>
          <cell r="G670" t="str">
            <v>Final Collected</v>
          </cell>
          <cell r="H670" t="str">
            <v>No</v>
          </cell>
          <cell r="I670" t="str">
            <v>Tyler Clark</v>
          </cell>
          <cell r="J670" t="str">
            <v/>
          </cell>
          <cell r="K670" t="str">
            <v>https://panda-windows-and-doors.monday.com/protected_static/21046287/resources/2625219765/QQ#88100 Jody Doors SSO.pdf</v>
          </cell>
          <cell r="L670" t="str">
            <v>https://panda-windows-and-doors.monday.com/protected_static/21046287/resources/2625309237/Q88100 - Jody Doors SSO-SB.pdf</v>
          </cell>
          <cell r="M670" t="str">
            <v/>
          </cell>
          <cell r="N670" t="str">
            <v>https://panda-windows-and-doors.monday.com/protected_static/21046287/resources/2645372613/88100 Deposit Invoice.pdf</v>
          </cell>
          <cell r="O670" t="str">
            <v/>
          </cell>
          <cell r="P670" t="str">
            <v/>
          </cell>
          <cell r="Q670" t="str">
            <v/>
          </cell>
          <cell r="R670" t="str">
            <v>https://panda-windows-and-doors.monday.com/protected_static/21046287/resources/2746279592/Q88100 JODY DOORS - B.O.M.pdf, https://panda-windows-and-doors.monday.com/protected_static/21046287/resources/2746279594/Q88100 JODY DOORS - CUTLIST (MANUAL).pdf</v>
          </cell>
          <cell r="S670" t="str">
            <v>Completed - Closed Out</v>
          </cell>
          <cell r="T670" t="str">
            <v/>
          </cell>
          <cell r="U670">
            <v>8674</v>
          </cell>
          <cell r="V670">
            <v>8673</v>
          </cell>
          <cell r="W670" t="str">
            <v>George Bails May 5, 2026 8:46 AM</v>
          </cell>
          <cell r="X670" t="str">
            <v>2025-11-07 10:17</v>
          </cell>
          <cell r="Y670">
            <v>46007</v>
          </cell>
          <cell r="Z670" t="str">
            <v/>
          </cell>
          <cell r="AA670">
            <v>46008</v>
          </cell>
          <cell r="AB670" t="str">
            <v>Annalene Conde Dec 16, 2025 3:59 PM</v>
          </cell>
          <cell r="AC670">
            <v>46008</v>
          </cell>
          <cell r="AD670">
            <v>46020</v>
          </cell>
          <cell r="AE670">
            <v>46097</v>
          </cell>
          <cell r="AF670">
            <v>46097</v>
          </cell>
          <cell r="AG670">
            <v>46146</v>
          </cell>
          <cell r="AH670" t="str">
            <v>Dewey Hayes</v>
          </cell>
          <cell r="AI670" t="str">
            <v/>
          </cell>
        </row>
        <row r="671">
          <cell r="C671">
            <v>88180</v>
          </cell>
          <cell r="D671" t="str">
            <v/>
          </cell>
          <cell r="E671" t="str">
            <v/>
          </cell>
          <cell r="F671" t="str">
            <v>Final</v>
          </cell>
          <cell r="G671" t="str">
            <v>Final Collected</v>
          </cell>
          <cell r="H671" t="str">
            <v>No</v>
          </cell>
          <cell r="I671" t="str">
            <v>Efrain Zarate, Trevor Benthagen</v>
          </cell>
          <cell r="J671" t="str">
            <v/>
          </cell>
          <cell r="K671" t="str">
            <v>https://panda-windows-and-doors.monday.com/protected_static/21046287/resources/2766500893/QQ#88180 Lennar 02172026.SIGNED.pdf</v>
          </cell>
          <cell r="L671" t="str">
            <v>https://panda-windows-and-doors.monday.com/protected_static/21046287/resources/2766500733/BP-70M55_20260217_130015.pdf</v>
          </cell>
          <cell r="M671" t="str">
            <v/>
          </cell>
          <cell r="N671" t="str">
            <v>https://panda-windows-and-doors.monday.com/protected_static/21046287/resources/2768451814/88180 Deposit Invoice.pdf</v>
          </cell>
          <cell r="O671" t="str">
            <v/>
          </cell>
          <cell r="P671" t="str">
            <v/>
          </cell>
          <cell r="Q671" t="str">
            <v/>
          </cell>
          <cell r="R671" t="str">
            <v>https://panda-windows-and-doors.monday.com/protected_static/21046287/resources/2812964447/Custom Schlage Lock Cut Outs.pdf, https://panda-windows-and-doors.monday.com/protected_static/21046287/resources/2813093659/Q88180 LENNAR - B.O.M.pdf, https://panda-windows-and-doors.monday.com/protected_static/21046287/resources/2813093643/Q88180 LENNAR - CUTLIST (MANUAL).pdf</v>
          </cell>
          <cell r="S671" t="str">
            <v>Completed - Closed Out</v>
          </cell>
          <cell r="T671" t="str">
            <v/>
          </cell>
          <cell r="U671">
            <v>38957</v>
          </cell>
          <cell r="V671">
            <v>45482.3</v>
          </cell>
          <cell r="W671" t="str">
            <v>Elizabet Lopez May 12, 2026 2:42 PM</v>
          </cell>
          <cell r="X671" t="str">
            <v>2025-11-13 00:00</v>
          </cell>
          <cell r="Y671">
            <v>46070</v>
          </cell>
          <cell r="Z671" t="str">
            <v/>
          </cell>
          <cell r="AA671">
            <v>46070</v>
          </cell>
          <cell r="AB671" t="str">
            <v>Annalene Conde Feb 17, 2026 1:58 PM</v>
          </cell>
          <cell r="AC671">
            <v>46071</v>
          </cell>
          <cell r="AD671">
            <v>46078</v>
          </cell>
          <cell r="AE671">
            <v>46132</v>
          </cell>
          <cell r="AF671">
            <v>46133</v>
          </cell>
          <cell r="AG671">
            <v>46147</v>
          </cell>
          <cell r="AH671" t="str">
            <v>Desert</v>
          </cell>
          <cell r="AI671" t="str">
            <v/>
          </cell>
        </row>
        <row r="672">
          <cell r="C672">
            <v>89313</v>
          </cell>
          <cell r="D672" t="str">
            <v/>
          </cell>
          <cell r="E672" t="str">
            <v/>
          </cell>
          <cell r="F672" t="str">
            <v>Final</v>
          </cell>
          <cell r="G672" t="str">
            <v>Final Collected</v>
          </cell>
          <cell r="H672" t="str">
            <v>No</v>
          </cell>
          <cell r="I672" t="str">
            <v>Tyler Clark</v>
          </cell>
          <cell r="J672" t="str">
            <v/>
          </cell>
          <cell r="K672" t="str">
            <v>https://panda-windows-and-doors.monday.com/protected_static/21046287/resources/2786394162/BP-70M55_20260225_154923.pdf</v>
          </cell>
          <cell r="L672" t="str">
            <v>https://panda-windows-and-doors.monday.com/protected_static/21046287/resources/2786394276/BP-70M55_20260225_154941.pdf</v>
          </cell>
          <cell r="M672" t="str">
            <v/>
          </cell>
          <cell r="N672" t="str">
            <v>https://panda-windows-and-doors.monday.com/protected_static/21046287/resources/2788230687/89313 Deposit Invoice.pdf</v>
          </cell>
          <cell r="O672" t="str">
            <v/>
          </cell>
          <cell r="P672" t="str">
            <v/>
          </cell>
          <cell r="Q672" t="str">
            <v/>
          </cell>
          <cell r="R672" t="str">
            <v>https://panda-windows-and-doors.monday.com/protected_static/21046287/resources/2864966469/Cutting List from 3_26_2026.pdf, https://panda-windows-and-doors.monday.com/protected_static/21046287/resources/2864966476/Assembly List Panda 001(1) from 3_26_2026.pdf, https://panda-windows-and-doors.monday.com/protected_static/21046287/resources/2864966497/Cut Optimisation from 3_26_2026.pdf, https://panda-windows-and-doors.monday.com/protected_static/21046287/resources/2864966477/Glass_Panel Request General from 3_26_2026.pdf, https://panda-windows-and-doors.monday.com/protected_static/21046287/resources/2864966472/Sections.pdf, https://panda-windows-and-doors.monday.com/protected_static/21046287/resources/2864966700/Stock List from 3_26_2026.pdf</v>
          </cell>
          <cell r="S672" t="str">
            <v>Completed - Closed Out</v>
          </cell>
          <cell r="T672" t="str">
            <v/>
          </cell>
          <cell r="U672">
            <v>8773</v>
          </cell>
          <cell r="V672">
            <v>10283.57</v>
          </cell>
          <cell r="W672" t="str">
            <v>Annalene Conde May 6, 2026 8:13 AM</v>
          </cell>
          <cell r="X672" t="str">
            <v>2026-02-01 10:37</v>
          </cell>
          <cell r="Y672">
            <v>46078</v>
          </cell>
          <cell r="Z672" t="str">
            <v/>
          </cell>
          <cell r="AA672">
            <v>46078</v>
          </cell>
          <cell r="AB672" t="str">
            <v>Annalene Conde Feb 25, 2026 4:53 PM</v>
          </cell>
          <cell r="AC672">
            <v>46079</v>
          </cell>
          <cell r="AD672">
            <v>46079</v>
          </cell>
          <cell r="AE672">
            <v>46146</v>
          </cell>
          <cell r="AF672">
            <v>46146</v>
          </cell>
          <cell r="AG672">
            <v>46148</v>
          </cell>
          <cell r="AH672" t="str">
            <v>Franklin Herbas</v>
          </cell>
          <cell r="AI672" t="str">
            <v/>
          </cell>
        </row>
        <row r="673">
          <cell r="C673">
            <v>89314</v>
          </cell>
          <cell r="D673" t="str">
            <v/>
          </cell>
          <cell r="E673" t="str">
            <v/>
          </cell>
          <cell r="F673" t="str">
            <v>Final</v>
          </cell>
          <cell r="G673" t="str">
            <v>Final Collected</v>
          </cell>
          <cell r="H673" t="str">
            <v>No</v>
          </cell>
          <cell r="I673" t="str">
            <v>Tyler Clark</v>
          </cell>
          <cell r="J673" t="str">
            <v/>
          </cell>
          <cell r="K673" t="str">
            <v>https://panda-windows-and-doors.monday.com/protected_static/21046287/resources/2802667517/Q89314 - Johnson Project - SSO.pdf</v>
          </cell>
          <cell r="L673" t="str">
            <v>https://panda-windows-and-doors.monday.com/protected_static/21046287/resources/2802668106/Q89314 - Johnson Project - SB.pdf</v>
          </cell>
          <cell r="M673" t="str">
            <v/>
          </cell>
          <cell r="N673" t="str">
            <v>https://panda-windows-and-doors.monday.com/protected_static/21046287/resources/2806176529/89314 Deposit Invoice.pdf</v>
          </cell>
          <cell r="O673" t="str">
            <v/>
          </cell>
          <cell r="P673" t="str">
            <v/>
          </cell>
          <cell r="Q673" t="str">
            <v/>
          </cell>
          <cell r="R673" t="str">
            <v>https://panda-windows-and-doors.monday.com/protected_static/21046287/resources/2854918630/Q89314_BOM.pdf, https://panda-windows-and-doors.monday.com/protected_static/21046287/resources/2854918635/Q89314_CUTLIST_GINERI.pdf, https://panda-windows-and-doors.monday.com/protected_static/21046287/resources/2854918629/Q89314_OPT_GINERI.pdf</v>
          </cell>
          <cell r="S673" t="str">
            <v>Completed - Closed Out</v>
          </cell>
          <cell r="T673" t="str">
            <v/>
          </cell>
          <cell r="U673">
            <v>3125</v>
          </cell>
          <cell r="V673">
            <v>3665.03</v>
          </cell>
          <cell r="W673" t="str">
            <v>George Bails May 8, 2026 7:53 AM</v>
          </cell>
          <cell r="X673" t="str">
            <v>2026-02-06 19:30</v>
          </cell>
          <cell r="Y673">
            <v>46085</v>
          </cell>
          <cell r="Z673" t="str">
            <v/>
          </cell>
          <cell r="AA673">
            <v>46086</v>
          </cell>
          <cell r="AB673" t="str">
            <v>Annalene Conde Mar 4, 2026 9:17 AM</v>
          </cell>
          <cell r="AC673">
            <v>46086</v>
          </cell>
          <cell r="AD673">
            <v>46097</v>
          </cell>
          <cell r="AE673">
            <v>46142</v>
          </cell>
          <cell r="AF673">
            <v>46142</v>
          </cell>
          <cell r="AG673">
            <v>46149</v>
          </cell>
          <cell r="AH673" t="str">
            <v>Kirk Johnson</v>
          </cell>
          <cell r="AI673" t="str">
            <v/>
          </cell>
        </row>
        <row r="674">
          <cell r="C674">
            <v>85509</v>
          </cell>
          <cell r="D674" t="str">
            <v/>
          </cell>
          <cell r="E674" t="str">
            <v/>
          </cell>
          <cell r="F674" t="str">
            <v>Final</v>
          </cell>
          <cell r="G674" t="str">
            <v>Final Collected</v>
          </cell>
          <cell r="H674" t="str">
            <v>No</v>
          </cell>
          <cell r="I674" t="str">
            <v>Troy Kite</v>
          </cell>
          <cell r="J674" t="str">
            <v/>
          </cell>
          <cell r="K674" t="str">
            <v>https://panda-windows-and-doors.monday.com/protected_static/21046287/resources/2710375286/Okauchee Lake Proposal.jpg, https://panda-windows-and-doors.monday.com/protected_static/21046287/resources/2710375554/Okauchee Lake House Page 2.jpg</v>
          </cell>
          <cell r="L674" t="str">
            <v>https://panda-windows-and-doors.monday.com/protected_static/21046287/resources/2710390099/BP-70M55_20260126_111050.pdf</v>
          </cell>
          <cell r="M674" t="str">
            <v/>
          </cell>
          <cell r="N674" t="str">
            <v>https://panda-windows-and-doors.monday.com/protected_static/21046287/resources/2713484802/Estimate 10386.pdf</v>
          </cell>
          <cell r="O674" t="str">
            <v/>
          </cell>
          <cell r="P674" t="str">
            <v/>
          </cell>
          <cell r="Q674" t="str">
            <v/>
          </cell>
          <cell r="R674" t="str">
            <v>https://panda-windows-and-doors.monday.com/protected_static/21046287/resources/2838470601/Q85509_BOM.pdf, https://panda-windows-and-doors.monday.com/protected_static/21046287/resources/2838470587/Q85509_OPT_MANUAL.pdf</v>
          </cell>
          <cell r="S674" t="str">
            <v>Completed - Closed Out</v>
          </cell>
          <cell r="T674" t="str">
            <v/>
          </cell>
          <cell r="U674">
            <v>8442</v>
          </cell>
          <cell r="V674">
            <v>9197.25</v>
          </cell>
          <cell r="W674" t="str">
            <v>Annalene Conde May 7, 2026 12:31 PM</v>
          </cell>
          <cell r="X674" t="str">
            <v>2025-04-18 05:49</v>
          </cell>
          <cell r="Y674">
            <v>46048</v>
          </cell>
          <cell r="Z674" t="str">
            <v/>
          </cell>
          <cell r="AA674">
            <v>46048</v>
          </cell>
          <cell r="AB674" t="str">
            <v>Annalene Conde Jan 26, 2026 12:00 PM</v>
          </cell>
          <cell r="AC674">
            <v>46049</v>
          </cell>
          <cell r="AD674">
            <v>46063</v>
          </cell>
          <cell r="AE674">
            <v>46142</v>
          </cell>
          <cell r="AF674">
            <v>46142</v>
          </cell>
          <cell r="AG674">
            <v>46149</v>
          </cell>
          <cell r="AH674" t="str">
            <v>Jim Stefl</v>
          </cell>
          <cell r="AI674" t="str">
            <v/>
          </cell>
        </row>
        <row r="675">
          <cell r="C675">
            <v>87389</v>
          </cell>
          <cell r="D675" t="str">
            <v/>
          </cell>
          <cell r="E675" t="str">
            <v/>
          </cell>
          <cell r="F675" t="str">
            <v>Final</v>
          </cell>
          <cell r="G675" t="str">
            <v>Final Collected</v>
          </cell>
          <cell r="H675" t="str">
            <v>No</v>
          </cell>
          <cell r="I675" t="str">
            <v>Spencer Anderson</v>
          </cell>
          <cell r="J675" t="str">
            <v/>
          </cell>
          <cell r="K675" t="str">
            <v>https://panda-windows-and-doors.monday.com/protected_static/21046287/resources/2827144089/QQ_87389_-_SPW_Bruhn_Residence_-_03102026 - Signed for Panda.pdf</v>
          </cell>
          <cell r="L675" t="str">
            <v>https://panda-windows-and-doors.monday.com/protected_static/21046287/resources/2827145159/BP-70M55_20260313_075547.pdf</v>
          </cell>
          <cell r="M675" t="str">
            <v/>
          </cell>
          <cell r="N675" t="str">
            <v>https://panda-windows-and-doors.monday.com/protected_static/21046287/resources/2832364688/87389 Deposit Invoice.pdf</v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>
            <v>15270.75</v>
          </cell>
          <cell r="V675">
            <v>15579.25</v>
          </cell>
          <cell r="W675" t="str">
            <v>George Bails May 8, 2026 8:04 AM</v>
          </cell>
          <cell r="X675" t="str">
            <v/>
          </cell>
          <cell r="Y675">
            <v>46094</v>
          </cell>
          <cell r="Z675" t="str">
            <v/>
          </cell>
          <cell r="AA675">
            <v>46094</v>
          </cell>
          <cell r="AB675" t="str">
            <v>Annalene Conde Mar 13, 2026 9:20 AM</v>
          </cell>
          <cell r="AC675">
            <v>46094</v>
          </cell>
          <cell r="AD675">
            <v>46101</v>
          </cell>
          <cell r="AE675" t="str">
            <v/>
          </cell>
          <cell r="AF675">
            <v>46142</v>
          </cell>
          <cell r="AG675">
            <v>46149</v>
          </cell>
          <cell r="AH675" t="str">
            <v>Kevin Lasecki</v>
          </cell>
          <cell r="AI675" t="str">
            <v/>
          </cell>
        </row>
        <row r="676">
          <cell r="C676">
            <v>89242</v>
          </cell>
          <cell r="D676" t="str">
            <v/>
          </cell>
          <cell r="E676" t="str">
            <v/>
          </cell>
          <cell r="F676" t="str">
            <v>Final</v>
          </cell>
          <cell r="G676" t="str">
            <v>Final Collected</v>
          </cell>
          <cell r="H676" t="str">
            <v>No</v>
          </cell>
          <cell r="I676" t="str">
            <v>Tyler Clark</v>
          </cell>
          <cell r="J676" t="str">
            <v/>
          </cell>
          <cell r="K676" t="str">
            <v>https://panda-windows-and-doors.monday.com/protected_static/21046287/resources/2778483890/BP-70M55_20260223_072006.pdf</v>
          </cell>
          <cell r="L676" t="str">
            <v>https://panda-windows-and-doors.monday.com/protected_static/21046287/resources/2778484699/BP-70M55_20260223_072018.pdf</v>
          </cell>
          <cell r="M676" t="str">
            <v/>
          </cell>
          <cell r="N676" t="str">
            <v>https://panda-windows-and-doors.monday.com/protected_static/21046287/resources/2779566077/89242 Deposit Invoice.pdf</v>
          </cell>
          <cell r="O676" t="str">
            <v/>
          </cell>
          <cell r="P676" t="str">
            <v/>
          </cell>
          <cell r="Q676" t="str">
            <v/>
          </cell>
          <cell r="R676" t="str">
            <v>https://panda-windows-and-doors.monday.com/protected_static/21046287/resources/2865017934/Q89242 RICK MOORE - B.O.M.pdf, https://panda-windows-and-doors.monday.com/protected_static/21046287/resources/2865017928/Q89242 RICK MOORE -CUTLIST (MANUAL).pdf</v>
          </cell>
          <cell r="S676" t="str">
            <v>Completed - Closed Out</v>
          </cell>
          <cell r="T676" t="str">
            <v/>
          </cell>
          <cell r="U676">
            <v>8432</v>
          </cell>
          <cell r="V676">
            <v>8432</v>
          </cell>
          <cell r="W676" t="str">
            <v>George Bails May 8, 2026 4:43 PM</v>
          </cell>
          <cell r="X676" t="str">
            <v>2026-02-02 11:59</v>
          </cell>
          <cell r="Y676">
            <v>46076</v>
          </cell>
          <cell r="Z676" t="str">
            <v/>
          </cell>
          <cell r="AA676">
            <v>46076</v>
          </cell>
          <cell r="AB676" t="str">
            <v>Annalene Conde Feb 23, 2026 8:22 AM</v>
          </cell>
          <cell r="AC676">
            <v>46076</v>
          </cell>
          <cell r="AD676">
            <v>46083</v>
          </cell>
          <cell r="AE676">
            <v>46135</v>
          </cell>
          <cell r="AF676">
            <v>46135</v>
          </cell>
          <cell r="AG676">
            <v>46150</v>
          </cell>
          <cell r="AH676" t="str">
            <v>Dewey Hayes</v>
          </cell>
          <cell r="AI676" t="str">
            <v/>
          </cell>
        </row>
        <row r="677">
          <cell r="C677">
            <v>87346</v>
          </cell>
          <cell r="D677" t="str">
            <v/>
          </cell>
          <cell r="E677" t="str">
            <v/>
          </cell>
          <cell r="F677" t="str">
            <v>Final</v>
          </cell>
          <cell r="G677" t="str">
            <v>Final Collected</v>
          </cell>
          <cell r="H677" t="str">
            <v>No</v>
          </cell>
          <cell r="I677" t="str">
            <v>Trevor Benthagen</v>
          </cell>
          <cell r="J677" t="str">
            <v/>
          </cell>
          <cell r="K677" t="str">
            <v>https://panda-windows-and-doors.monday.com/protected_static/21046287/resources/2802386045/BP-70M55_20260304_065715.pdf</v>
          </cell>
          <cell r="L677" t="str">
            <v>https://panda-windows-and-doors.monday.com/protected_static/21046287/resources/2802386307/BP-70M55_20260304_065722.pdf</v>
          </cell>
          <cell r="M677" t="str">
            <v/>
          </cell>
          <cell r="N677" t="str">
            <v>https://panda-windows-and-doors.monday.com/protected_static/21046287/resources/2803163215/87346 Deposit Invoice.pdf, https://panda-windows-and-doors.monday.com/protected_static/21046287/resources/2805478853/87346 Deposit Invoice (Update SO).pdf</v>
          </cell>
          <cell r="O677" t="str">
            <v/>
          </cell>
          <cell r="P677" t="str">
            <v/>
          </cell>
          <cell r="Q677" t="str">
            <v/>
          </cell>
          <cell r="R677" t="str">
            <v>https://panda-windows-and-doors.monday.com/protected_static/21046287/resources/2857495464/Q87346 PROJECT W54 - B.O.M.pdf, https://panda-windows-and-doors.monday.com/protected_static/21046287/resources/2857495468/Q87346 PROJECT W54 - CUTLIST (MANUAL).pdf</v>
          </cell>
          <cell r="S677" t="str">
            <v>Completed - Closed Out</v>
          </cell>
          <cell r="T677" t="str">
            <v/>
          </cell>
          <cell r="U677">
            <v>11754</v>
          </cell>
          <cell r="V677">
            <v>11754</v>
          </cell>
          <cell r="W677" t="str">
            <v>George Bails May 18, 2026 2:56 PM</v>
          </cell>
          <cell r="X677" t="str">
            <v>2025-09-15 00:00</v>
          </cell>
          <cell r="Y677">
            <v>46085</v>
          </cell>
          <cell r="Z677" t="str">
            <v/>
          </cell>
          <cell r="AA677">
            <v>46085</v>
          </cell>
          <cell r="AB677" t="str">
            <v>Annalene Conde Mar 4, 2026 7:58 AM</v>
          </cell>
          <cell r="AC677">
            <v>46085</v>
          </cell>
          <cell r="AD677">
            <v>46085</v>
          </cell>
          <cell r="AE677">
            <v>46141</v>
          </cell>
          <cell r="AF677">
            <v>46141</v>
          </cell>
          <cell r="AG677">
            <v>46153</v>
          </cell>
          <cell r="AH677" t="str">
            <v>Pinnacle Window &amp; Door, LLC</v>
          </cell>
          <cell r="AI677" t="str">
            <v/>
          </cell>
        </row>
        <row r="678">
          <cell r="C678">
            <v>89482</v>
          </cell>
          <cell r="D678" t="str">
            <v/>
          </cell>
          <cell r="E678" t="str">
            <v/>
          </cell>
          <cell r="F678" t="str">
            <v>Final</v>
          </cell>
          <cell r="G678" t="str">
            <v>Final Collected</v>
          </cell>
          <cell r="H678" t="str">
            <v>No</v>
          </cell>
          <cell r="I678" t="str">
            <v>Tyler Clark</v>
          </cell>
          <cell r="J678" t="str">
            <v/>
          </cell>
          <cell r="K678" t="str">
            <v>https://panda-windows-and-doors.monday.com/protected_static/21046287/resources/2828882299/BP-70M55_20260313_151917.pdf</v>
          </cell>
          <cell r="L678" t="str">
            <v>https://panda-windows-and-doors.monday.com/protected_static/21046287/resources/2828882511/BP-70M55_20260313_151933.pdf</v>
          </cell>
          <cell r="M678" t="str">
            <v/>
          </cell>
          <cell r="N678" t="str">
            <v>https://panda-windows-and-doors.monday.com/protected_static/21046287/resources/2832569488/89482 Deposit Invoice.pdf</v>
          </cell>
          <cell r="O678" t="str">
            <v/>
          </cell>
          <cell r="P678" t="str">
            <v/>
          </cell>
          <cell r="Q678" t="str">
            <v/>
          </cell>
          <cell r="R678" t="str">
            <v>https://panda-windows-and-doors.monday.com/protected_static/21046287/resources/2882566863/Q89482_FTS60 MAT LIST.pdf, https://panda-windows-and-doors.monday.com/protected_static/21046287/resources/2882566866/Q89482_FTS60 CUT LIST.pdf, https://panda-windows-and-doors.monday.com/protected_static/21046287/resources/2882566880/Q89482_FTS60 OPT.pdf</v>
          </cell>
          <cell r="S678" t="str">
            <v>Completed - Closed Out</v>
          </cell>
          <cell r="T678" t="str">
            <v/>
          </cell>
          <cell r="U678">
            <v>4138</v>
          </cell>
          <cell r="V678">
            <v>4138</v>
          </cell>
          <cell r="W678" t="str">
            <v>George Bails May 12, 2026 10:47 AM</v>
          </cell>
          <cell r="X678" t="str">
            <v>2026-02-20 07:49</v>
          </cell>
          <cell r="Y678">
            <v>46094</v>
          </cell>
          <cell r="Z678" t="str">
            <v/>
          </cell>
          <cell r="AA678">
            <v>46094</v>
          </cell>
          <cell r="AB678" t="str">
            <v>Annalene Conde Mar 13, 2026 4:34 PM</v>
          </cell>
          <cell r="AC678">
            <v>46097</v>
          </cell>
          <cell r="AD678">
            <v>46111</v>
          </cell>
          <cell r="AE678">
            <v>46143</v>
          </cell>
          <cell r="AF678">
            <v>46143</v>
          </cell>
          <cell r="AG678">
            <v>46154</v>
          </cell>
          <cell r="AH678" t="str">
            <v>Michele Schuerger</v>
          </cell>
          <cell r="AI678" t="str">
            <v/>
          </cell>
        </row>
        <row r="679">
          <cell r="C679">
            <v>89372</v>
          </cell>
          <cell r="D679" t="str">
            <v/>
          </cell>
          <cell r="E679" t="str">
            <v/>
          </cell>
          <cell r="F679" t="str">
            <v>Final</v>
          </cell>
          <cell r="G679" t="str">
            <v>Final Collected</v>
          </cell>
          <cell r="H679" t="str">
            <v>No</v>
          </cell>
          <cell r="I679" t="str">
            <v>Spencer Anderson</v>
          </cell>
          <cell r="J679" t="str">
            <v/>
          </cell>
          <cell r="K679" t="str">
            <v>https://panda-windows-and-doors.monday.com/protected_static/21046287/resources/2835809817/Scharpf... Metzger Panda Doors.pdf</v>
          </cell>
          <cell r="L679" t="str">
            <v>https://panda-windows-and-doors.monday.com/protected_static/21046287/resources/2879118296/BP-70M55_20260317_121755.pdf</v>
          </cell>
          <cell r="M679" t="str">
            <v/>
          </cell>
          <cell r="N679" t="str">
            <v>https://panda-windows-and-doors.monday.com/protected_static/21046287/resources/2837901177/89372 Deposit Invoice.pdf</v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>
            <v>13866.93</v>
          </cell>
          <cell r="V679">
            <v>14147.07</v>
          </cell>
          <cell r="W679" t="str">
            <v>George Bails May 13, 2026 2:34 PM</v>
          </cell>
          <cell r="X679" t="str">
            <v/>
          </cell>
          <cell r="Y679">
            <v>46098</v>
          </cell>
          <cell r="Z679" t="str">
            <v/>
          </cell>
          <cell r="AA679">
            <v>46098</v>
          </cell>
          <cell r="AB679" t="str">
            <v>Annalene Conde Mar 17, 2026 1:30 PM</v>
          </cell>
          <cell r="AC679">
            <v>46099</v>
          </cell>
          <cell r="AD679">
            <v>46106</v>
          </cell>
          <cell r="AE679">
            <v>46148</v>
          </cell>
          <cell r="AF679">
            <v>46148</v>
          </cell>
          <cell r="AG679">
            <v>46155</v>
          </cell>
          <cell r="AH679" t="str">
            <v>Nalin Maxfield</v>
          </cell>
          <cell r="AI679" t="str">
            <v/>
          </cell>
        </row>
        <row r="680">
          <cell r="C680">
            <v>88919</v>
          </cell>
          <cell r="D680">
            <v>46105</v>
          </cell>
          <cell r="E680" t="str">
            <v/>
          </cell>
          <cell r="F680" t="str">
            <v>Final</v>
          </cell>
          <cell r="G680" t="str">
            <v>Final Collected</v>
          </cell>
          <cell r="H680" t="str">
            <v>No</v>
          </cell>
          <cell r="I680" t="str">
            <v>Trevor Benthagen, Efrain Zarate</v>
          </cell>
          <cell r="J680" t="str">
            <v/>
          </cell>
          <cell r="K680" t="str">
            <v>https://panda-windows-and-doors.monday.com/protected_static/21046287/resources/2697160286/BP-70M55_20260120_151055.pdf</v>
          </cell>
          <cell r="L680" t="str">
            <v>https://panda-windows-and-doors.monday.com/protected_static/21046287/resources/2697160141/BP-70M55_20260120_151102.pdf</v>
          </cell>
          <cell r="M680" t="str">
            <v/>
          </cell>
          <cell r="N680" t="str">
            <v>https://panda-windows-and-doors.monday.com/protected_static/21046287/resources/2700485344/88919 Deposit Invoice.pdf, https://panda-windows-and-doors.monday.com/protected_static/21046287/resources/2856936251/88919 Deposit Invoice CO 1.pdf</v>
          </cell>
          <cell r="O680" t="str">
            <v/>
          </cell>
          <cell r="P680" t="str">
            <v/>
          </cell>
          <cell r="Q680" t="str">
            <v/>
          </cell>
          <cell r="R680" t="str">
            <v>https://panda-windows-and-doors.monday.com/protected_static/21046287/resources/2865187000/Q88919_OPT_GINERI.pdf, https://panda-windows-and-doors.monday.com/protected_static/21046287/resources/2865186997/Q88919_BOM.pdf, https://panda-windows-and-doors.monday.com/protected_static/21046287/resources/2865187005/Q88919_CUTLIST_GINERI.pdf</v>
          </cell>
          <cell r="S680" t="str">
            <v>Completed - Closed Out</v>
          </cell>
          <cell r="T680" t="str">
            <v/>
          </cell>
          <cell r="U680">
            <v>8348</v>
          </cell>
          <cell r="V680">
            <v>11625.61</v>
          </cell>
          <cell r="W680" t="str">
            <v>George Bails May 15, 2026 11:25 AM</v>
          </cell>
          <cell r="X680" t="str">
            <v>2026-01-20 00:00</v>
          </cell>
          <cell r="Y680">
            <v>46042</v>
          </cell>
          <cell r="Z680" t="str">
            <v/>
          </cell>
          <cell r="AA680">
            <v>46042</v>
          </cell>
          <cell r="AB680" t="str">
            <v>Annalene Conde Jan 20, 2026 4:10 PM</v>
          </cell>
          <cell r="AC680">
            <v>46043</v>
          </cell>
          <cell r="AD680">
            <v>46069</v>
          </cell>
          <cell r="AE680">
            <v>46140</v>
          </cell>
          <cell r="AF680">
            <v>46140</v>
          </cell>
          <cell r="AG680">
            <v>46157</v>
          </cell>
          <cell r="AH680" t="str">
            <v>Pro Glass</v>
          </cell>
          <cell r="AI680">
            <v>46105</v>
          </cell>
        </row>
        <row r="681">
          <cell r="C681">
            <v>86134</v>
          </cell>
          <cell r="D681" t="str">
            <v/>
          </cell>
          <cell r="E681" t="str">
            <v/>
          </cell>
          <cell r="F681" t="str">
            <v>Final</v>
          </cell>
          <cell r="G681" t="str">
            <v>Final Collected</v>
          </cell>
          <cell r="H681" t="str">
            <v>No</v>
          </cell>
          <cell r="I681" t="str">
            <v>Trevor Benthagen, Efrain Zarate</v>
          </cell>
          <cell r="J681" t="str">
            <v/>
          </cell>
          <cell r="K681" t="str">
            <v>https://panda-windows-and-doors.monday.com/protected_static/21046287/resources/2764164892/DOC.pdf</v>
          </cell>
          <cell r="L681" t="str">
            <v>https://panda-windows-and-doors.monday.com/protected_static/21046287/resources/2764164806/BP-70M55_20260216_160450.pdf</v>
          </cell>
          <cell r="M681" t="str">
            <v/>
          </cell>
          <cell r="N681" t="str">
            <v>https://panda-windows-and-doors.monday.com/protected_static/21046287/resources/2735736809/86134 Deposit Invoice.pdf</v>
          </cell>
          <cell r="O681" t="str">
            <v/>
          </cell>
          <cell r="P681" t="str">
            <v/>
          </cell>
          <cell r="Q681" t="str">
            <v/>
          </cell>
          <cell r="R681" t="str">
            <v>https://panda-windows-and-doors.monday.com/protected_static/21046287/resources/2889294847/Q86134_ODYSSEY BOM.pdf, https://panda-windows-and-doors.monday.com/protected_static/21046287/resources/2889294860/Q86134_ODYSSEY OPT.pdf</v>
          </cell>
          <cell r="S681" t="str">
            <v>Completed - Closed Out</v>
          </cell>
          <cell r="T681" t="str">
            <v/>
          </cell>
          <cell r="U681">
            <v>8494</v>
          </cell>
          <cell r="V681">
            <v>10110.74</v>
          </cell>
          <cell r="W681" t="str">
            <v>Elizabet Lopez May 18, 2026 8:56 AM</v>
          </cell>
          <cell r="X681" t="str">
            <v/>
          </cell>
          <cell r="Y681">
            <v>46057</v>
          </cell>
          <cell r="Z681" t="str">
            <v/>
          </cell>
          <cell r="AA681">
            <v>46057</v>
          </cell>
          <cell r="AB681" t="str">
            <v>Annalene Conde Feb 4, 2026 8:41 AM</v>
          </cell>
          <cell r="AC681">
            <v>46070</v>
          </cell>
          <cell r="AD681">
            <v>46125</v>
          </cell>
          <cell r="AE681">
            <v>46148</v>
          </cell>
          <cell r="AF681">
            <v>46148</v>
          </cell>
          <cell r="AG681">
            <v>46157</v>
          </cell>
          <cell r="AH681" t="str">
            <v>Merlin Custom Home Builders</v>
          </cell>
          <cell r="AI681" t="str">
            <v/>
          </cell>
        </row>
        <row r="682">
          <cell r="C682">
            <v>90088</v>
          </cell>
          <cell r="D682" t="str">
            <v/>
          </cell>
          <cell r="E682">
            <v>1173</v>
          </cell>
          <cell r="F682" t="str">
            <v>Final</v>
          </cell>
          <cell r="G682" t="str">
            <v>Final Collected</v>
          </cell>
          <cell r="H682" t="str">
            <v>No</v>
          </cell>
          <cell r="I682" t="str">
            <v>Trevor Benthagen, Efrain Zarate</v>
          </cell>
          <cell r="J682" t="str">
            <v/>
          </cell>
          <cell r="K682" t="str">
            <v>https://panda-windows-and-doors.monday.com/protected_static/21046287/resources/2869320182/BP-70M55_20260331_141830.pdf</v>
          </cell>
          <cell r="L682" t="str">
            <v>https://panda-windows-and-doors.monday.com/protected_static/21046287/resources/2869320051/BP-70M55_20260331_141837.pdf</v>
          </cell>
          <cell r="M682" t="str">
            <v/>
          </cell>
          <cell r="N682" t="str">
            <v>https://panda-windows-and-doors.monday.com/protected_static/21046287/resources/2871914617/90088 Deposit Invoice.pdf</v>
          </cell>
          <cell r="O682" t="str">
            <v/>
          </cell>
          <cell r="P682" t="str">
            <v/>
          </cell>
          <cell r="Q682" t="str">
            <v/>
          </cell>
          <cell r="R682" t="str">
            <v>https://panda-windows-and-doors.monday.com/protected_static/21046287/resources/2917158217/Q90088_TS60 CUT LIST.pdf, https://panda-windows-and-doors.monday.com/protected_static/21046287/resources/2917158205/Q90088_TS60 OPT.pdf, https://panda-windows-and-doors.monday.com/protected_static/21046287/resources/2917158840/Q90088_TS60 BOM.pdf, https://panda-windows-and-doors.monday.com/protected_static/21046287/resources/2917158845/Q90088_TS60 MAT LIST.pdf</v>
          </cell>
          <cell r="S682" t="str">
            <v>Completed - Closed Out</v>
          </cell>
          <cell r="T682" t="str">
            <v/>
          </cell>
          <cell r="U682">
            <v>2638</v>
          </cell>
          <cell r="V682">
            <v>3079.41</v>
          </cell>
          <cell r="W682" t="str">
            <v>George Bails May 15, 2026 3:09 PM</v>
          </cell>
          <cell r="X682" t="str">
            <v>2026-03-27 00:00</v>
          </cell>
          <cell r="Y682">
            <v>46112</v>
          </cell>
          <cell r="Z682" t="str">
            <v/>
          </cell>
          <cell r="AA682">
            <v>46112</v>
          </cell>
          <cell r="AB682" t="str">
            <v>Annalene Conde Mar 31, 2026 3:24 PM</v>
          </cell>
          <cell r="AC682">
            <v>46113</v>
          </cell>
          <cell r="AD682">
            <v>46118</v>
          </cell>
          <cell r="AE682">
            <v>46156</v>
          </cell>
          <cell r="AF682">
            <v>46156</v>
          </cell>
          <cell r="AG682">
            <v>46157</v>
          </cell>
          <cell r="AH682" t="str">
            <v>Charles Chou</v>
          </cell>
          <cell r="AI682" t="str">
            <v/>
          </cell>
        </row>
        <row r="683">
          <cell r="C683">
            <v>89554</v>
          </cell>
          <cell r="D683">
            <v>46119</v>
          </cell>
          <cell r="E683" t="str">
            <v/>
          </cell>
          <cell r="F683" t="str">
            <v>Final</v>
          </cell>
          <cell r="G683" t="str">
            <v>Final Collected</v>
          </cell>
          <cell r="H683" t="str">
            <v>No</v>
          </cell>
          <cell r="I683" t="str">
            <v>Stefan Monetta</v>
          </cell>
          <cell r="J683" t="str">
            <v/>
          </cell>
          <cell r="K683" t="str">
            <v>https://panda-windows-and-doors.monday.com/protected_static/21046287/resources/2823636648/QQ#89554 Vanderveen Pivot with Sidelite 02262026 - signed.pdf, https://panda-windows-and-doors.monday.com/protected_static/21046287/resources/2828178026/02262026_(y^PANDA.pdf</v>
          </cell>
          <cell r="L683" t="str">
            <v>https://panda-windows-and-doors.monday.com/protected_static/21046287/resources/2823636910/Signed Backer.pdf</v>
          </cell>
          <cell r="M683" t="str">
            <v/>
          </cell>
          <cell r="N683" t="str">
            <v>https://panda-windows-and-doors.monday.com/protected_static/21046287/resources/2825192285/RSM Invoice Form (26).pdf, https://panda-windows-and-doors.monday.com/protected_static/21046287/resources/2828189109/89554 Deposit Invoice.pdf</v>
          </cell>
          <cell r="O683" t="str">
            <v/>
          </cell>
          <cell r="P683" t="str">
            <v/>
          </cell>
          <cell r="Q683" t="str">
            <v/>
          </cell>
          <cell r="R683" t="str">
            <v>https://panda-windows-and-doors.monday.com/protected_static/21046287/resources/2904199296/Q89554 VANDEERVEN PIVOT - B.O.M.pdf, https://panda-windows-and-doors.monday.com/protected_static/21046287/resources/2904199306/Q89554 VANDEERVEN PIVOT - CUTLIST (MANUAL).pdf</v>
          </cell>
          <cell r="S683" t="str">
            <v>Completed - Closed Out</v>
          </cell>
          <cell r="T683" t="str">
            <v/>
          </cell>
          <cell r="U683">
            <v>17304</v>
          </cell>
          <cell r="V683">
            <v>8797</v>
          </cell>
          <cell r="W683" t="str">
            <v>George Bails May 18, 2026 1:19 PM</v>
          </cell>
          <cell r="X683" t="str">
            <v>2026-03-12 00:00</v>
          </cell>
          <cell r="Y683">
            <v>46093</v>
          </cell>
          <cell r="Z683" t="str">
            <v/>
          </cell>
          <cell r="AA683">
            <v>46093</v>
          </cell>
          <cell r="AB683" t="str">
            <v>Annalene Conde Mar 12, 2026 8:27 AM</v>
          </cell>
          <cell r="AC683">
            <v>46094</v>
          </cell>
          <cell r="AD683">
            <v>46100</v>
          </cell>
          <cell r="AE683">
            <v>46156</v>
          </cell>
          <cell r="AF683">
            <v>46156</v>
          </cell>
          <cell r="AG683">
            <v>46160</v>
          </cell>
          <cell r="AH683" t="str">
            <v>Devoe Custom Homes</v>
          </cell>
          <cell r="AI683">
            <v>46119</v>
          </cell>
        </row>
        <row r="684">
          <cell r="C684">
            <v>84541</v>
          </cell>
          <cell r="D684" t="str">
            <v/>
          </cell>
          <cell r="E684" t="str">
            <v/>
          </cell>
          <cell r="F684" t="str">
            <v>Final</v>
          </cell>
          <cell r="G684" t="str">
            <v>Final Collected</v>
          </cell>
          <cell r="H684" t="str">
            <v>No</v>
          </cell>
          <cell r="I684" t="str">
            <v>Derrick McCall</v>
          </cell>
          <cell r="J684" t="str">
            <v/>
          </cell>
          <cell r="K684" t="str">
            <v>https://panda-windows-and-doors.monday.com/protected_static/21046287/resources/2440470971/QQ#84541 Golden Hill 09172025 - KK Signed 9.23.25.pdf</v>
          </cell>
          <cell r="L684" t="str">
            <v>https://panda-windows-and-doors.monday.com/protected_static/21046287/resources/2440470155/Q84541 Approved Backer.pdf</v>
          </cell>
          <cell r="M684" t="str">
            <v/>
          </cell>
          <cell r="N684" t="str">
            <v>https://panda-windows-and-doors.monday.com/protected_static/21046287/resources/2440816979/84541 Deposit Invoice.pdf</v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>Completed - Closed Out</v>
          </cell>
          <cell r="T684" t="str">
            <v/>
          </cell>
          <cell r="U684">
            <v>10262</v>
          </cell>
          <cell r="V684">
            <v>11427.04</v>
          </cell>
          <cell r="W684" t="str">
            <v>George Bails May 18, 2026 1:15 PM</v>
          </cell>
          <cell r="X684" t="str">
            <v>2025-03-21 00:00</v>
          </cell>
          <cell r="Y684">
            <v>45924</v>
          </cell>
          <cell r="Z684" t="str">
            <v/>
          </cell>
          <cell r="AA684">
            <v>45924</v>
          </cell>
          <cell r="AB684" t="str">
            <v>Jayme Truong Sep 24, 2025 9:57 AM</v>
          </cell>
          <cell r="AC684">
            <v>45924</v>
          </cell>
          <cell r="AD684">
            <v>45943</v>
          </cell>
          <cell r="AE684">
            <v>46153</v>
          </cell>
          <cell r="AF684">
            <v>46153</v>
          </cell>
          <cell r="AG684">
            <v>46160</v>
          </cell>
          <cell r="AH684" t="str">
            <v>Advanced Window, Inc.</v>
          </cell>
          <cell r="AI684" t="str">
            <v/>
          </cell>
        </row>
        <row r="685">
          <cell r="C685">
            <v>85454</v>
          </cell>
          <cell r="D685" t="str">
            <v/>
          </cell>
          <cell r="E685" t="str">
            <v/>
          </cell>
          <cell r="F685" t="str">
            <v>Final</v>
          </cell>
          <cell r="G685" t="str">
            <v>Final Collected</v>
          </cell>
          <cell r="H685" t="str">
            <v>No</v>
          </cell>
          <cell r="I685" t="str">
            <v>Trevor Benthagen, Efrain Zarate</v>
          </cell>
          <cell r="J685" t="str">
            <v/>
          </cell>
          <cell r="K685" t="str">
            <v>https://panda-windows-and-doors.monday.com/protected_static/21046287/resources/2576833431/BP-70M55_20251124_153546.pdf</v>
          </cell>
          <cell r="L685" t="str">
            <v>https://panda-windows-and-doors.monday.com/protected_static/21046287/resources/2576833528/BP-70M55_20251124_153556.pdf</v>
          </cell>
          <cell r="M685" t="str">
            <v/>
          </cell>
          <cell r="N685" t="str">
            <v>https://panda-windows-and-doors.monday.com/protected_static/21046287/resources/2613862768/85454 Deposit Invoice.pdf</v>
          </cell>
          <cell r="O685" t="str">
            <v/>
          </cell>
          <cell r="P685" t="str">
            <v/>
          </cell>
          <cell r="Q685" t="str">
            <v/>
          </cell>
          <cell r="R685" t="str">
            <v>https://panda-windows-and-doors.monday.com/protected_static/21046287/resources/2287632495/EAP Glass Service LLC - Sales Tax Exempt Certificate Multi-Jurisdiction 2021 - CO.pdf, https://panda-windows-and-doors.monday.com/protected_static/21046287/resources/2287632494/EAP Glass Inc, - Multi-Jurisdiction Tax Exempt  1-5-2024 - CO.pdf, https://panda-windows-and-doors.monday.com/protected_static/21046287/resources/2703450235/Q85454_TS30 BOM.pdf, https://panda-windows-and-doors.monday.com/protected_static/21046287/resources/2703450236/Q85454_TS30 CUT LIST.pdf, https://panda-windows-and-doors.monday.com/protected_static/21046287/resources/2703450232/Q85454_TS30 MAT LIST.pdf, https://panda-windows-and-doors.monday.com/protected_static/21046287/resources/2703450511/Q85454_TS30 OPT.pdf</v>
          </cell>
          <cell r="S685" t="str">
            <v>Awaiting Signed BOL</v>
          </cell>
          <cell r="T685" t="str">
            <v/>
          </cell>
          <cell r="U685">
            <v>14438</v>
          </cell>
          <cell r="V685">
            <v>14438</v>
          </cell>
          <cell r="W685" t="str">
            <v>George Bails May 19, 2026 9:38 AM</v>
          </cell>
          <cell r="X685" t="str">
            <v>2025-05-08 09:00</v>
          </cell>
          <cell r="Y685">
            <v>45985</v>
          </cell>
          <cell r="Z685" t="str">
            <v/>
          </cell>
          <cell r="AA685">
            <v>45985</v>
          </cell>
          <cell r="AB685" t="str">
            <v>Annalene Conde Nov 24, 2025 4:34 PM</v>
          </cell>
          <cell r="AC685">
            <v>45986</v>
          </cell>
          <cell r="AD685">
            <v>46021</v>
          </cell>
          <cell r="AE685">
            <v>46139</v>
          </cell>
          <cell r="AF685">
            <v>46139</v>
          </cell>
          <cell r="AG685">
            <v>46160</v>
          </cell>
          <cell r="AH685" t="str">
            <v>EAP Glass</v>
          </cell>
          <cell r="AI685" t="str">
            <v/>
          </cell>
        </row>
        <row r="686">
          <cell r="C686">
            <v>88131</v>
          </cell>
          <cell r="D686">
            <v>46057</v>
          </cell>
          <cell r="E686" t="str">
            <v/>
          </cell>
          <cell r="F686" t="str">
            <v>Final</v>
          </cell>
          <cell r="G686" t="str">
            <v>Final Collected</v>
          </cell>
          <cell r="H686" t="str">
            <v>No</v>
          </cell>
          <cell r="I686" t="str">
            <v>Stefan Monetta</v>
          </cell>
          <cell r="J686" t="str">
            <v/>
          </cell>
          <cell r="K686" t="str">
            <v>https://panda-windows-and-doors.monday.com/protected_static/21046287/resources/2571966045/Russell_Panda Order SIGNED 11-21-25_0001.pdf, https://panda-windows-and-doors.monday.com/protected_static/21046287/resources/2683648767/Russell_Panda Order SIGNED 1-13-26_0001.pdf</v>
          </cell>
          <cell r="L686" t="str">
            <v>https://panda-windows-and-doors.monday.com/protected_static/21046287/resources/2571895003/BP-70M55_20251121_112236.pdf, https://panda-windows-and-doors.monday.com/protected_static/21046287/resources/2683647268/BP-70M55_20260114_150512.pdf</v>
          </cell>
          <cell r="M686" t="str">
            <v/>
          </cell>
          <cell r="N686" t="str">
            <v>https://panda-windows-and-doors.monday.com/protected_static/21046287/resources/2579941113/88131 Deposit Invoice.pdf, https://panda-windows-and-doors.monday.com/protected_static/21046287/resources/2738403365/88131 Deposit Invoice CO 1.pdf</v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>
            <v>33237</v>
          </cell>
          <cell r="V686">
            <v>23831</v>
          </cell>
          <cell r="W686" t="str">
            <v>George Bails May 19, 2026 9:48 AM</v>
          </cell>
          <cell r="X686" t="str">
            <v>2025-10-31 04:41</v>
          </cell>
          <cell r="Y686">
            <v>45982</v>
          </cell>
          <cell r="Z686" t="str">
            <v/>
          </cell>
          <cell r="AA686">
            <v>45986</v>
          </cell>
          <cell r="AB686" t="str">
            <v>Annalene Conde Nov 21, 2025 12:48 PM</v>
          </cell>
          <cell r="AC686">
            <v>45986</v>
          </cell>
          <cell r="AD686" t="str">
            <v/>
          </cell>
          <cell r="AE686">
            <v>46142</v>
          </cell>
          <cell r="AF686">
            <v>46142</v>
          </cell>
          <cell r="AG686">
            <v>46160</v>
          </cell>
          <cell r="AH686" t="str">
            <v>Classic Carpentry Inc</v>
          </cell>
          <cell r="AI686">
            <v>46057</v>
          </cell>
        </row>
        <row r="687">
          <cell r="C687">
            <v>87641</v>
          </cell>
          <cell r="D687" t="str">
            <v/>
          </cell>
          <cell r="E687" t="str">
            <v/>
          </cell>
          <cell r="F687" t="str">
            <v>Final</v>
          </cell>
          <cell r="G687" t="str">
            <v>Final Collected</v>
          </cell>
          <cell r="H687" t="str">
            <v>No</v>
          </cell>
          <cell r="I687" t="str">
            <v>Derrick McCall</v>
          </cell>
          <cell r="J687" t="str">
            <v/>
          </cell>
          <cell r="K687" t="str">
            <v>https://panda-windows-and-doors.monday.com/protected_static/21046287/resources/2617243861/Q87641.pdf</v>
          </cell>
          <cell r="L687" t="str">
            <v>https://panda-windows-and-doors.monday.com/protected_static/21046287/resources/2617242353/BP-70M55_20251212_111257.pdf</v>
          </cell>
          <cell r="M687" t="str">
            <v/>
          </cell>
          <cell r="N687" t="str">
            <v>https://panda-windows-and-doors.monday.com/protected_static/21046287/resources/2617755407/95c4f05e-acbf-47d2-a38a-01d6b290e7d0.pdf</v>
          </cell>
          <cell r="O687" t="str">
            <v/>
          </cell>
          <cell r="P687" t="str">
            <v/>
          </cell>
          <cell r="Q687" t="str">
            <v/>
          </cell>
          <cell r="R687" t="str">
            <v>https://panda-windows-and-doors.monday.com/protected_static/21046287/resources/2800010614/Q87641_CUTLIST_GINERI.pdf, https://panda-windows-and-doors.monday.com/protected_static/21046287/resources/2800010617/Q87641_BOM.pdf, https://panda-windows-and-doors.monday.com/protected_static/21046287/resources/2800010610/Q87641_OPT_GINERI.pdf</v>
          </cell>
          <cell r="S687" t="str">
            <v>Completed - Closed Out</v>
          </cell>
          <cell r="T687" t="str">
            <v/>
          </cell>
          <cell r="U687">
            <v>13019</v>
          </cell>
          <cell r="V687">
            <v>15033.57</v>
          </cell>
          <cell r="W687" t="str">
            <v>Annalene Conde May 19, 2026 12:41 PM</v>
          </cell>
          <cell r="X687" t="str">
            <v>2025-10-07 00:00</v>
          </cell>
          <cell r="Y687">
            <v>46003</v>
          </cell>
          <cell r="Z687" t="str">
            <v/>
          </cell>
          <cell r="AA687">
            <v>46003</v>
          </cell>
          <cell r="AB687" t="str">
            <v>Annalene Conde Dec 12, 2025 12:17 PM</v>
          </cell>
          <cell r="AC687">
            <v>46003</v>
          </cell>
          <cell r="AD687">
            <v>46013</v>
          </cell>
          <cell r="AE687">
            <v>46147</v>
          </cell>
          <cell r="AF687">
            <v>46147</v>
          </cell>
          <cell r="AG687">
            <v>46161</v>
          </cell>
          <cell r="AH687" t="str">
            <v>Lunstrum Windows &amp; Doors</v>
          </cell>
          <cell r="AI687" t="str">
            <v/>
          </cell>
        </row>
        <row r="688">
          <cell r="C688">
            <v>89984</v>
          </cell>
          <cell r="D688" t="str">
            <v/>
          </cell>
          <cell r="E688" t="str">
            <v/>
          </cell>
          <cell r="F688" t="str">
            <v>Final</v>
          </cell>
          <cell r="G688" t="str">
            <v>Final Collected</v>
          </cell>
          <cell r="H688" t="str">
            <v>No</v>
          </cell>
          <cell r="I688" t="str">
            <v>Trevor Benthagen, Efrain Zarate</v>
          </cell>
          <cell r="J688" t="str">
            <v/>
          </cell>
          <cell r="K688" t="str">
            <v>https://panda-windows-and-doors.monday.com/protected_static/21046287/resources/2867607725/BP-70M55_20260331_075338.pdf</v>
          </cell>
          <cell r="L688" t="str">
            <v>https://panda-windows-and-doors.monday.com/protected_static/21046287/resources/2867607729/BP-70M55_20260331_075333.pdf</v>
          </cell>
          <cell r="M688" t="str">
            <v/>
          </cell>
          <cell r="N688" t="str">
            <v>https://panda-windows-and-doors.monday.com/protected_static/21046287/resources/2868230673/89984 DEPOSIT INVOICE.pdf</v>
          </cell>
          <cell r="O688" t="str">
            <v/>
          </cell>
          <cell r="P688" t="str">
            <v/>
          </cell>
          <cell r="Q688" t="str">
            <v/>
          </cell>
          <cell r="R688" t="str">
            <v>https://panda-windows-and-doors.monday.com/protected_static/21046287/resources/2917079261/Cutting List from 4_16_2026.pdf, https://panda-windows-and-doors.monday.com/protected_static/21046287/resources/2917079263/Glass_Panel Request General from 4_16_2026.pdf, https://panda-windows-and-doors.monday.com/protected_static/21046287/resources/2917079262/Stock List from 4_16_2026.pdf, https://panda-windows-and-doors.monday.com/protected_static/21046287/resources/2917079265/Assembly List Panda 001(1) from 4_16_2026.pdf, https://panda-windows-and-doors.monday.com/protected_static/21046287/resources/2917079259/Cut Optimisation from 4_16_2026.pdf</v>
          </cell>
          <cell r="S688" t="str">
            <v>Completed - Closed Out</v>
          </cell>
          <cell r="T688" t="str">
            <v/>
          </cell>
          <cell r="U688">
            <v>1897</v>
          </cell>
          <cell r="V688">
            <v>0</v>
          </cell>
          <cell r="W688" t="str">
            <v>Annalene Conde May 19, 2026 2:15 PM</v>
          </cell>
          <cell r="X688" t="str">
            <v>2026-03-23 00:00</v>
          </cell>
          <cell r="Y688">
            <v>46112</v>
          </cell>
          <cell r="Z688" t="str">
            <v/>
          </cell>
          <cell r="AA688">
            <v>46112</v>
          </cell>
          <cell r="AB688" t="str">
            <v>Annalene Conde Mar 31, 2026 8:58 AM</v>
          </cell>
          <cell r="AC688">
            <v>46112</v>
          </cell>
          <cell r="AD688">
            <v>46112</v>
          </cell>
          <cell r="AE688">
            <v>46161</v>
          </cell>
          <cell r="AF688" t="str">
            <v/>
          </cell>
          <cell r="AG688">
            <v>46161</v>
          </cell>
          <cell r="AH688" t="str">
            <v>Edge Design and Construction INC</v>
          </cell>
          <cell r="AI688" t="str">
            <v/>
          </cell>
        </row>
        <row r="689">
          <cell r="C689">
            <v>86373</v>
          </cell>
          <cell r="D689" t="str">
            <v/>
          </cell>
          <cell r="E689" t="str">
            <v/>
          </cell>
          <cell r="F689" t="str">
            <v>Final</v>
          </cell>
          <cell r="G689" t="str">
            <v>Final Collected</v>
          </cell>
          <cell r="H689" t="str">
            <v>No</v>
          </cell>
          <cell r="I689" t="str">
            <v>Luke Valles</v>
          </cell>
          <cell r="J689" t="str">
            <v/>
          </cell>
          <cell r="K689" t="str">
            <v>https://panda-windows-and-doors.monday.com/protected_static/21046287/resources/2695620141/Sign Off Squeri Residence 01.19.2026.pdf</v>
          </cell>
          <cell r="L689" t="str">
            <v>https://panda-windows-and-doors.monday.com/protected_static/21046287/resources/2694011871/86373 Squeri Signed Backer.pdf</v>
          </cell>
          <cell r="M689" t="str">
            <v/>
          </cell>
          <cell r="N689" t="str">
            <v>https://panda-windows-and-doors.monday.com/protected_static/21046287/resources/2699140686/86373 Deposit Invoice.pdf</v>
          </cell>
          <cell r="O689" t="str">
            <v/>
          </cell>
          <cell r="P689" t="str">
            <v/>
          </cell>
          <cell r="Q689" t="str">
            <v/>
          </cell>
          <cell r="R689" t="str">
            <v>https://panda-windows-and-doors.monday.com/protected_static/21046287/resources/2896301452/Q86373_TS68 BOM.pdf, https://panda-windows-and-doors.monday.com/protected_static/21046287/resources/2896301455/Q86373_TS68 OPT.pdf</v>
          </cell>
          <cell r="S689" t="str">
            <v>Completed - Closed Out</v>
          </cell>
          <cell r="T689" t="str">
            <v/>
          </cell>
          <cell r="U689">
            <v>12125</v>
          </cell>
          <cell r="V689">
            <v>12125</v>
          </cell>
          <cell r="W689" t="str">
            <v>Annalene Conde May 19, 2026 3:52 PM</v>
          </cell>
          <cell r="X689" t="str">
            <v>2025-08-19 00:00</v>
          </cell>
          <cell r="Y689">
            <v>46042</v>
          </cell>
          <cell r="Z689" t="str">
            <v/>
          </cell>
          <cell r="AA689">
            <v>46042</v>
          </cell>
          <cell r="AB689" t="str">
            <v>Annalene Conde Jan 20, 2026 8:14 AM</v>
          </cell>
          <cell r="AC689">
            <v>46042</v>
          </cell>
          <cell r="AD689">
            <v>46045</v>
          </cell>
          <cell r="AE689">
            <v>46161</v>
          </cell>
          <cell r="AF689" t="str">
            <v/>
          </cell>
          <cell r="AG689">
            <v>46161</v>
          </cell>
          <cell r="AH689" t="str">
            <v>Specialty North American</v>
          </cell>
          <cell r="AI689" t="str">
            <v/>
          </cell>
        </row>
        <row r="690">
          <cell r="C690">
            <v>89987</v>
          </cell>
          <cell r="D690" t="str">
            <v/>
          </cell>
          <cell r="E690" t="str">
            <v/>
          </cell>
          <cell r="F690" t="str">
            <v>Final</v>
          </cell>
          <cell r="G690" t="str">
            <v>Final Collected</v>
          </cell>
          <cell r="H690" t="str">
            <v>No</v>
          </cell>
          <cell r="I690" t="str">
            <v>Tyler Clark</v>
          </cell>
          <cell r="J690" t="str">
            <v/>
          </cell>
          <cell r="K690" t="str">
            <v>https://panda-windows-and-doors.monday.com/protected_static/21046287/resources/2869505392/BP-70M55_20260331_150855.pdf</v>
          </cell>
          <cell r="L690" t="str">
            <v>https://panda-windows-and-doors.monday.com/protected_static/21046287/resources/2869422400/BP-70M55_20260331_150855.pdf</v>
          </cell>
          <cell r="M690" t="str">
            <v/>
          </cell>
          <cell r="N690" t="str">
            <v>https://panda-windows-and-doors.monday.com/protected_static/21046287/resources/2871946938/89987 Deposit Invoice.pdf</v>
          </cell>
          <cell r="O690" t="str">
            <v/>
          </cell>
          <cell r="P690" t="str">
            <v/>
          </cell>
          <cell r="Q690" t="str">
            <v/>
          </cell>
          <cell r="R690" t="str">
            <v>https://panda-windows-and-doors.monday.com/protected_static/21046287/resources/2919537206/Q89987_PDTS64 BOM.pdf, https://panda-windows-and-doors.monday.com/protected_static/21046287/resources/2919537208/Q89987_PDTS64 OPT.pdf</v>
          </cell>
          <cell r="S690" t="str">
            <v>Completed - Closed Out</v>
          </cell>
          <cell r="T690" t="str">
            <v/>
          </cell>
          <cell r="U690">
            <v>10075.18</v>
          </cell>
          <cell r="V690">
            <v>0</v>
          </cell>
          <cell r="W690" t="str">
            <v>Annalene Conde May 20, 2026 10:37 AM</v>
          </cell>
          <cell r="X690" t="str">
            <v>2026-03-31 00:00</v>
          </cell>
          <cell r="Y690">
            <v>46113</v>
          </cell>
          <cell r="Z690" t="str">
            <v/>
          </cell>
          <cell r="AA690">
            <v>46113</v>
          </cell>
          <cell r="AB690" t="str">
            <v>Annalene Conde Apr 1, 2026 8:03 AM</v>
          </cell>
          <cell r="AC690">
            <v>46113</v>
          </cell>
          <cell r="AD690">
            <v>46115</v>
          </cell>
          <cell r="AE690">
            <v>46162</v>
          </cell>
          <cell r="AF690" t="str">
            <v/>
          </cell>
          <cell r="AG690">
            <v>46162</v>
          </cell>
          <cell r="AH690" t="str">
            <v>Luciano Johnson - SGWA-1</v>
          </cell>
          <cell r="AI690" t="str">
            <v/>
          </cell>
        </row>
        <row r="691">
          <cell r="C691">
            <v>89555</v>
          </cell>
          <cell r="D691" t="str">
            <v/>
          </cell>
          <cell r="E691" t="str">
            <v/>
          </cell>
          <cell r="F691" t="str">
            <v>Final</v>
          </cell>
          <cell r="G691" t="str">
            <v>Final Collected</v>
          </cell>
          <cell r="H691" t="str">
            <v>No</v>
          </cell>
          <cell r="I691" t="str">
            <v>Derrick McCall</v>
          </cell>
          <cell r="J691" t="str">
            <v/>
          </cell>
          <cell r="K691" t="str">
            <v>https://panda-windows-and-doors.monday.com/protected_static/21046287/resources/2813614329/MX-M3550_20260306_150007.pdf</v>
          </cell>
          <cell r="L691" t="str">
            <v>https://panda-windows-and-doors.monday.com/protected_static/21046287/resources/2813613494/BP-70M55_20260309_105501.pdf</v>
          </cell>
          <cell r="M691" t="str">
            <v/>
          </cell>
          <cell r="N691" t="str">
            <v>https://panda-windows-and-doors.monday.com/protected_static/21046287/resources/2813868567/89555 Deposit Invoice.pdf</v>
          </cell>
          <cell r="O691" t="str">
            <v/>
          </cell>
          <cell r="P691" t="str">
            <v/>
          </cell>
          <cell r="Q691" t="str">
            <v/>
          </cell>
          <cell r="R691" t="str">
            <v>https://panda-windows-and-doors.monday.com/protected_static/21046287/resources/2916226229/Glass_Panel request General from 4_17_2026.pdf, https://panda-windows-and-doors.monday.com/protected_static/21046287/resources/2916226230/Cutting list from 4_17_2026.pdf, https://panda-windows-and-doors.monday.com/protected_static/21046287/resources/2916226232/Cut optimisation from 4_17_2026.pdf, https://panda-windows-and-doors.monday.com/protected_static/21046287/resources/2916226234/Assembly List Panda 001(1) from 4_17_2026.pdf, https://panda-windows-and-doors.monday.com/protected_static/21046287/resources/2916226669/Stock list from 4_17_2026.pdf</v>
          </cell>
          <cell r="S691" t="str">
            <v>Completed - Closed Out</v>
          </cell>
          <cell r="T691" t="str">
            <v/>
          </cell>
          <cell r="U691">
            <v>10888</v>
          </cell>
          <cell r="V691">
            <v>12940.29</v>
          </cell>
          <cell r="W691" t="str">
            <v>George Bails May 20, 2026 2:07 PM</v>
          </cell>
          <cell r="X691" t="str">
            <v>2026-02-26 00:00</v>
          </cell>
          <cell r="Y691">
            <v>46090</v>
          </cell>
          <cell r="Z691" t="str">
            <v/>
          </cell>
          <cell r="AA691">
            <v>46090</v>
          </cell>
          <cell r="AB691" t="str">
            <v>Annalene Conde Mar 9, 2026 11:54 AM</v>
          </cell>
          <cell r="AC691">
            <v>46090</v>
          </cell>
          <cell r="AD691">
            <v>46099</v>
          </cell>
          <cell r="AE691">
            <v>46157</v>
          </cell>
          <cell r="AF691">
            <v>46157</v>
          </cell>
          <cell r="AG691">
            <v>46162</v>
          </cell>
          <cell r="AH691" t="str">
            <v>Premium Glass</v>
          </cell>
          <cell r="AI691" t="str">
            <v/>
          </cell>
        </row>
        <row r="692">
          <cell r="C692">
            <v>85495</v>
          </cell>
          <cell r="D692" t="str">
            <v/>
          </cell>
          <cell r="E692" t="str">
            <v/>
          </cell>
          <cell r="F692" t="str">
            <v>Final</v>
          </cell>
          <cell r="G692" t="str">
            <v>Final Collected</v>
          </cell>
          <cell r="H692" t="str">
            <v>No</v>
          </cell>
          <cell r="I692" t="str">
            <v>Derrick McCall</v>
          </cell>
          <cell r="J692" t="str">
            <v/>
          </cell>
          <cell r="K692" t="str">
            <v>https://panda-windows-and-doors.monday.com/protected_static/21046287/resources/2689759779/QQ#85495 Encinitas 01162026.pdf</v>
          </cell>
          <cell r="L692" t="str">
            <v>https://panda-windows-and-doors.monday.com/protected_static/21046287/resources/2689758729/Q85495 AB.pdf, https://panda-windows-and-doors.monday.com/protected_static/21046287/resources/2857891334/Accounting Copier_20260326_111918.pdf</v>
          </cell>
          <cell r="M692" t="str">
            <v/>
          </cell>
          <cell r="N692" t="str">
            <v>https://panda-windows-and-doors.monday.com/protected_static/21046287/resources/2693683723/85495 Deposit Invoice.pdf</v>
          </cell>
          <cell r="O692" t="str">
            <v/>
          </cell>
          <cell r="P692" t="str">
            <v/>
          </cell>
          <cell r="Q692" t="str">
            <v/>
          </cell>
          <cell r="R692" t="str">
            <v>https://panda-windows-and-doors.monday.com/protected_static/21046287/resources/2854809014/MF 5251 Q85495 ENCINITAS - B.O.M.pdf, https://panda-windows-and-doors.monday.com/protected_static/21046287/resources/2854809006/MF 5251 Q85495 ENCINITAS - CUTLIST (GINERI).pdf, https://panda-windows-and-doors.monday.com/protected_static/21046287/resources/2854809010/MF 5251 Q85495 ENCINITAS - OPT.pdf, https://panda-windows-and-doors.monday.com/protected_static/21046287/resources/2854809021/Q85495_UTS60_R1_KYNAR.pdf</v>
          </cell>
          <cell r="S692" t="str">
            <v>Completed - Closed Out</v>
          </cell>
          <cell r="T692" t="str">
            <v/>
          </cell>
          <cell r="U692">
            <v>29175</v>
          </cell>
          <cell r="V692">
            <v>29175</v>
          </cell>
          <cell r="W692" t="str">
            <v>George Bails May 22, 2026 7:42 AM</v>
          </cell>
          <cell r="X692" t="str">
            <v>2025-05-09 00:00</v>
          </cell>
          <cell r="Y692">
            <v>46038</v>
          </cell>
          <cell r="Z692" t="str">
            <v/>
          </cell>
          <cell r="AA692">
            <v>46038</v>
          </cell>
          <cell r="AB692" t="str">
            <v>Annalene Conde Jan 16, 2026 3:18 PM</v>
          </cell>
          <cell r="AC692">
            <v>46041</v>
          </cell>
          <cell r="AD692">
            <v>46083</v>
          </cell>
          <cell r="AE692">
            <v>46155</v>
          </cell>
          <cell r="AF692">
            <v>46156</v>
          </cell>
          <cell r="AG692">
            <v>46163</v>
          </cell>
          <cell r="AH692" t="str">
            <v>Discount Glass &amp; Mirror</v>
          </cell>
          <cell r="AI692" t="str">
            <v/>
          </cell>
        </row>
        <row r="693">
          <cell r="C693">
            <v>89481</v>
          </cell>
          <cell r="D693" t="str">
            <v/>
          </cell>
          <cell r="E693" t="str">
            <v/>
          </cell>
          <cell r="F693" t="str">
            <v>Final</v>
          </cell>
          <cell r="G693" t="str">
            <v>Final Collected</v>
          </cell>
          <cell r="H693" t="str">
            <v>No</v>
          </cell>
          <cell r="I693" t="str">
            <v>Efrain Zarate, Trevor Benthagen</v>
          </cell>
          <cell r="J693" t="str">
            <v/>
          </cell>
          <cell r="K693" t="str">
            <v>https://panda-windows-and-doors.monday.com/protected_static/21046287/resources/2847781648/QQ#89481 81st Plc Remodel 03172026_ Panda Quote.pdf</v>
          </cell>
          <cell r="L693" t="str">
            <v>https://panda-windows-and-doors.monday.com/protected_static/21046287/resources/2847781950/BP-70M55_20260319_143908.pdf</v>
          </cell>
          <cell r="M693" t="str">
            <v/>
          </cell>
          <cell r="N693" t="str">
            <v>https://panda-windows-and-doors.monday.com/protected_static/21046287/resources/2848335229/89481 Deposit Invoice.pdf</v>
          </cell>
          <cell r="O693" t="str">
            <v/>
          </cell>
          <cell r="P693" t="str">
            <v/>
          </cell>
          <cell r="Q693" t="str">
            <v/>
          </cell>
          <cell r="R693" t="str">
            <v>https://panda-windows-and-doors.monday.com/protected_static/21046287/resources/2896033202/Q89481 81ST PLACE REMODEL - B.O.M.pdf, https://panda-windows-and-doors.monday.com/protected_static/21046287/resources/2896033215/Q89481 81ST PLACE REMODEL - CUTLIST (MANUAL).pdf</v>
          </cell>
          <cell r="S693" t="str">
            <v>Awaiting Signed BOL</v>
          </cell>
          <cell r="T693" t="str">
            <v/>
          </cell>
          <cell r="U693">
            <v>9493</v>
          </cell>
          <cell r="V693">
            <v>9493</v>
          </cell>
          <cell r="W693" t="str">
            <v>George Bails May 26, 2026 9:11 AM</v>
          </cell>
          <cell r="X693" t="str">
            <v>2026-02-20 00:00</v>
          </cell>
          <cell r="Y693">
            <v>46100</v>
          </cell>
          <cell r="Z693" t="str">
            <v/>
          </cell>
          <cell r="AA693">
            <v>46100</v>
          </cell>
          <cell r="AB693" t="str">
            <v>Annalene Conde Mar 19, 2026 3:36 PM</v>
          </cell>
          <cell r="AC693">
            <v>46104</v>
          </cell>
          <cell r="AD693">
            <v>46115</v>
          </cell>
          <cell r="AE693">
            <v>46150</v>
          </cell>
          <cell r="AF693">
            <v>46150</v>
          </cell>
          <cell r="AG693">
            <v>46164</v>
          </cell>
          <cell r="AH693" t="str">
            <v>Marvin Design Gallery</v>
          </cell>
          <cell r="AI693" t="str">
            <v/>
          </cell>
        </row>
        <row r="694">
          <cell r="C694">
            <v>89698</v>
          </cell>
          <cell r="D694" t="str">
            <v/>
          </cell>
          <cell r="E694" t="str">
            <v/>
          </cell>
          <cell r="F694" t="str">
            <v>Final</v>
          </cell>
          <cell r="G694" t="str">
            <v>Final Collected</v>
          </cell>
          <cell r="H694" t="str">
            <v>No</v>
          </cell>
          <cell r="I694" t="str">
            <v>Tyler Clark</v>
          </cell>
          <cell r="J694" t="str">
            <v/>
          </cell>
          <cell r="K694" t="str">
            <v>https://panda-windows-and-doors.monday.com/protected_static/21046287/resources/2803027752/BP-70M55_20260304_092209.pdf</v>
          </cell>
          <cell r="L694" t="str">
            <v>https://panda-windows-and-doors.monday.com/protected_static/21046287/resources/2803028315/BP-70M55_20260304_092209.pdf</v>
          </cell>
          <cell r="M694" t="str">
            <v/>
          </cell>
          <cell r="N694" t="str">
            <v>https://panda-windows-and-doors.monday.com/protected_static/21046287/resources/2808693134/7d180b3a-1cf6-4cea-97f7-9f899b0eac35.pdf</v>
          </cell>
          <cell r="O694" t="str">
            <v/>
          </cell>
          <cell r="P694" t="str">
            <v/>
          </cell>
          <cell r="Q694" t="str">
            <v/>
          </cell>
          <cell r="R694" t="str">
            <v>https://panda-windows-and-doors.monday.com/protected_static/21046287/resources/2892131701/Q89698 THE F PENTHOUSE - B.O.M.pdf, https://panda-windows-and-doors.monday.com/protected_static/21046287/resources/2892131697/Q89698 THE F PENTHOUSE - CUTLIST (MANUAL).pdf</v>
          </cell>
          <cell r="S694" t="str">
            <v>Completed - Closed Out</v>
          </cell>
          <cell r="T694" t="str">
            <v/>
          </cell>
          <cell r="U694">
            <v>8935.32</v>
          </cell>
          <cell r="V694">
            <v>10215.67</v>
          </cell>
          <cell r="W694" t="str">
            <v>George Bails May 29, 2026 9:16 AM</v>
          </cell>
          <cell r="X694" t="str">
            <v>2026-02-25 15:38</v>
          </cell>
          <cell r="Y694">
            <v>46085</v>
          </cell>
          <cell r="Z694" t="str">
            <v/>
          </cell>
          <cell r="AA694">
            <v>46085</v>
          </cell>
          <cell r="AB694" t="str">
            <v>Annalene Conde Mar 4, 2026 10:51 AM</v>
          </cell>
          <cell r="AC694">
            <v>46086</v>
          </cell>
          <cell r="AD694">
            <v>46091</v>
          </cell>
          <cell r="AE694" t="str">
            <v/>
          </cell>
          <cell r="AF694">
            <v>46163</v>
          </cell>
          <cell r="AG694">
            <v>46168</v>
          </cell>
          <cell r="AH694" t="str">
            <v>Donatello Bonasera</v>
          </cell>
          <cell r="AI694" t="str">
            <v/>
          </cell>
        </row>
        <row r="695">
          <cell r="C695">
            <v>89718</v>
          </cell>
          <cell r="D695" t="str">
            <v/>
          </cell>
          <cell r="E695" t="str">
            <v/>
          </cell>
          <cell r="F695" t="str">
            <v>Final</v>
          </cell>
          <cell r="G695" t="str">
            <v>Final Collected</v>
          </cell>
          <cell r="H695" t="str">
            <v>No</v>
          </cell>
          <cell r="I695" t="str">
            <v>Luke Valles, Jameson Dahn</v>
          </cell>
          <cell r="J695" t="str">
            <v/>
          </cell>
          <cell r="K695" t="str">
            <v>https://panda-windows-and-doors.monday.com/protected_static/21046287/resources/2832830823/Proposal 89718 Billiter signed.pdf</v>
          </cell>
          <cell r="L695" t="str">
            <v>https://panda-windows-and-doors.monday.com/protected_static/21046287/resources/2832605440/Q 89718 Backer SIGNED.pdf</v>
          </cell>
          <cell r="M695" t="str">
            <v/>
          </cell>
          <cell r="N695" t="str">
            <v>https://panda-windows-and-doors.monday.com/protected_static/21046287/resources/2832920278/89718 Deposit Invoice.pdf</v>
          </cell>
          <cell r="O695" t="str">
            <v/>
          </cell>
          <cell r="P695" t="str">
            <v/>
          </cell>
          <cell r="Q695" t="str">
            <v/>
          </cell>
          <cell r="R695" t="str">
            <v>https://panda-windows-and-doors.monday.com/protected_static/21046287/resources/2882861861/Q89718_FTS60 MAT LIST.pdf, https://panda-windows-and-doors.monday.com/protected_static/21046287/resources/2882861872/Q89718_FTS60 BOM.pdf, https://panda-windows-and-doors.monday.com/protected_static/21046287/resources/2882861870/Q89718_FTS60 CUT LIST.pdf, https://panda-windows-and-doors.monday.com/protected_static/21046287/resources/2882861877/Q89718_FTS60 OPT.pdf</v>
          </cell>
          <cell r="S695" t="str">
            <v>Awaiting Signed BOL</v>
          </cell>
          <cell r="T695" t="str">
            <v/>
          </cell>
          <cell r="U695">
            <v>9796.19</v>
          </cell>
          <cell r="V695">
            <v>11055.52</v>
          </cell>
          <cell r="W695" t="str">
            <v>George Bails May 29, 2026 9:35 AM</v>
          </cell>
          <cell r="X695" t="str">
            <v>2026-03-05 13:57</v>
          </cell>
          <cell r="Y695">
            <v>46097</v>
          </cell>
          <cell r="Z695" t="str">
            <v/>
          </cell>
          <cell r="AA695">
            <v>46097</v>
          </cell>
          <cell r="AB695" t="str">
            <v>Annalene Conde Mar 16, 2026 1:48 PM</v>
          </cell>
          <cell r="AC695">
            <v>46097</v>
          </cell>
          <cell r="AD695">
            <v>46105</v>
          </cell>
          <cell r="AE695">
            <v>46153</v>
          </cell>
          <cell r="AF695">
            <v>46153</v>
          </cell>
          <cell r="AG695">
            <v>46169</v>
          </cell>
          <cell r="AH695" t="str">
            <v>Greg Sonneville</v>
          </cell>
          <cell r="AI695" t="str">
            <v/>
          </cell>
        </row>
        <row r="696">
          <cell r="C696">
            <v>89678</v>
          </cell>
          <cell r="D696" t="str">
            <v/>
          </cell>
          <cell r="E696" t="str">
            <v/>
          </cell>
          <cell r="F696" t="str">
            <v>Final</v>
          </cell>
          <cell r="G696" t="str">
            <v>Final Collected</v>
          </cell>
          <cell r="H696" t="str">
            <v>No</v>
          </cell>
          <cell r="I696" t="str">
            <v>Luke Valles, Jameson Dahn</v>
          </cell>
          <cell r="J696" t="str">
            <v/>
          </cell>
          <cell r="K696" t="str">
            <v>https://panda-windows-and-doors.monday.com/protected_static/21046287/resources/2809939521/QQ #89678 - Perrotta-Hoboken - 03052026.pdf</v>
          </cell>
          <cell r="L696" t="str">
            <v>https://panda-windows-and-doors.monday.com/protected_static/21046287/resources/2809939123/Perrotta Backer SIGNED 3-6-26.pdf</v>
          </cell>
          <cell r="M696" t="str">
            <v/>
          </cell>
          <cell r="N696" t="str">
            <v>https://panda-windows-and-doors.monday.com/protected_static/21046287/resources/2817026421/89678 Deposit Invoice.pdf</v>
          </cell>
          <cell r="O696" t="str">
            <v/>
          </cell>
          <cell r="P696" t="str">
            <v/>
          </cell>
          <cell r="Q696" t="str">
            <v/>
          </cell>
          <cell r="R696" t="str">
            <v>https://panda-windows-and-doors.monday.com/protected_static/21046287/resources/2918934108/Q89678_FTS60 BOM.pdf, https://panda-windows-and-doors.monday.com/protected_static/21046287/resources/2918934109/Q89678_FTS60 CUT LIST.pdf, https://panda-windows-and-doors.monday.com/protected_static/21046287/resources/2918934116/Q89678_FTS60 MAT LIST.pdf, https://panda-windows-and-doors.monday.com/protected_static/21046287/resources/2918934104/Q89678_FTS60 OPT.pdf</v>
          </cell>
          <cell r="S696" t="str">
            <v>Customer Pick Up Scheduled</v>
          </cell>
          <cell r="T696" t="str">
            <v/>
          </cell>
          <cell r="U696">
            <v>7777</v>
          </cell>
          <cell r="V696">
            <v>8977</v>
          </cell>
          <cell r="W696" t="str">
            <v>George Bails May 29, 2026 9:38 AM</v>
          </cell>
          <cell r="X696" t="str">
            <v>2026-03-06 00:00</v>
          </cell>
          <cell r="Y696">
            <v>46087</v>
          </cell>
          <cell r="Z696" t="str">
            <v/>
          </cell>
          <cell r="AA696">
            <v>46087</v>
          </cell>
          <cell r="AB696" t="str">
            <v>Annalene Conde Mar 6, 2026 3:10 PM</v>
          </cell>
          <cell r="AC696">
            <v>46087</v>
          </cell>
          <cell r="AD696">
            <v>46153</v>
          </cell>
          <cell r="AE696">
            <v>46153</v>
          </cell>
          <cell r="AF696">
            <v>46155</v>
          </cell>
          <cell r="AG696">
            <v>46169</v>
          </cell>
          <cell r="AH696" t="str">
            <v>Onsite Products</v>
          </cell>
          <cell r="AI696" t="str">
            <v/>
          </cell>
        </row>
        <row r="697">
          <cell r="C697">
            <v>88931</v>
          </cell>
          <cell r="D697" t="str">
            <v/>
          </cell>
          <cell r="E697" t="str">
            <v/>
          </cell>
          <cell r="F697" t="str">
            <v>Final</v>
          </cell>
          <cell r="G697" t="str">
            <v>Final Collected</v>
          </cell>
          <cell r="H697" t="str">
            <v>No</v>
          </cell>
          <cell r="I697" t="str">
            <v>Trevor Benthagen, Efrain Zarate</v>
          </cell>
          <cell r="J697" t="str">
            <v/>
          </cell>
          <cell r="K697" t="str">
            <v>https://panda-windows-and-doors.monday.com/protected_static/21046287/resources/2836317709/BP-70M55_20260317_150420.pdf</v>
          </cell>
          <cell r="L697" t="str">
            <v>https://panda-windows-and-doors.monday.com/protected_static/21046287/resources/2836317481/BP-70M55_20260317_150426.pdf</v>
          </cell>
          <cell r="M697" t="str">
            <v/>
          </cell>
          <cell r="N697" t="str">
            <v>https://panda-windows-and-doors.monday.com/protected_static/21046287/resources/2838029837/88931 Deposit Invoice.pdf</v>
          </cell>
          <cell r="O697" t="str">
            <v/>
          </cell>
          <cell r="P697" t="str">
            <v/>
          </cell>
          <cell r="Q697" t="str">
            <v/>
          </cell>
          <cell r="R697" t="str">
            <v>https://panda-windows-and-doors.monday.com/protected_static/21046287/resources/2925635591/Q88931_TS60 BOM.pdf, https://panda-windows-and-doors.monday.com/protected_static/21046287/resources/2925635598/Q88931_TS60 MAT LIST.pdf, https://panda-windows-and-doors.monday.com/protected_static/21046287/resources/2925635597/Q88931_TS60 OPT.pdf, https://panda-windows-and-doors.monday.com/protected_static/21046287/resources/2925635596/Q88931_TS60 CUT LIST.pdf</v>
          </cell>
          <cell r="S697" t="str">
            <v>Schedule Pick Up</v>
          </cell>
          <cell r="T697" t="str">
            <v/>
          </cell>
          <cell r="U697">
            <v>5000</v>
          </cell>
          <cell r="V697">
            <v>2102</v>
          </cell>
          <cell r="W697" t="str">
            <v>George Bails May 29, 2026 8:54 AM</v>
          </cell>
          <cell r="X697" t="str">
            <v>2026-02-10 00:00</v>
          </cell>
          <cell r="Y697">
            <v>46098</v>
          </cell>
          <cell r="Z697" t="str">
            <v/>
          </cell>
          <cell r="AA697">
            <v>46098</v>
          </cell>
          <cell r="AB697" t="str">
            <v>Annalene Conde Mar 17, 2026 4:09 PM</v>
          </cell>
          <cell r="AC697">
            <v>46099</v>
          </cell>
          <cell r="AD697">
            <v>46099</v>
          </cell>
          <cell r="AE697">
            <v>46161</v>
          </cell>
          <cell r="AF697">
            <v>46161</v>
          </cell>
          <cell r="AG697">
            <v>46169</v>
          </cell>
          <cell r="AH697" t="str">
            <v>Joey Pecoraro</v>
          </cell>
          <cell r="AI697" t="str">
            <v/>
          </cell>
        </row>
        <row r="698">
          <cell r="C698">
            <v>89658</v>
          </cell>
          <cell r="D698" t="str">
            <v/>
          </cell>
          <cell r="E698" t="str">
            <v/>
          </cell>
          <cell r="F698" t="str">
            <v>Final</v>
          </cell>
          <cell r="G698" t="str">
            <v>Final Collected</v>
          </cell>
          <cell r="H698" t="str">
            <v>No</v>
          </cell>
          <cell r="I698" t="str">
            <v>Efrain Zarate, Trevor Benthagen</v>
          </cell>
          <cell r="J698" t="str">
            <v/>
          </cell>
          <cell r="K698" t="str">
            <v>https://panda-windows-and-doors.monday.com/protected_static/21046287/resources/2861489580/Panda order for Elaine Clifford.pdf</v>
          </cell>
          <cell r="L698" t="str">
            <v>https://panda-windows-and-doors.monday.com/protected_static/21046287/resources/2861489747/BP-70M55_20260327_143450.pdf</v>
          </cell>
          <cell r="M698" t="str">
            <v/>
          </cell>
          <cell r="N698" t="str">
            <v>https://panda-windows-and-doors.monday.com/protected_static/21046287/resources/2861678079/89658 Deposit Invoice.pdf</v>
          </cell>
          <cell r="O698" t="str">
            <v/>
          </cell>
          <cell r="P698" t="str">
            <v/>
          </cell>
          <cell r="Q698" t="str">
            <v/>
          </cell>
          <cell r="R698" t="str">
            <v>https://panda-windows-and-doors.monday.com/protected_static/21046287/resources/2925443853/Q89658_TS60 BOM.pdf, https://panda-windows-and-doors.monday.com/protected_static/21046287/resources/2925443858/Q89658_TS60 MAT LIST.pdf, https://panda-windows-and-doors.monday.com/protected_static/21046287/resources/2925443857/Q89658_TS60 CUT LIST.pdf, https://panda-windows-and-doors.monday.com/protected_static/21046287/resources/2925443854/Q89658_TS60 OPT.pdf</v>
          </cell>
          <cell r="S698" t="str">
            <v>Customer Pick Up Scheduled</v>
          </cell>
          <cell r="T698" t="str">
            <v/>
          </cell>
          <cell r="U698">
            <v>2800</v>
          </cell>
          <cell r="V698">
            <v>3267.91</v>
          </cell>
          <cell r="W698" t="str">
            <v>George Bails May 29, 2026 1:48 PM</v>
          </cell>
          <cell r="X698" t="str">
            <v>2026-03-27 00:00</v>
          </cell>
          <cell r="Y698">
            <v>46108</v>
          </cell>
          <cell r="Z698" t="str">
            <v/>
          </cell>
          <cell r="AA698">
            <v>46108</v>
          </cell>
          <cell r="AB698" t="str">
            <v>Annalene Conde Mar 27, 2026 3:44 PM</v>
          </cell>
          <cell r="AC698">
            <v>46108</v>
          </cell>
          <cell r="AD698">
            <v>46115</v>
          </cell>
          <cell r="AE698">
            <v>46156</v>
          </cell>
          <cell r="AF698">
            <v>46156</v>
          </cell>
          <cell r="AG698">
            <v>46171</v>
          </cell>
          <cell r="AH698" t="str">
            <v>LV Windows &amp; Doors</v>
          </cell>
          <cell r="AI698" t="str">
            <v/>
          </cell>
        </row>
        <row r="699">
          <cell r="C699">
            <v>84873</v>
          </cell>
          <cell r="D699" t="str">
            <v/>
          </cell>
          <cell r="E699" t="str">
            <v/>
          </cell>
          <cell r="F699" t="str">
            <v>Final</v>
          </cell>
          <cell r="G699" t="str">
            <v>Final Collected</v>
          </cell>
          <cell r="H699" t="str">
            <v>No</v>
          </cell>
          <cell r="I699" t="str">
            <v>Tyler Clark</v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>Completed - Closed Out</v>
          </cell>
          <cell r="T699" t="str">
            <v/>
          </cell>
          <cell r="U699" t="str">
            <v/>
          </cell>
          <cell r="V699" t="str">
            <v/>
          </cell>
          <cell r="W699" t="str">
            <v>Annalene Conde May 29, 2026 12:14 PM</v>
          </cell>
          <cell r="X699" t="str">
            <v/>
          </cell>
          <cell r="Y699">
            <v>46030</v>
          </cell>
          <cell r="Z699" t="str">
            <v/>
          </cell>
          <cell r="AA699">
            <v>46153</v>
          </cell>
          <cell r="AB699" t="str">
            <v>Annalene Conde Jan 8, 2026 9:03 AM</v>
          </cell>
          <cell r="AC699" t="str">
            <v/>
          </cell>
          <cell r="AD699">
            <v>46147</v>
          </cell>
          <cell r="AE699">
            <v>46153</v>
          </cell>
          <cell r="AF699" t="str">
            <v/>
          </cell>
          <cell r="AG699">
            <v>46171</v>
          </cell>
          <cell r="AH699" t="str">
            <v/>
          </cell>
          <cell r="AI699" t="str">
            <v/>
          </cell>
        </row>
        <row r="700">
          <cell r="C700">
            <v>90374</v>
          </cell>
          <cell r="D700" t="str">
            <v/>
          </cell>
          <cell r="E700" t="str">
            <v>1469</v>
          </cell>
          <cell r="F700" t="str">
            <v>Final</v>
          </cell>
          <cell r="G700" t="str">
            <v>Final Collected</v>
          </cell>
          <cell r="H700" t="str">
            <v>No</v>
          </cell>
          <cell r="I700" t="str">
            <v>Efrain Zarate</v>
          </cell>
          <cell r="J700" t="str">
            <v/>
          </cell>
          <cell r="K700" t="str">
            <v>https://panda-windows-and-doors.monday.com/protected_static/21046287/resources/2920199036/BP-70M55_20260422_154328.pdf</v>
          </cell>
          <cell r="L700" t="str">
            <v>https://panda-windows-and-doors.monday.com/protected_static/21046287/resources/2920198873/BP-70M55_20260422_154337.pdf</v>
          </cell>
          <cell r="M700" t="str">
            <v/>
          </cell>
          <cell r="N700" t="str">
            <v>https://panda-windows-and-doors.monday.com/protected_static/21046287/resources/2922030997/90374 Deposit Invoice.pdf</v>
          </cell>
          <cell r="O700" t="str">
            <v/>
          </cell>
          <cell r="P700" t="str">
            <v/>
          </cell>
          <cell r="Q700" t="str">
            <v/>
          </cell>
          <cell r="R700" t="str">
            <v>https://panda-windows-and-doors.monday.com/protected_static/21046287/resources/2967841190/Q90374_TS60 MAT LIST.pdf, https://panda-windows-and-doors.monday.com/protected_static/21046287/resources/2967841248/Q90374_TS60 CUT LIST.pdf, https://panda-windows-and-doors.monday.com/protected_static/21046287/resources/2967841200/Q90374_TS60 OPT.pdf, https://panda-windows-and-doors.monday.com/protected_static/21046287/resources/2967841215/Q90374_TS60 BOM.pdf</v>
          </cell>
          <cell r="S700" t="str">
            <v>Completed - Closed Out</v>
          </cell>
          <cell r="T700" t="str">
            <v/>
          </cell>
          <cell r="U700">
            <v>3689</v>
          </cell>
          <cell r="V700">
            <v>3688.25</v>
          </cell>
          <cell r="W700" t="str">
            <v>George Bails May 29, 2026 2:26 PM</v>
          </cell>
          <cell r="X700" t="str">
            <v>2026-04-16 00:00</v>
          </cell>
          <cell r="Y700">
            <v>46134</v>
          </cell>
          <cell r="Z700" t="str">
            <v/>
          </cell>
          <cell r="AA700">
            <v>46134</v>
          </cell>
          <cell r="AB700" t="str">
            <v>Amit Iarochevsky Apr 22, 2026 4:37 PM</v>
          </cell>
          <cell r="AC700">
            <v>46135</v>
          </cell>
          <cell r="AD700">
            <v>46136</v>
          </cell>
          <cell r="AE700" t="str">
            <v/>
          </cell>
          <cell r="AF700">
            <v>46171</v>
          </cell>
          <cell r="AG700">
            <v>46171</v>
          </cell>
          <cell r="AH700" t="str">
            <v>Martin Doors Of Nevada</v>
          </cell>
          <cell r="AI700" t="str">
            <v/>
          </cell>
        </row>
        <row r="701">
          <cell r="C701">
            <v>89649</v>
          </cell>
          <cell r="D701" t="str">
            <v/>
          </cell>
          <cell r="E701" t="str">
            <v/>
          </cell>
          <cell r="F701" t="str">
            <v>Final</v>
          </cell>
          <cell r="G701" t="str">
            <v>Final Collected</v>
          </cell>
          <cell r="H701" t="str">
            <v>No</v>
          </cell>
          <cell r="I701" t="str">
            <v>Troy Kite</v>
          </cell>
          <cell r="J701" t="str">
            <v/>
          </cell>
          <cell r="K701" t="str">
            <v>https://panda-windows-and-doors.monday.com/protected_static/21046287/resources/2806397891/QQ # 89649 355 DEERFIELD SLIDING DOORS  3-4-2026 (1).pdf</v>
          </cell>
          <cell r="L701" t="str">
            <v>https://panda-windows-and-doors.monday.com/protected_static/21046287/resources/2806392457/BP-70M55_20260305_111944.pdf</v>
          </cell>
          <cell r="M701" t="str">
            <v/>
          </cell>
          <cell r="N701" t="str">
            <v>https://panda-windows-and-doors.monday.com/protected_static/21046287/resources/2807186441/89649 Deposit Invoice.pdf</v>
          </cell>
          <cell r="O701" t="str">
            <v/>
          </cell>
          <cell r="P701" t="str">
            <v/>
          </cell>
          <cell r="Q701" t="str">
            <v/>
          </cell>
          <cell r="R701" t="str">
            <v>https://panda-windows-and-doors.monday.com/protected_static/21046287/resources/2899065428/Q89649_TS30 OPT.pdf, https://panda-windows-and-doors.monday.com/protected_static/21046287/resources/2899065426/Q89649_TS30 CUT LIST.pdf, https://panda-windows-and-doors.monday.com/protected_static/21046287/resources/2899065426/Q89649_TS30 CUT LIST.pdf</v>
          </cell>
          <cell r="S701" t="str">
            <v>Awaiting Signed BOL</v>
          </cell>
          <cell r="T701" t="str">
            <v/>
          </cell>
          <cell r="U701">
            <v>17176</v>
          </cell>
          <cell r="V701">
            <v>17175</v>
          </cell>
          <cell r="W701" t="str">
            <v>George Bails Jun 3, 2026 2:58 PM</v>
          </cell>
          <cell r="X701" t="str">
            <v>2026-03-05 00:00</v>
          </cell>
          <cell r="Y701">
            <v>46086</v>
          </cell>
          <cell r="Z701" t="str">
            <v/>
          </cell>
          <cell r="AA701">
            <v>46086</v>
          </cell>
          <cell r="AB701" t="str">
            <v>Annalene Conde Mar 5, 2026 12:46 PM</v>
          </cell>
          <cell r="AC701">
            <v>46086</v>
          </cell>
          <cell r="AD701">
            <v>46101</v>
          </cell>
          <cell r="AE701">
            <v>46175</v>
          </cell>
          <cell r="AF701">
            <v>46175</v>
          </cell>
          <cell r="AG701">
            <v>46176</v>
          </cell>
          <cell r="AH701" t="str">
            <v>CSC Aluminum &amp; Glass Inc.</v>
          </cell>
          <cell r="AI701" t="str">
            <v/>
          </cell>
        </row>
        <row r="702">
          <cell r="C702">
            <v>87426</v>
          </cell>
          <cell r="D702" t="str">
            <v/>
          </cell>
          <cell r="E702" t="str">
            <v/>
          </cell>
          <cell r="F702" t="str">
            <v>Final</v>
          </cell>
          <cell r="G702" t="str">
            <v>Final Collected</v>
          </cell>
          <cell r="H702" t="str">
            <v>No</v>
          </cell>
          <cell r="I702" t="str">
            <v>Efrain Zarate, Trevor Benthagen</v>
          </cell>
          <cell r="J702" t="str">
            <v/>
          </cell>
          <cell r="K702" t="str">
            <v>https://panda-windows-and-doors.monday.com/protected_static/21046287/resources/2685450327/QQ#87426 Lot 147 Addition 09232025.pdf</v>
          </cell>
          <cell r="L702" t="str">
            <v>https://panda-windows-and-doors.monday.com/protected_static/21046287/resources/2685450049/BP-70M55_20260115_085241.pdf</v>
          </cell>
          <cell r="M702" t="str">
            <v/>
          </cell>
          <cell r="N702" t="str">
            <v>https://panda-windows-and-doors.monday.com/protected_static/21046287/resources/2686454811/87426 Deposit Invoice.pdf</v>
          </cell>
          <cell r="O702" t="str">
            <v/>
          </cell>
          <cell r="P702" t="str">
            <v/>
          </cell>
          <cell r="Q702" t="str">
            <v/>
          </cell>
          <cell r="R702" t="str">
            <v>https://panda-windows-and-doors.monday.com/protected_static/21046287/resources/2892405452/MF 5274 Q87426 LOT 147 ADDITION - B.O.M.pdf, https://panda-windows-and-doors.monday.com/protected_static/21046287/resources/2892405453/MF 5274 Q87426 LOT 147 ADDITION - CUTLIST (GINERI).pdf, https://panda-windows-and-doors.monday.com/protected_static/21046287/resources/2892405449/MF 5274 Q87426 LOT 147 ADDITION - CUTLIST (MANUAL).pdf, https://panda-windows-and-doors.monday.com/protected_static/21046287/resources/2892405461/MF 5274 Q87426 LOT 147 ADDITION - OPT.pdf</v>
          </cell>
          <cell r="S702" t="str">
            <v>Schedule Pick Up</v>
          </cell>
          <cell r="T702" t="str">
            <v/>
          </cell>
          <cell r="U702">
            <v>94654</v>
          </cell>
          <cell r="V702">
            <v>110507.46</v>
          </cell>
          <cell r="W702" t="str">
            <v>George Bails Jun 12, 2026 12:03 PM</v>
          </cell>
          <cell r="X702" t="str">
            <v>2025-09-22 00:00</v>
          </cell>
          <cell r="Y702">
            <v>46037</v>
          </cell>
          <cell r="Z702" t="str">
            <v/>
          </cell>
          <cell r="AA702">
            <v>46037</v>
          </cell>
          <cell r="AB702" t="str">
            <v>Annalene Conde Jan 15, 2026 9:49 AM</v>
          </cell>
          <cell r="AC702">
            <v>46037</v>
          </cell>
          <cell r="AD702">
            <v>46084</v>
          </cell>
          <cell r="AE702">
            <v>46176</v>
          </cell>
          <cell r="AF702" t="str">
            <v/>
          </cell>
          <cell r="AG702">
            <v>46176</v>
          </cell>
          <cell r="AH702" t="str">
            <v>Crisci Builders</v>
          </cell>
          <cell r="AI702" t="str">
            <v/>
          </cell>
        </row>
        <row r="703">
          <cell r="C703">
            <v>87792</v>
          </cell>
          <cell r="D703" t="str">
            <v/>
          </cell>
          <cell r="E703" t="str">
            <v/>
          </cell>
          <cell r="F703" t="str">
            <v>Final</v>
          </cell>
          <cell r="G703" t="str">
            <v>Final Collected</v>
          </cell>
          <cell r="H703" t="str">
            <v>No</v>
          </cell>
          <cell r="I703" t="str">
            <v>Derrick McCall</v>
          </cell>
          <cell r="J703" t="str">
            <v/>
          </cell>
          <cell r="K703" t="str">
            <v>https://panda-windows-and-doors.monday.com/protected_static/21046287/resources/2503375105/I.Kirkpatrick Const. Stewart Job #AP87792.pdf</v>
          </cell>
          <cell r="L703" t="str">
            <v>https://panda-windows-and-doors.monday.com/protected_static/21046287/resources/2503375567/Q87792B.pdf</v>
          </cell>
          <cell r="M703" t="str">
            <v/>
          </cell>
          <cell r="N703" t="str">
            <v>https://panda-windows-and-doors.monday.com/protected_static/21046287/resources/2508464751/87792 Deposit Invoice.pdf</v>
          </cell>
          <cell r="O703" t="str">
            <v/>
          </cell>
          <cell r="P703" t="str">
            <v/>
          </cell>
          <cell r="Q703" t="str">
            <v/>
          </cell>
          <cell r="R703" t="str">
            <v>https://panda-windows-and-doors.monday.com/protected_static/21046287/resources/2853587105/MF 5167 Q87792 STEWART RES. 3 - B.O.M.pdf, https://panda-windows-and-doors.monday.com/protected_static/21046287/resources/2853587099/MF 5167 Q87792 STEWART RES. 3 - CUTLIST (GINERI).pdf, https://panda-windows-and-doors.monday.com/protected_static/21046287/resources/2853587098/MF 5167 Q87792 STEWART RES. 3 - MATERIAL ORDER.pdf, https://panda-windows-and-doors.monday.com/protected_static/21046287/resources/2853587096/MF 5167 Q87792 STEWART RES. 3 - OPT.pdf, https://panda-windows-and-doors.monday.com/protected_static/21046287/resources/2853587106/Q87792 STEWART RES. 3 - BENDING MATERIALS (REVISED).pdf, https://panda-windows-and-doors.monday.com/protected_static/21046287/resources/2853587257/Q87792 STEWART RES. 3 - CUTLIST (MANUAL)(REVISED).pdf, https://panda-windows-and-doors.monday.com/protected_static/21046287/resources/2853587246/Q87792_S45_S90R2S_KYNAR_REVISED.pdf</v>
          </cell>
          <cell r="S703" t="str">
            <v>Packaging/Crating</v>
          </cell>
          <cell r="T703" t="str">
            <v/>
          </cell>
          <cell r="U703">
            <v>49733</v>
          </cell>
          <cell r="V703">
            <v>54208.99</v>
          </cell>
          <cell r="W703" t="str">
            <v>Annalene Conde Jun 3, 2026 3:21 PM</v>
          </cell>
          <cell r="X703" t="str">
            <v>2025-10-20 00:00</v>
          </cell>
          <cell r="Y703">
            <v>45952</v>
          </cell>
          <cell r="Z703" t="str">
            <v/>
          </cell>
          <cell r="AA703">
            <v>45952</v>
          </cell>
          <cell r="AB703" t="str">
            <v>Annalene Conde Oct 22, 2025 12:26 PM</v>
          </cell>
          <cell r="AC703">
            <v>45954</v>
          </cell>
          <cell r="AD703">
            <v>45992</v>
          </cell>
          <cell r="AE703">
            <v>46164</v>
          </cell>
          <cell r="AF703">
            <v>46164</v>
          </cell>
          <cell r="AG703">
            <v>46176</v>
          </cell>
          <cell r="AH703" t="str">
            <v>iKirkpatrick Construction</v>
          </cell>
          <cell r="AI703" t="str">
            <v/>
          </cell>
        </row>
        <row r="704">
          <cell r="C704">
            <v>86090</v>
          </cell>
          <cell r="D704" t="str">
            <v/>
          </cell>
          <cell r="E704" t="str">
            <v/>
          </cell>
          <cell r="F704" t="str">
            <v>Final</v>
          </cell>
          <cell r="G704" t="str">
            <v>Final Collected</v>
          </cell>
          <cell r="H704" t="str">
            <v>No</v>
          </cell>
          <cell r="I704" t="str">
            <v>Jameson Dahn</v>
          </cell>
          <cell r="J704" t="str">
            <v/>
          </cell>
          <cell r="K704" t="str">
            <v>https://panda-windows-and-doors.monday.com/protected_static/21046287/resources/2449666939/Q 86090 Edwards Steel _Signed.pdf</v>
          </cell>
          <cell r="L704" t="str">
            <v>https://panda-windows-and-doors.monday.com/protected_static/21046287/resources/2449667507/Edwards Steel_Signed Backer.pdf</v>
          </cell>
          <cell r="M704" t="str">
            <v/>
          </cell>
          <cell r="N704" t="str">
            <v>https://panda-windows-and-doors.monday.com/protected_static/21046287/resources/2454414595/86090 Deposit Invoice.pdf</v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>Completed - Closed Out</v>
          </cell>
          <cell r="T704" t="str">
            <v/>
          </cell>
          <cell r="U704">
            <v>50634</v>
          </cell>
          <cell r="V704">
            <v>50633</v>
          </cell>
          <cell r="W704" t="str">
            <v>George Bails Jun 12, 2026 11:19 AM</v>
          </cell>
          <cell r="X704" t="str">
            <v>2025-06-17 00:00</v>
          </cell>
          <cell r="Y704">
            <v>45929</v>
          </cell>
          <cell r="Z704" t="str">
            <v/>
          </cell>
          <cell r="AA704">
            <v>45929</v>
          </cell>
          <cell r="AB704" t="str">
            <v>Jayme Truong Sep 29, 2025 8:46 AM</v>
          </cell>
          <cell r="AC704">
            <v>45930</v>
          </cell>
          <cell r="AD704">
            <v>45936</v>
          </cell>
          <cell r="AE704">
            <v>46171</v>
          </cell>
          <cell r="AF704">
            <v>46171</v>
          </cell>
          <cell r="AG704">
            <v>46177</v>
          </cell>
          <cell r="AH704" t="str">
            <v>Pella Windows and Doors of Columbus</v>
          </cell>
          <cell r="AI704" t="str">
            <v/>
          </cell>
        </row>
        <row r="705">
          <cell r="C705">
            <v>87632</v>
          </cell>
          <cell r="D705">
            <v>46154</v>
          </cell>
          <cell r="E705" t="str">
            <v/>
          </cell>
          <cell r="F705" t="str">
            <v>Change Order</v>
          </cell>
          <cell r="G705" t="str">
            <v>Final Collected</v>
          </cell>
          <cell r="H705" t="str">
            <v>No</v>
          </cell>
          <cell r="I705" t="str">
            <v>Trevor Benthagen</v>
          </cell>
          <cell r="J705" t="str">
            <v/>
          </cell>
          <cell r="K705" t="str">
            <v>https://panda-windows-and-doors.monday.com/protected_static/21046287/resources/2818508067/BP-70M55_20260310_154701.pdf</v>
          </cell>
          <cell r="L705" t="str">
            <v>https://panda-windows-and-doors.monday.com/protected_static/21046287/resources/2818507923/BP-70M55_20260310_154711.pdf</v>
          </cell>
          <cell r="M705" t="str">
            <v/>
          </cell>
          <cell r="N705" t="str">
            <v>https://panda-windows-and-doors.monday.com/protected_static/21046287/resources/2820330026/87632 Deposit Invoice.pdf, https://panda-windows-and-doors.monday.com/protected_static/21046287/resources/2967782508/87632 Deposit Invoice CO 1.pdf</v>
          </cell>
          <cell r="O705" t="str">
            <v/>
          </cell>
          <cell r="P705" t="str">
            <v/>
          </cell>
          <cell r="Q705" t="str">
            <v/>
          </cell>
          <cell r="R705" t="str">
            <v>https://panda-windows-and-doors.monday.com/protected_static/21046287/resources/2857237214/Q87632 SHIELDS SLIDER - B.O.M.pdf, https://panda-windows-and-doors.monday.com/protected_static/21046287/resources/2857237200/Q87632 SHIELDS SLIDER - CUTLIST (MANUAL).pdf</v>
          </cell>
          <cell r="S705" t="str">
            <v>Completed - Closed Out</v>
          </cell>
          <cell r="T705" t="str">
            <v/>
          </cell>
          <cell r="U705">
            <v>4653</v>
          </cell>
          <cell r="V705">
            <v>5422.14</v>
          </cell>
          <cell r="W705" t="str">
            <v>George Bails Jun 8, 2026 8:27 AM</v>
          </cell>
          <cell r="X705" t="str">
            <v>2025-09-27 11:41</v>
          </cell>
          <cell r="Y705">
            <v>46091</v>
          </cell>
          <cell r="Z705" t="str">
            <v/>
          </cell>
          <cell r="AA705">
            <v>46091</v>
          </cell>
          <cell r="AB705" t="str">
            <v>Annalene Conde Mar 10, 2026 4:47 PM</v>
          </cell>
          <cell r="AC705">
            <v>46092</v>
          </cell>
          <cell r="AD705">
            <v>46092</v>
          </cell>
          <cell r="AE705">
            <v>46142</v>
          </cell>
          <cell r="AF705">
            <v>46142</v>
          </cell>
          <cell r="AG705">
            <v>46178</v>
          </cell>
          <cell r="AH705" t="str">
            <v>Zachary Shields</v>
          </cell>
          <cell r="AI705">
            <v>46154</v>
          </cell>
        </row>
        <row r="706">
          <cell r="C706">
            <v>89414</v>
          </cell>
          <cell r="D706" t="str">
            <v/>
          </cell>
          <cell r="E706" t="str">
            <v/>
          </cell>
          <cell r="F706" t="str">
            <v>Final</v>
          </cell>
          <cell r="G706" t="str">
            <v>Final Collected</v>
          </cell>
          <cell r="H706" t="str">
            <v>No</v>
          </cell>
          <cell r="I706" t="str">
            <v>Spencer Anderson</v>
          </cell>
          <cell r="J706" t="str">
            <v/>
          </cell>
          <cell r="K706" t="str">
            <v>https://panda-windows-and-doors.monday.com/protected_static/21046287/resources/2807141044/QQ #89414 - SPW_Smith Entry Door - 02172026 (002).pdf</v>
          </cell>
          <cell r="L706" t="str">
            <v>https://panda-windows-and-doors.monday.com/protected_static/21046287/resources/2812796092/BP-70M55_20260309_071644.pdf</v>
          </cell>
          <cell r="M706" t="str">
            <v/>
          </cell>
          <cell r="N706" t="str">
            <v>https://panda-windows-and-doors.monday.com/protected_static/21046287/resources/2813917355/89414 Deposit Invoice.pdf</v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>Awaiting Signed BOL</v>
          </cell>
          <cell r="T706" t="str">
            <v/>
          </cell>
          <cell r="U706">
            <v>7878</v>
          </cell>
          <cell r="V706">
            <v>7878</v>
          </cell>
          <cell r="W706" t="str">
            <v>George Bails Jun 8, 2026 8:18 AM</v>
          </cell>
          <cell r="X706" t="str">
            <v/>
          </cell>
          <cell r="Y706">
            <v>46086</v>
          </cell>
          <cell r="Z706" t="str">
            <v/>
          </cell>
          <cell r="AA706">
            <v>46090</v>
          </cell>
          <cell r="AB706" t="str">
            <v>Annalene Conde Mar 5, 2026 4:02 PM</v>
          </cell>
          <cell r="AC706">
            <v>46090</v>
          </cell>
          <cell r="AD706">
            <v>46097</v>
          </cell>
          <cell r="AE706">
            <v>46171</v>
          </cell>
          <cell r="AF706">
            <v>46171</v>
          </cell>
          <cell r="AG706">
            <v>46178</v>
          </cell>
          <cell r="AH706" t="str">
            <v>Eric McMullen</v>
          </cell>
          <cell r="AI706" t="str">
            <v/>
          </cell>
        </row>
        <row r="707">
          <cell r="C707">
            <v>87591</v>
          </cell>
          <cell r="D707">
            <v>46115</v>
          </cell>
          <cell r="E707" t="str">
            <v/>
          </cell>
          <cell r="F707" t="str">
            <v>Final</v>
          </cell>
          <cell r="G707" t="str">
            <v>Final Collected</v>
          </cell>
          <cell r="H707" t="str">
            <v>No</v>
          </cell>
          <cell r="I707" t="str">
            <v>Stefan Monetta</v>
          </cell>
          <cell r="J707" t="str">
            <v/>
          </cell>
          <cell r="K707" t="str">
            <v>https://panda-windows-and-doors.monday.com/protected_static/21046287/resources/2732911027/20260203154453447 (002).pdf</v>
          </cell>
          <cell r="L707" t="str">
            <v>https://panda-windows-and-doors.monday.com/protected_static/21046287/resources/2732910326/BP-70M55_20260203_134651.pdf</v>
          </cell>
          <cell r="M707" t="str">
            <v/>
          </cell>
          <cell r="N707" t="str">
            <v>https://panda-windows-and-doors.monday.com/protected_static/21046287/resources/2735246103/87591 Deposit Invoice.pdf</v>
          </cell>
          <cell r="O707" t="str">
            <v/>
          </cell>
          <cell r="P707" t="str">
            <v/>
          </cell>
          <cell r="Q707" t="str">
            <v/>
          </cell>
          <cell r="R707" t="str">
            <v>https://panda-windows-and-doors.monday.com/protected_static/21046287/resources/2896571757/Q87591_TS30 OPT.pdf, https://panda-windows-and-doors.monday.com/protected_static/21046287/resources/2896572077/Q87591_TS30 CUT LIST.pdf</v>
          </cell>
          <cell r="S707" t="str">
            <v>Awaiting Signed BOL</v>
          </cell>
          <cell r="T707" t="str">
            <v/>
          </cell>
          <cell r="U707">
            <v>25317</v>
          </cell>
          <cell r="V707">
            <v>37370</v>
          </cell>
          <cell r="W707" t="str">
            <v>George Bails Jun 8, 2026 8:16 AM</v>
          </cell>
          <cell r="X707" t="str">
            <v>2025-10-01 08:30</v>
          </cell>
          <cell r="Y707">
            <v>46056</v>
          </cell>
          <cell r="Z707" t="str">
            <v/>
          </cell>
          <cell r="AA707">
            <v>46056</v>
          </cell>
          <cell r="AB707" t="str">
            <v>Annalene Conde Feb 3, 2026 3:43 PM</v>
          </cell>
          <cell r="AC707">
            <v>46057</v>
          </cell>
          <cell r="AD707">
            <v>46058</v>
          </cell>
          <cell r="AE707">
            <v>46176</v>
          </cell>
          <cell r="AF707">
            <v>46177</v>
          </cell>
          <cell r="AG707">
            <v>46178</v>
          </cell>
          <cell r="AH707" t="str">
            <v>Brad Lager</v>
          </cell>
          <cell r="AI707">
            <v>46115</v>
          </cell>
        </row>
        <row r="708">
          <cell r="C708">
            <v>83846</v>
          </cell>
          <cell r="D708">
            <v>46066</v>
          </cell>
          <cell r="E708" t="str">
            <v/>
          </cell>
          <cell r="F708" t="str">
            <v>Final</v>
          </cell>
          <cell r="G708" t="str">
            <v>Final Collected</v>
          </cell>
          <cell r="H708" t="str">
            <v>No</v>
          </cell>
          <cell r="I708" t="str">
            <v>Derrick McCall</v>
          </cell>
          <cell r="J708" t="str">
            <v/>
          </cell>
          <cell r="K708" t="str">
            <v>https://panda-windows-and-doors.monday.com/protected_static/21046287/resources/2273496006/QQ#83846 Chanel UTC 05302025.pdf</v>
          </cell>
          <cell r="L708" t="str">
            <v>https://panda-windows-and-doors.monday.com/protected_static/21046287/resources/2273497354/Q83846 SB.pdf</v>
          </cell>
          <cell r="M708" t="str">
            <v/>
          </cell>
          <cell r="N708" t="str">
            <v>https://panda-windows-and-doors.monday.com/protected_static/21046287/resources/2275070905/83846 Deposit Invoice.pdf, https://panda-windows-and-doors.monday.com/protected_static/21046287/resources/2766649231/83846 Deposit Invoice CO 1.pdf</v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>Awaiting Signed BOL</v>
          </cell>
          <cell r="T708" t="str">
            <v/>
          </cell>
          <cell r="U708">
            <v>108522.5</v>
          </cell>
          <cell r="V708">
            <v>108521.5</v>
          </cell>
          <cell r="W708" t="str">
            <v>Annalene Conde Jun 8, 2026 12:52 PM</v>
          </cell>
          <cell r="X708" t="str">
            <v>2025-07-07 00:00</v>
          </cell>
          <cell r="Y708">
            <v>45845</v>
          </cell>
          <cell r="Z708" t="str">
            <v/>
          </cell>
          <cell r="AA708">
            <v>45845</v>
          </cell>
          <cell r="AB708" t="str">
            <v>Jayme Truong Jul 7, 2025 3:43 PM</v>
          </cell>
          <cell r="AC708">
            <v>45846</v>
          </cell>
          <cell r="AD708">
            <v>46078</v>
          </cell>
          <cell r="AE708">
            <v>46163</v>
          </cell>
          <cell r="AF708">
            <v>46163</v>
          </cell>
          <cell r="AG708">
            <v>46181</v>
          </cell>
          <cell r="AH708" t="str">
            <v>All New Glass Inc</v>
          </cell>
          <cell r="AI708">
            <v>46066</v>
          </cell>
        </row>
        <row r="709">
          <cell r="C709">
            <v>89450</v>
          </cell>
          <cell r="D709" t="str">
            <v/>
          </cell>
          <cell r="E709" t="str">
            <v/>
          </cell>
          <cell r="F709" t="str">
            <v>Final</v>
          </cell>
          <cell r="G709" t="str">
            <v>Final Collected</v>
          </cell>
          <cell r="H709" t="str">
            <v>No</v>
          </cell>
          <cell r="I709" t="str">
            <v>Sean Torre</v>
          </cell>
          <cell r="J709" t="str">
            <v/>
          </cell>
          <cell r="K709" t="str">
            <v>https://panda-windows-and-doors.monday.com/protected_static/21046287/resources/2827069305/PANDA Nyborg 20605 Margaux 3-12-2026.pdf</v>
          </cell>
          <cell r="L709" t="str">
            <v>https://panda-windows-and-doors.monday.com/protected_static/21046287/resources/2827156415/CamScanner 3-13-26 08.18.pdf</v>
          </cell>
          <cell r="M709" t="str">
            <v/>
          </cell>
          <cell r="N709" t="str">
            <v>https://panda-windows-and-doors.monday.com/protected_static/21046287/resources/2827989632/89450 Deposit Invoice.pdf</v>
          </cell>
          <cell r="O709" t="str">
            <v/>
          </cell>
          <cell r="P709" t="str">
            <v/>
          </cell>
          <cell r="Q709" t="str">
            <v/>
          </cell>
          <cell r="R709" t="str">
            <v>https://panda-windows-and-doors.monday.com/protected_static/21046287/resources/2891904958/MF 5276 Q89450 NYBORG RESIDENCE - B.O.M.pdf, https://panda-windows-and-doors.monday.com/protected_static/21046287/resources/2891904957/MF 5276 Q89450 NYBORG RESIDENCE - CUTLIST (GINERI).pdf, https://panda-windows-and-doors.monday.com/protected_static/21046287/resources/2891904959/MF 5276 Q89450 NYBORG RESIDENCE - CUTLIST (MANUAL).pdf, https://panda-windows-and-doors.monday.com/protected_static/21046287/resources/2891904956/MF 5276 Q89450 NYBORG RESIDENCE - OPT.pdf</v>
          </cell>
          <cell r="S709" t="str">
            <v>Schedule Shipping</v>
          </cell>
          <cell r="T709" t="str">
            <v/>
          </cell>
          <cell r="U709">
            <v>29728</v>
          </cell>
          <cell r="V709">
            <v>34457.33</v>
          </cell>
          <cell r="W709" t="str">
            <v>George Bails Jun 10, 2026 8:05 AM</v>
          </cell>
          <cell r="X709" t="str">
            <v>2026-03-13 00:00</v>
          </cell>
          <cell r="Y709">
            <v>46094</v>
          </cell>
          <cell r="Z709" t="str">
            <v/>
          </cell>
          <cell r="AA709">
            <v>46094</v>
          </cell>
          <cell r="AB709" t="str">
            <v>Annalene Conde Mar 13, 2026 9:04 AM</v>
          </cell>
          <cell r="AC709">
            <v>46094</v>
          </cell>
          <cell r="AD709">
            <v>46097</v>
          </cell>
          <cell r="AE709">
            <v>46171</v>
          </cell>
          <cell r="AF709">
            <v>46171</v>
          </cell>
          <cell r="AG709">
            <v>46182</v>
          </cell>
          <cell r="AH709" t="str">
            <v>Nyborg Residence</v>
          </cell>
          <cell r="AI709" t="str">
            <v/>
          </cell>
        </row>
        <row r="710">
          <cell r="C710">
            <v>87512</v>
          </cell>
          <cell r="D710" t="str">
            <v/>
          </cell>
          <cell r="E710" t="str">
            <v/>
          </cell>
          <cell r="F710" t="str">
            <v>Final</v>
          </cell>
          <cell r="G710" t="str">
            <v>Final Collected</v>
          </cell>
          <cell r="H710" t="str">
            <v>No</v>
          </cell>
          <cell r="I710" t="str">
            <v>Sean Torre</v>
          </cell>
          <cell r="J710" t="str">
            <v/>
          </cell>
          <cell r="K710" t="str">
            <v>https://panda-windows-and-doors.monday.com/protected_static/21046287/resources/2814532608/QQ #87512 - Rob Poynter - 02202026 (1).pdf</v>
          </cell>
          <cell r="L710" t="str">
            <v>https://panda-windows-and-doors.monday.com/protected_static/21046287/resources/2814532520/CamScanner 3-9-26 12.35.pdf</v>
          </cell>
          <cell r="M710" t="str">
            <v/>
          </cell>
          <cell r="N710" t="str">
            <v>https://panda-windows-and-doors.monday.com/protected_static/21046287/resources/2817997390/87512 Deposit Invoice.pdf</v>
          </cell>
          <cell r="O710" t="str">
            <v/>
          </cell>
          <cell r="P710" t="str">
            <v/>
          </cell>
          <cell r="Q710" t="str">
            <v/>
          </cell>
          <cell r="R710" t="str">
            <v>https://panda-windows-and-doors.monday.com/protected_static/21046287/resources/2913713126/5280 Q87512 - ROB POYNTER - Material List.pdf, https://panda-windows-and-doors.monday.com/protected_static/21046287/resources/2913713128/5280 Q87512 - ROB POYNTER - Cut - List.pdf, https://panda-windows-and-doors.monday.com/protected_static/21046287/resources/2913713137/5280 Q87512 - ROB POYNTER - Optimization.pdf</v>
          </cell>
          <cell r="S710" t="str">
            <v>Completed - Closed Out</v>
          </cell>
          <cell r="T710" t="str">
            <v/>
          </cell>
          <cell r="U710">
            <v>4742</v>
          </cell>
          <cell r="V710">
            <v>4741</v>
          </cell>
          <cell r="W710" t="str">
            <v>George Bails Jun 10, 2026 8:08 AM</v>
          </cell>
          <cell r="X710" t="str">
            <v>2025-09-26 00:00</v>
          </cell>
          <cell r="Y710">
            <v>46090</v>
          </cell>
          <cell r="Z710" t="str">
            <v/>
          </cell>
          <cell r="AA710">
            <v>46090</v>
          </cell>
          <cell r="AB710" t="str">
            <v>Annalene Conde Mar 9, 2026 4:18 PM</v>
          </cell>
          <cell r="AC710">
            <v>46091</v>
          </cell>
          <cell r="AD710">
            <v>46092</v>
          </cell>
          <cell r="AE710">
            <v>46171</v>
          </cell>
          <cell r="AF710">
            <v>46171</v>
          </cell>
          <cell r="AG710">
            <v>46182</v>
          </cell>
          <cell r="AH710" t="str">
            <v>J Shuman Door Installation</v>
          </cell>
          <cell r="AI710" t="str">
            <v/>
          </cell>
        </row>
        <row r="711">
          <cell r="C711">
            <v>83501</v>
          </cell>
          <cell r="D711" t="str">
            <v/>
          </cell>
          <cell r="E711" t="str">
            <v/>
          </cell>
          <cell r="F711" t="str">
            <v>Final</v>
          </cell>
          <cell r="G711" t="str">
            <v>Final Collected</v>
          </cell>
          <cell r="H711" t="str">
            <v>No</v>
          </cell>
          <cell r="I711" t="str">
            <v>Efrain Zarate</v>
          </cell>
          <cell r="J711" t="str">
            <v/>
          </cell>
          <cell r="K711" t="str">
            <v>https://panda-windows-and-doors.monday.com/protected_static/21046287/resources/2608012060/Exe3cuted updated w panel QQ#83501 HRHC Live Theater 11102025.pdf</v>
          </cell>
          <cell r="L711" t="str">
            <v>https://panda-windows-and-doors.monday.com/protected_static/21046287/resources/2608018186/BP-70M55_20251209_105152.pdf</v>
          </cell>
          <cell r="M711" t="str">
            <v/>
          </cell>
          <cell r="N711" t="str">
            <v>https://panda-windows-and-doors.monday.com/protected_static/21046287/resources/2608537208/83501 Deposit Invoice.pdf</v>
          </cell>
          <cell r="O711" t="str">
            <v/>
          </cell>
          <cell r="P711" t="str">
            <v/>
          </cell>
          <cell r="Q711" t="str">
            <v/>
          </cell>
          <cell r="R711" t="str">
            <v>https://panda-windows-and-doors.monday.com/protected_static/21046287/resources/2891958764/Q83501 HRHC LIVE THEATER - B.O.M.pdf, https://panda-windows-and-doors.monday.com/protected_static/21046287/resources/2891958763/MF 5271 Q83501 HRHC - OPT.pdf, https://panda-windows-and-doors.monday.com/protected_static/21046287/resources/2891958760/Q83501 HRHC LIVE THEATER - CUTLIST (MANUAL).pdf, https://panda-windows-and-doors.monday.com/protected_static/21046287/resources/2891958761/MF 5271 Q83501 HRHC - CUTLIST (GINERI).pdf</v>
          </cell>
          <cell r="S711" t="str">
            <v>Schedule Pick Up</v>
          </cell>
          <cell r="T711" t="str">
            <v/>
          </cell>
          <cell r="U711">
            <v>17221</v>
          </cell>
          <cell r="V711">
            <v>20104.419999999998</v>
          </cell>
          <cell r="W711" t="str">
            <v>George Bails Jun 10, 2026 7:46 AM</v>
          </cell>
          <cell r="X711" t="str">
            <v>2025-01-22 00:00</v>
          </cell>
          <cell r="Y711">
            <v>45965</v>
          </cell>
          <cell r="Z711" t="str">
            <v/>
          </cell>
          <cell r="AA711">
            <v>45965</v>
          </cell>
          <cell r="AB711" t="str">
            <v>Annalene Conde Nov 4, 2025 10:43 AM</v>
          </cell>
          <cell r="AC711">
            <v>45965</v>
          </cell>
          <cell r="AD711">
            <v>46030</v>
          </cell>
          <cell r="AE711">
            <v>46150</v>
          </cell>
          <cell r="AF711">
            <v>46150</v>
          </cell>
          <cell r="AG711">
            <v>46182</v>
          </cell>
          <cell r="AH711" t="str">
            <v>Walters &amp; Wolf</v>
          </cell>
          <cell r="AI711" t="str">
            <v/>
          </cell>
        </row>
        <row r="712">
          <cell r="C712">
            <v>89675</v>
          </cell>
          <cell r="D712" t="str">
            <v/>
          </cell>
          <cell r="E712" t="str">
            <v/>
          </cell>
          <cell r="F712" t="str">
            <v>Final</v>
          </cell>
          <cell r="G712" t="str">
            <v>Final Collected</v>
          </cell>
          <cell r="H712" t="str">
            <v>No</v>
          </cell>
          <cell r="I712" t="str">
            <v>Trevor Benthagen, Efrain Zarate</v>
          </cell>
          <cell r="J712" t="str">
            <v/>
          </cell>
          <cell r="K712" t="str">
            <v>https://panda-windows-and-doors.monday.com/protected_static/21046287/resources/2853593971/Q#89675 Brandon Baca Voyage Signed Proposal.pdf</v>
          </cell>
          <cell r="L712" t="str">
            <v>https://panda-windows-and-doors.monday.com/protected_static/21046287/resources/2853594217/Q#89675 Brandon Baca Voyage Signed Backer.pdf</v>
          </cell>
          <cell r="M712" t="str">
            <v/>
          </cell>
          <cell r="N712" t="str">
            <v>https://panda-windows-and-doors.monday.com/protected_static/21046287/resources/2854493669/89675 Deposit Invoice.pdf</v>
          </cell>
          <cell r="O712" t="str">
            <v/>
          </cell>
          <cell r="P712" t="str">
            <v/>
          </cell>
          <cell r="Q712" t="str">
            <v/>
          </cell>
          <cell r="R712" t="str">
            <v>https://panda-windows-and-doors.monday.com/protected_static/21046287/resources/2928861077/Q89675_VOYAGE BOM.pdf, https://panda-windows-and-doors.monday.com/protected_static/21046287/resources/2928861085/Q89675_VOYAGE OPT.pdf</v>
          </cell>
          <cell r="S712" t="str">
            <v>Awaiting Signed BOL</v>
          </cell>
          <cell r="T712" t="str">
            <v/>
          </cell>
          <cell r="U712">
            <v>6002</v>
          </cell>
          <cell r="V712">
            <v>6749.89</v>
          </cell>
          <cell r="W712" t="str">
            <v>George Bails Jun 10, 2026 4:54 PM</v>
          </cell>
          <cell r="X712" t="str">
            <v>2026-03-03 16:48</v>
          </cell>
          <cell r="Y712">
            <v>46106</v>
          </cell>
          <cell r="Z712" t="str">
            <v/>
          </cell>
          <cell r="AA712">
            <v>46106</v>
          </cell>
          <cell r="AB712" t="str">
            <v>Annalene Conde Mar 25, 2026 8:23 AM</v>
          </cell>
          <cell r="AC712">
            <v>46106</v>
          </cell>
          <cell r="AD712">
            <v>46114</v>
          </cell>
          <cell r="AE712">
            <v>46171</v>
          </cell>
          <cell r="AF712">
            <v>46171</v>
          </cell>
          <cell r="AG712">
            <v>46183</v>
          </cell>
          <cell r="AH712" t="str">
            <v>Pete Lefebvre</v>
          </cell>
          <cell r="AI712" t="str">
            <v/>
          </cell>
        </row>
        <row r="713">
          <cell r="C713">
            <v>88403</v>
          </cell>
          <cell r="D713" t="str">
            <v/>
          </cell>
          <cell r="E713" t="str">
            <v/>
          </cell>
          <cell r="F713" t="str">
            <v>Final</v>
          </cell>
          <cell r="G713" t="str">
            <v>Final Collected</v>
          </cell>
          <cell r="H713" t="str">
            <v>No</v>
          </cell>
          <cell r="I713" t="str">
            <v>Stefan Monetta</v>
          </cell>
          <cell r="J713" t="str">
            <v/>
          </cell>
          <cell r="K713" t="str">
            <v>https://panda-windows-and-doors.monday.com/protected_static/21046287/resources/2598942917/QQ#88403 Zucker - 315 Summer Rest 12022025 (002).pdf</v>
          </cell>
          <cell r="L713" t="str">
            <v>https://panda-windows-and-doors.monday.com/protected_static/21046287/resources/2703574311/BP-70M55_20251204_085705.pdf</v>
          </cell>
          <cell r="M713" t="str">
            <v/>
          </cell>
          <cell r="N713" t="str">
            <v>https://panda-windows-and-doors.monday.com/protected_static/21046287/resources/2599634411/88403 Deposit Invoice.pdf</v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>Completed - Closed Out</v>
          </cell>
          <cell r="T713" t="str">
            <v/>
          </cell>
          <cell r="U713">
            <v>8650</v>
          </cell>
          <cell r="V713">
            <v>10450</v>
          </cell>
          <cell r="W713" t="str">
            <v>George Bails Jun 10, 2026 4:51 PM</v>
          </cell>
          <cell r="X713" t="str">
            <v>2025-12-04 00:00</v>
          </cell>
          <cell r="Y713">
            <v>45995</v>
          </cell>
          <cell r="Z713" t="str">
            <v/>
          </cell>
          <cell r="AA713">
            <v>45995</v>
          </cell>
          <cell r="AB713" t="str">
            <v>Annalene Conde Dec 4, 2025 9:53 AM</v>
          </cell>
          <cell r="AC713">
            <v>45995</v>
          </cell>
          <cell r="AD713">
            <v>46042</v>
          </cell>
          <cell r="AE713">
            <v>46171</v>
          </cell>
          <cell r="AF713">
            <v>46171</v>
          </cell>
          <cell r="AG713">
            <v>46183</v>
          </cell>
          <cell r="AH713" t="str">
            <v>Coastal Window &amp; Door Center</v>
          </cell>
          <cell r="AI713" t="str">
            <v/>
          </cell>
        </row>
        <row r="714">
          <cell r="C714">
            <v>88087</v>
          </cell>
          <cell r="D714">
            <v>46106</v>
          </cell>
          <cell r="E714" t="str">
            <v/>
          </cell>
          <cell r="F714" t="str">
            <v>Final</v>
          </cell>
          <cell r="G714" t="str">
            <v>Final Collected</v>
          </cell>
          <cell r="H714" t="str">
            <v>No</v>
          </cell>
          <cell r="I714" t="str">
            <v>Troy Kite</v>
          </cell>
          <cell r="J714" t="str">
            <v/>
          </cell>
          <cell r="K714" t="str">
            <v>https://panda-windows-and-doors.monday.com/protected_static/21046287/resources/2735119776/QQ # 88087 Ostrander Residence Remodel copy 2-2-2026 copy.pdf</v>
          </cell>
          <cell r="L714" t="str">
            <v>https://panda-windows-and-doors.monday.com/protected_static/21046287/resources/2735123965/BP-70M55_20260204_090334.pdf</v>
          </cell>
          <cell r="M714" t="str">
            <v/>
          </cell>
          <cell r="N714" t="str">
            <v>https://panda-windows-and-doors.monday.com/protected_static/21046287/resources/2741390709/88087 Deposit Invoice.pdf, https://panda-windows-and-doors.monday.com/protected_static/21046287/resources/2857849174/88087 Deposit Invoice CO 1.pdf</v>
          </cell>
          <cell r="O714" t="str">
            <v/>
          </cell>
          <cell r="P714" t="str">
            <v/>
          </cell>
          <cell r="Q714" t="str">
            <v/>
          </cell>
          <cell r="R714" t="str">
            <v>https://panda-windows-and-doors.monday.com/protected_static/21046287/resources/2905985980/Cutting List from 4_9_2026.pdf, https://panda-windows-and-doors.monday.com/protected_static/21046287/resources/2905986001/88087 nail fins.pdf, https://panda-windows-and-doors.monday.com/protected_static/21046287/resources/2905985974/Assembly List Panda 003(1) from 4_9_2026.pdf, https://panda-windows-and-doors.monday.com/protected_static/21046287/resources/2905985984/Cut Optimisation from 4_9_2026.pdf, https://panda-windows-and-doors.monday.com/protected_static/21046287/resources/2905985990/Glass_Panel Request General from 4_9_2026.pdf, https://panda-windows-and-doors.monday.com/protected_static/21046287/resources/2905986198/Q88087 OSTRANDER RES. - CUTLIST (MANUAL).pdf, https://panda-windows-and-doors.monday.com/protected_static/21046287/resources/2905986184/Stock List from 4_9_2026.pdf</v>
          </cell>
          <cell r="S714" t="str">
            <v>Awaiting Signed BOL</v>
          </cell>
          <cell r="T714" t="str">
            <v/>
          </cell>
          <cell r="U714">
            <v>123085</v>
          </cell>
          <cell r="V714">
            <v>114359</v>
          </cell>
          <cell r="W714" t="str">
            <v>George Bails Jun 11, 2026 3:08 PM</v>
          </cell>
          <cell r="X714" t="str">
            <v>2025-10-05 13:09</v>
          </cell>
          <cell r="Y714">
            <v>46057</v>
          </cell>
          <cell r="Z714" t="str">
            <v/>
          </cell>
          <cell r="AA714">
            <v>46057</v>
          </cell>
          <cell r="AB714" t="str">
            <v>Annalene Conde Feb 4, 2026 10:08 AM</v>
          </cell>
          <cell r="AC714">
            <v>46059</v>
          </cell>
          <cell r="AD714">
            <v>46064</v>
          </cell>
          <cell r="AE714">
            <v>46183</v>
          </cell>
          <cell r="AF714">
            <v>46183</v>
          </cell>
          <cell r="AG714">
            <v>46184</v>
          </cell>
          <cell r="AH714" t="str">
            <v>David Ostrander (Ostrander Residence Remodel)</v>
          </cell>
          <cell r="AI714">
            <v>46106</v>
          </cell>
        </row>
        <row r="715">
          <cell r="C715">
            <v>88858</v>
          </cell>
          <cell r="D715" t="str">
            <v/>
          </cell>
          <cell r="E715" t="str">
            <v/>
          </cell>
          <cell r="F715" t="str">
            <v>Final</v>
          </cell>
          <cell r="G715" t="str">
            <v>Final Collected</v>
          </cell>
          <cell r="H715" t="str">
            <v>No</v>
          </cell>
          <cell r="I715" t="str">
            <v>Sean Torre</v>
          </cell>
          <cell r="J715" t="str">
            <v/>
          </cell>
          <cell r="K715" t="str">
            <v>https://panda-windows-and-doors.monday.com/protected_static/21046287/resources/2797302173/Q#88858 - Grossi - Updated signed.pdf</v>
          </cell>
          <cell r="L715" t="str">
            <v>https://panda-windows-and-doors.monday.com/protected_static/21046287/resources/2797302207/CamScanner 3-2-26 15.29.pdf</v>
          </cell>
          <cell r="M715" t="str">
            <v/>
          </cell>
          <cell r="N715" t="str">
            <v>https://panda-windows-and-doors.monday.com/protected_static/21046287/resources/2800036597/88858 Deposit Invoice.pdf</v>
          </cell>
          <cell r="O715" t="str">
            <v/>
          </cell>
          <cell r="P715" t="str">
            <v/>
          </cell>
          <cell r="Q715" t="str">
            <v/>
          </cell>
          <cell r="R715" t="str">
            <v>https://panda-windows-and-doors.monday.com/protected_static/21046287/resources/2918739671/Cut Optimisation from 4_16_2026.pdf, https://panda-windows-and-doors.monday.com/protected_static/21046287/resources/2918739868/Cutting List from 4_16_2026.pdf</v>
          </cell>
          <cell r="S715" t="str">
            <v>Schedule Shipping</v>
          </cell>
          <cell r="T715" t="str">
            <v/>
          </cell>
          <cell r="U715">
            <v>16192</v>
          </cell>
          <cell r="V715">
            <v>16192</v>
          </cell>
          <cell r="W715" t="str">
            <v>George Bails Jun 12, 2026 3:45 PM</v>
          </cell>
          <cell r="X715" t="str">
            <v>2026-03-02 00:00</v>
          </cell>
          <cell r="Y715">
            <v>46083</v>
          </cell>
          <cell r="Z715" t="str">
            <v/>
          </cell>
          <cell r="AA715">
            <v>46083</v>
          </cell>
          <cell r="AB715" t="str">
            <v>Annalene Conde Mar 2, 2026 4:44 PM</v>
          </cell>
          <cell r="AC715">
            <v>46084</v>
          </cell>
          <cell r="AD715">
            <v>46105</v>
          </cell>
          <cell r="AE715">
            <v>46170</v>
          </cell>
          <cell r="AF715">
            <v>46170</v>
          </cell>
          <cell r="AG715">
            <v>46185</v>
          </cell>
          <cell r="AH715" t="str">
            <v>Grossi</v>
          </cell>
          <cell r="AI715" t="str">
            <v/>
          </cell>
        </row>
        <row r="716">
          <cell r="C716">
            <v>89636</v>
          </cell>
          <cell r="D716" t="str">
            <v/>
          </cell>
          <cell r="E716" t="str">
            <v/>
          </cell>
          <cell r="F716" t="str">
            <v>Final</v>
          </cell>
          <cell r="G716" t="str">
            <v>Final Collected</v>
          </cell>
          <cell r="H716" t="str">
            <v>No</v>
          </cell>
          <cell r="I716" t="str">
            <v>Efrain Zarate, Trevor Benthagen</v>
          </cell>
          <cell r="J716" t="str">
            <v/>
          </cell>
          <cell r="K716" t="str">
            <v>https://panda-windows-and-doors.monday.com/protected_static/21046287/resources/2854651790/QQ#89636 Unell Door 03162026.pdf</v>
          </cell>
          <cell r="L716" t="str">
            <v>https://panda-windows-and-doors.monday.com/protected_static/21046287/resources/2854652051/BP-70M55_20260325_102646.pdf</v>
          </cell>
          <cell r="M716" t="str">
            <v/>
          </cell>
          <cell r="N716" t="str">
            <v>https://panda-windows-and-doors.monday.com/protected_static/21046287/resources/2854826234/89636 Deposit Invoice.pdf</v>
          </cell>
          <cell r="O716" t="str">
            <v/>
          </cell>
          <cell r="P716" t="str">
            <v/>
          </cell>
          <cell r="Q716" t="str">
            <v/>
          </cell>
          <cell r="R716" t="str">
            <v>https://panda-windows-and-doors.monday.com/protected_static/21046287/resources/2903914978/Q89636 UNELL - OPT.pdf, https://panda-windows-and-doors.monday.com/protected_static/21046287/resources/2903914980/Q89636 UNELL - CUTLIST (MANUAL).pdf</v>
          </cell>
          <cell r="S716" t="str">
            <v>Awaiting Signed BOL</v>
          </cell>
          <cell r="T716" t="str">
            <v/>
          </cell>
          <cell r="U716">
            <v>4764</v>
          </cell>
          <cell r="V716">
            <v>5532.32</v>
          </cell>
          <cell r="W716" t="str">
            <v>George Bails Jun 15, 2026 1:34 PM</v>
          </cell>
          <cell r="X716" t="str">
            <v>2026-03-16 00:00</v>
          </cell>
          <cell r="Y716">
            <v>46106</v>
          </cell>
          <cell r="Z716" t="str">
            <v/>
          </cell>
          <cell r="AA716">
            <v>46106</v>
          </cell>
          <cell r="AB716" t="str">
            <v>Annalene Conde Mar 25, 2026 11:23 AM</v>
          </cell>
          <cell r="AC716">
            <v>46106</v>
          </cell>
          <cell r="AD716">
            <v>46122</v>
          </cell>
          <cell r="AE716">
            <v>46170</v>
          </cell>
          <cell r="AF716">
            <v>46170</v>
          </cell>
          <cell r="AG716">
            <v>46188</v>
          </cell>
          <cell r="AH716" t="str">
            <v>BMG Door and Glass</v>
          </cell>
          <cell r="AI716" t="str">
            <v/>
          </cell>
        </row>
        <row r="717">
          <cell r="C717">
            <v>88927</v>
          </cell>
          <cell r="D717" t="str">
            <v/>
          </cell>
          <cell r="E717" t="str">
            <v/>
          </cell>
          <cell r="F717" t="str">
            <v>Final</v>
          </cell>
          <cell r="G717" t="str">
            <v>Final Collected</v>
          </cell>
          <cell r="H717" t="str">
            <v>No</v>
          </cell>
          <cell r="I717" t="str">
            <v/>
          </cell>
          <cell r="J717" t="str">
            <v/>
          </cell>
          <cell r="K717" t="str">
            <v>https://panda-windows-and-doors.monday.com/protected_static/21046287/resources/2755879045/637 C St - Q 88927 - Shah Residence - Signed proposal 021226.pdf</v>
          </cell>
          <cell r="L717" t="str">
            <v>https://panda-windows-and-doors.monday.com/protected_static/21046287/resources/2754127940/SHAH BACKER.pdf</v>
          </cell>
          <cell r="M717" t="str">
            <v/>
          </cell>
          <cell r="N717" t="str">
            <v>https://panda-windows-and-doors.monday.com/protected_static/21046287/resources/2757055450/88927 Deposit Invoice.pdf</v>
          </cell>
          <cell r="O717" t="str">
            <v/>
          </cell>
          <cell r="P717" t="str">
            <v/>
          </cell>
          <cell r="Q717" t="str">
            <v/>
          </cell>
          <cell r="R717" t="str">
            <v>https://panda-windows-and-doors.monday.com/protected_static/21046287/resources/2832976827/Q88927 SHAH RESIDENCE - B.O.M.pdf, https://panda-windows-and-doors.monday.com/protected_static/21046287/resources/2832976834/Q88927 SHAH RESIDENCE - CUTLIST (MANUAL).pdf, https://panda-windows-and-doors.monday.com/protected_static/21046287/resources/2832976840/Q88927_FWWS.66 _WOOD CUT SHEET.pdf</v>
          </cell>
          <cell r="S717" t="str">
            <v>Awaiting Signed BOL</v>
          </cell>
          <cell r="T717" t="str">
            <v/>
          </cell>
          <cell r="U717">
            <v>7884</v>
          </cell>
          <cell r="V717">
            <v>8614.08</v>
          </cell>
          <cell r="W717" t="str">
            <v>Annalene Conde Jun 15, 2026 12:18 PM</v>
          </cell>
          <cell r="X717" t="str">
            <v>2026-01-07 11:37</v>
          </cell>
          <cell r="Y717">
            <v>46065</v>
          </cell>
          <cell r="Z717" t="str">
            <v/>
          </cell>
          <cell r="AA717">
            <v>46065</v>
          </cell>
          <cell r="AB717" t="str">
            <v>Annalene Conde Feb 12, 2026 8:44 AM</v>
          </cell>
          <cell r="AC717">
            <v>46065</v>
          </cell>
          <cell r="AD717">
            <v>46066</v>
          </cell>
          <cell r="AE717">
            <v>46185</v>
          </cell>
          <cell r="AF717">
            <v>46185</v>
          </cell>
          <cell r="AG717">
            <v>46188</v>
          </cell>
          <cell r="AH717" t="str">
            <v>Nihar Shah</v>
          </cell>
          <cell r="AI717" t="str">
            <v/>
          </cell>
        </row>
        <row r="718">
          <cell r="C718">
            <v>84692</v>
          </cell>
          <cell r="D718" t="str">
            <v/>
          </cell>
          <cell r="E718" t="str">
            <v/>
          </cell>
          <cell r="F718" t="str">
            <v>Final</v>
          </cell>
          <cell r="G718" t="str">
            <v>Final Collected</v>
          </cell>
          <cell r="H718" t="str">
            <v>No</v>
          </cell>
          <cell r="I718" t="str">
            <v>Efrain Zarate, Trevor Benthagen</v>
          </cell>
          <cell r="J718" t="str">
            <v/>
          </cell>
          <cell r="K718" t="str">
            <v>https://panda-windows-and-doors.monday.com/protected_static/21046287/resources/2706174841/BP-70M55_20260123_114308.pdf</v>
          </cell>
          <cell r="L718" t="str">
            <v>https://panda-windows-and-doors.monday.com/protected_static/21046287/resources/2706174505/BP-70M55_20260123_114316.pdf</v>
          </cell>
          <cell r="M718" t="str">
            <v/>
          </cell>
          <cell r="N718" t="str">
            <v>https://panda-windows-and-doors.monday.com/protected_static/21046287/resources/2713436711/Estimate 10385.pdf</v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>Awaiting Signed BOL</v>
          </cell>
          <cell r="T718" t="str">
            <v/>
          </cell>
          <cell r="U718">
            <v>5345</v>
          </cell>
          <cell r="V718">
            <v>5344</v>
          </cell>
          <cell r="W718" t="str">
            <v>George Bails Jun 15, 2026 1:35 PM</v>
          </cell>
          <cell r="X718" t="str">
            <v>2025-03-31 00:00</v>
          </cell>
          <cell r="Y718">
            <v>46045</v>
          </cell>
          <cell r="Z718" t="str">
            <v/>
          </cell>
          <cell r="AA718">
            <v>46048</v>
          </cell>
          <cell r="AB718" t="str">
            <v>Annalene Conde Jan 23, 2026 12:46 PM</v>
          </cell>
          <cell r="AC718">
            <v>46049</v>
          </cell>
          <cell r="AD718">
            <v>46076</v>
          </cell>
          <cell r="AE718">
            <v>46171</v>
          </cell>
          <cell r="AF718">
            <v>46171</v>
          </cell>
          <cell r="AG718">
            <v>46188</v>
          </cell>
          <cell r="AH718" t="str">
            <v>Emerald Glass</v>
          </cell>
          <cell r="AI718" t="str">
            <v/>
          </cell>
        </row>
        <row r="719">
          <cell r="C719">
            <v>86825</v>
          </cell>
          <cell r="D719" t="str">
            <v/>
          </cell>
          <cell r="E719" t="str">
            <v/>
          </cell>
          <cell r="F719" t="str">
            <v>Final</v>
          </cell>
          <cell r="G719" t="str">
            <v>Final Collected</v>
          </cell>
          <cell r="H719" t="str">
            <v>No</v>
          </cell>
          <cell r="I719" t="str">
            <v>Luke Valles</v>
          </cell>
          <cell r="J719" t="str">
            <v/>
          </cell>
          <cell r="K719" t="str">
            <v>https://panda-windows-and-doors.monday.com/protected_static/21046287/resources/2679302808/86825 - By woods - signed proposal.pdf</v>
          </cell>
          <cell r="L719" t="str">
            <v>https://panda-windows-and-doors.monday.com/protected_static/21046287/resources/2679302478/86825 - By woods - signed backer.pdf</v>
          </cell>
          <cell r="M719" t="str">
            <v/>
          </cell>
          <cell r="N719" t="str">
            <v>https://panda-windows-and-doors.monday.com/protected_static/21046287/resources/2679829024/86825 - Deposit Invoice.pdf</v>
          </cell>
          <cell r="O719" t="str">
            <v/>
          </cell>
          <cell r="P719" t="str">
            <v/>
          </cell>
          <cell r="Q719" t="str">
            <v/>
          </cell>
          <cell r="R719" t="str">
            <v>https://panda-windows-and-doors.monday.com/protected_static/21046287/resources/2841440097/Q86825_VOYAGE BOM.pdf, https://panda-windows-and-doors.monday.com/protected_static/21046287/resources/2841440099/Q86825_VOYAGE OPT.pdf, https://panda-windows-and-doors.monday.com/protected_static/21046287/resources/2841440101/Voyage CNC Cuts.pdf, https://panda-windows-and-doors.monday.com/protected_static/21046287/resources/2841440100/Voyage Panidis Top Pivot Cuts.pdf</v>
          </cell>
          <cell r="S719" t="str">
            <v>Awaiting Signed BOL</v>
          </cell>
          <cell r="T719" t="str">
            <v/>
          </cell>
          <cell r="U719">
            <v>6409</v>
          </cell>
          <cell r="V719">
            <v>7015.02</v>
          </cell>
          <cell r="W719" t="str">
            <v>Annalene Conde Jun 16, 2026 9:59 AM</v>
          </cell>
          <cell r="X719" t="str">
            <v>2025-08-06 00:00</v>
          </cell>
          <cell r="Y719">
            <v>46035</v>
          </cell>
          <cell r="Z719" t="str">
            <v/>
          </cell>
          <cell r="AA719">
            <v>46035</v>
          </cell>
          <cell r="AB719" t="str">
            <v>Annalene Conde Jan 13, 2026 12:17 PM</v>
          </cell>
          <cell r="AC719">
            <v>46035</v>
          </cell>
          <cell r="AD719">
            <v>46084</v>
          </cell>
          <cell r="AE719">
            <v>46142</v>
          </cell>
          <cell r="AF719">
            <v>46142</v>
          </cell>
          <cell r="AG719">
            <v>46189</v>
          </cell>
          <cell r="AH719" t="str">
            <v>Chris and Kareen Brown</v>
          </cell>
          <cell r="AI719" t="str">
            <v/>
          </cell>
        </row>
        <row r="720">
          <cell r="C720" t="str">
            <v/>
          </cell>
          <cell r="D720" t="str">
            <v>2025-01-21 to 2026-05-12</v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>
            <v>11778852.539999999</v>
          </cell>
          <cell r="V720">
            <v>11614568.140000001</v>
          </cell>
          <cell r="W720" t="str">
            <v/>
          </cell>
          <cell r="X720" t="str">
            <v/>
          </cell>
          <cell r="Y720" t="str">
            <v>2024-08-21 to 2026-04-22</v>
          </cell>
          <cell r="Z720" t="str">
            <v/>
          </cell>
          <cell r="AA720" t="str">
            <v>2024-08-21 to 2026-05-11</v>
          </cell>
          <cell r="AB720" t="str">
            <v/>
          </cell>
          <cell r="AC720" t="str">
            <v>2024-08-21 to 2026-04-23</v>
          </cell>
          <cell r="AD720" t="str">
            <v>2024-08-21 to 2026-05-11</v>
          </cell>
          <cell r="AE720" t="str">
            <v>2025-02-26 to 2026-06-12</v>
          </cell>
          <cell r="AF720" t="str">
            <v>2025-02-26 to 2026-06-12</v>
          </cell>
          <cell r="AG720" t="str">
            <v>2025-02-26 to 2026-06-16</v>
          </cell>
          <cell r="AH720" t="str">
            <v/>
          </cell>
          <cell r="AI720" t="str">
            <v>2025-01-21 to 2026-05-12</v>
          </cell>
        </row>
        <row r="721">
          <cell r="C721">
            <v>14029</v>
          </cell>
          <cell r="E721" t="str">
            <v/>
          </cell>
          <cell r="F721" t="str">
            <v>Service</v>
          </cell>
          <cell r="G721" t="str">
            <v>Invoice Sent</v>
          </cell>
          <cell r="H721" t="str">
            <v>No</v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>https://panda-windows-and-doors.monday.com/protected_static/21046287/resources/1985153489/9398 Hammer Building Supply- Jacob Hensor.pdf</v>
          </cell>
          <cell r="O721" t="str">
            <v/>
          </cell>
          <cell r="P721" t="str">
            <v/>
          </cell>
          <cell r="Q721" t="str">
            <v>https://panda-windows-and-doors.monday.com/protected_static/21046287/resources/1982788610/Service Form.pdf</v>
          </cell>
          <cell r="R721" t="str">
            <v/>
          </cell>
          <cell r="S721" t="str">
            <v/>
          </cell>
          <cell r="T721" t="str">
            <v/>
          </cell>
          <cell r="U721">
            <v>0</v>
          </cell>
          <cell r="V721">
            <v>11666</v>
          </cell>
          <cell r="W721" t="str">
            <v>Sean Lopez Apr 20, 2026 3:44 PM</v>
          </cell>
          <cell r="X721" t="str">
            <v/>
          </cell>
          <cell r="Y721">
            <v>45714</v>
          </cell>
          <cell r="Z721" t="str">
            <v/>
          </cell>
          <cell r="AA721">
            <v>45714</v>
          </cell>
          <cell r="AB721" t="str">
            <v>Jayme Truong Feb 26, 2025 9:47 AM</v>
          </cell>
          <cell r="AC721">
            <v>45715</v>
          </cell>
          <cell r="AD721" t="str">
            <v/>
          </cell>
          <cell r="AE721" t="str">
            <v/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</row>
        <row r="722">
          <cell r="C722" t="str">
            <v>Lowes 1525</v>
          </cell>
          <cell r="E722" t="str">
            <v/>
          </cell>
          <cell r="F722" t="str">
            <v>Service</v>
          </cell>
          <cell r="G722" t="str">
            <v>Invoice Sent</v>
          </cell>
          <cell r="H722" t="str">
            <v>No</v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>https://panda-windows-and-doors.monday.com/protected_static/21046287/resources/2056552761/9405 Lowes 1525.pdf</v>
          </cell>
          <cell r="O722" t="str">
            <v/>
          </cell>
          <cell r="P722" t="str">
            <v/>
          </cell>
          <cell r="Q722" t="str">
            <v>https://panda-windows-and-doors.monday.com/protected_static/21046287/resources/1988851634/Lowes 1525.pdf, https://panda-windows-and-doors.monday.com/protected_static/21046287/resources/1991544472/9405 Lowes 1525.pdf</v>
          </cell>
          <cell r="R722" t="str">
            <v/>
          </cell>
          <cell r="S722" t="str">
            <v/>
          </cell>
          <cell r="T722" t="str">
            <v/>
          </cell>
          <cell r="U722">
            <v>0</v>
          </cell>
          <cell r="V722">
            <v>311</v>
          </cell>
          <cell r="W722" t="str">
            <v>Sean Lopez Apr 20, 2026 3:45 PM</v>
          </cell>
          <cell r="X722" t="str">
            <v/>
          </cell>
          <cell r="Y722" t="str">
            <v/>
          </cell>
          <cell r="Z722" t="str">
            <v/>
          </cell>
          <cell r="AA722" t="str">
            <v/>
          </cell>
          <cell r="AB722" t="str">
            <v>Jayme Truong Feb 28, 2025 3:52 PM</v>
          </cell>
          <cell r="AC722">
            <v>45719</v>
          </cell>
          <cell r="AD722" t="str">
            <v/>
          </cell>
          <cell r="AE722" t="str">
            <v/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</row>
        <row r="723">
          <cell r="C723">
            <v>60325</v>
          </cell>
          <cell r="E723" t="str">
            <v/>
          </cell>
          <cell r="F723" t="str">
            <v>Service</v>
          </cell>
          <cell r="G723" t="str">
            <v>Invoice Sent</v>
          </cell>
          <cell r="H723" t="str">
            <v>No</v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>https://panda-windows-and-doors.monday.com/protected_static/21046287/resources/1997734556/9415 B&amp;D Glass.pdf</v>
          </cell>
          <cell r="O723" t="str">
            <v/>
          </cell>
          <cell r="P723" t="str">
            <v/>
          </cell>
          <cell r="Q723" t="str">
            <v>https://panda-windows-and-doors.monday.com/protected_static/21046287/resources/1996683442/Service Form.pdf</v>
          </cell>
          <cell r="R723" t="str">
            <v/>
          </cell>
          <cell r="S723" t="str">
            <v/>
          </cell>
          <cell r="T723" t="str">
            <v/>
          </cell>
          <cell r="U723">
            <v>0</v>
          </cell>
          <cell r="V723">
            <v>257</v>
          </cell>
          <cell r="W723" t="str">
            <v>Sean Lopez Apr 20, 2026 3:45 PM</v>
          </cell>
          <cell r="X723" t="str">
            <v/>
          </cell>
          <cell r="Y723">
            <v>45721</v>
          </cell>
          <cell r="Z723" t="str">
            <v/>
          </cell>
          <cell r="AA723">
            <v>45721</v>
          </cell>
          <cell r="AB723" t="str">
            <v>Jayme Truong Mar 5, 2025 9:05 AM</v>
          </cell>
          <cell r="AC723">
            <v>45721</v>
          </cell>
          <cell r="AD723" t="str">
            <v/>
          </cell>
          <cell r="AE723" t="str">
            <v/>
          </cell>
          <cell r="AF723" t="str">
            <v/>
          </cell>
          <cell r="AG723" t="str">
            <v/>
          </cell>
          <cell r="AH723" t="str">
            <v/>
          </cell>
          <cell r="AI723" t="str">
            <v/>
          </cell>
        </row>
        <row r="724">
          <cell r="C724">
            <v>64559.199999999997</v>
          </cell>
          <cell r="E724" t="str">
            <v/>
          </cell>
          <cell r="F724" t="str">
            <v>Service</v>
          </cell>
          <cell r="G724" t="str">
            <v>Invoice Sent</v>
          </cell>
          <cell r="H724" t="str">
            <v>No</v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>https://panda-windows-and-doors.monday.com/protected_static/21046287/resources/2005683776/9427 West Coast Window Glass Door.pdf</v>
          </cell>
          <cell r="O724" t="str">
            <v/>
          </cell>
          <cell r="P724" t="str">
            <v/>
          </cell>
          <cell r="Q724" t="str">
            <v>https://panda-windows-and-doors.monday.com/protected_static/21046287/resources/2005548474/Service Form.pdf</v>
          </cell>
          <cell r="R724" t="str">
            <v/>
          </cell>
          <cell r="S724" t="str">
            <v/>
          </cell>
          <cell r="T724" t="str">
            <v/>
          </cell>
          <cell r="U724">
            <v>0</v>
          </cell>
          <cell r="V724">
            <v>2940.94</v>
          </cell>
          <cell r="W724" t="str">
            <v>Sean Lopez Apr 20, 2026 3:45 PM</v>
          </cell>
          <cell r="X724" t="str">
            <v/>
          </cell>
          <cell r="Y724">
            <v>45726</v>
          </cell>
          <cell r="Z724" t="str">
            <v/>
          </cell>
          <cell r="AA724">
            <v>45726</v>
          </cell>
          <cell r="AB724" t="str">
            <v>Jayme Truong Mar 10, 2025 10:34 AM</v>
          </cell>
          <cell r="AC724">
            <v>45726</v>
          </cell>
          <cell r="AD724" t="str">
            <v/>
          </cell>
          <cell r="AE724" t="str">
            <v/>
          </cell>
          <cell r="AF724" t="str">
            <v/>
          </cell>
          <cell r="AG724" t="str">
            <v/>
          </cell>
          <cell r="AH724" t="str">
            <v/>
          </cell>
          <cell r="AI724" t="str">
            <v/>
          </cell>
        </row>
        <row r="725">
          <cell r="C725">
            <v>71287</v>
          </cell>
          <cell r="E725" t="str">
            <v/>
          </cell>
          <cell r="F725" t="str">
            <v>Service</v>
          </cell>
          <cell r="G725" t="str">
            <v>Invoice Sent</v>
          </cell>
          <cell r="H725" t="str">
            <v>No</v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>https://panda-windows-and-doors.monday.com/protected_static/21046287/resources/2020568415/9445 Harbor Point.pdf</v>
          </cell>
          <cell r="O725" t="str">
            <v/>
          </cell>
          <cell r="P725" t="str">
            <v/>
          </cell>
          <cell r="Q725" t="str">
            <v>https://panda-windows-and-doors.monday.com/protected_static/21046287/resources/2019696600/Service Form (7).pdf</v>
          </cell>
          <cell r="R725" t="str">
            <v/>
          </cell>
          <cell r="S725" t="str">
            <v/>
          </cell>
          <cell r="T725" t="str">
            <v/>
          </cell>
          <cell r="U725">
            <v>0</v>
          </cell>
          <cell r="V725">
            <v>353.36</v>
          </cell>
          <cell r="W725" t="str">
            <v>Sean Lopez Apr 20, 2026 3:45 PM</v>
          </cell>
          <cell r="X725" t="str">
            <v/>
          </cell>
          <cell r="Y725">
            <v>45733</v>
          </cell>
          <cell r="Z725" t="str">
            <v/>
          </cell>
          <cell r="AA725">
            <v>45733</v>
          </cell>
          <cell r="AB725" t="str">
            <v>Jayme Truong Mar 17, 2025 9:53 AM</v>
          </cell>
          <cell r="AC725">
            <v>45733</v>
          </cell>
          <cell r="AD725" t="str">
            <v/>
          </cell>
          <cell r="AE725" t="str">
            <v/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</row>
        <row r="726">
          <cell r="C726">
            <v>16891</v>
          </cell>
          <cell r="E726" t="str">
            <v/>
          </cell>
          <cell r="F726" t="str">
            <v>Service</v>
          </cell>
          <cell r="G726" t="str">
            <v>Invoice Sent</v>
          </cell>
          <cell r="H726" t="str">
            <v>No</v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>https://panda-windows-and-doors.monday.com/protected_static/21046287/resources/2028385302/9461 Bronson Construction.pdf</v>
          </cell>
          <cell r="O726" t="str">
            <v/>
          </cell>
          <cell r="P726" t="str">
            <v/>
          </cell>
          <cell r="Q726" t="str">
            <v>https://panda-windows-and-doors.monday.com/protected_static/21046287/resources/2026284141/Service Form.pdf, https://panda-windows-and-doors.monday.com/protected_static/21046287/resources/2028386167/9461 Bronson Construction.pdf</v>
          </cell>
          <cell r="R726" t="str">
            <v/>
          </cell>
          <cell r="S726" t="str">
            <v/>
          </cell>
          <cell r="T726" t="str">
            <v/>
          </cell>
          <cell r="U726">
            <v>0</v>
          </cell>
          <cell r="V726">
            <v>4779.54</v>
          </cell>
          <cell r="W726" t="str">
            <v>Sean Lopez Apr 20, 2026 3:45 PM</v>
          </cell>
          <cell r="X726" t="str">
            <v/>
          </cell>
          <cell r="Y726">
            <v>45735</v>
          </cell>
          <cell r="Z726" t="str">
            <v/>
          </cell>
          <cell r="AA726">
            <v>45735</v>
          </cell>
          <cell r="AB726" t="str">
            <v>Jayme Truong Mar 19, 2025 12:24 PM</v>
          </cell>
          <cell r="AC726">
            <v>45736</v>
          </cell>
          <cell r="AD726" t="str">
            <v/>
          </cell>
          <cell r="AE726" t="str">
            <v/>
          </cell>
          <cell r="AF726" t="str">
            <v/>
          </cell>
          <cell r="AG726" t="str">
            <v/>
          </cell>
          <cell r="AH726" t="str">
            <v/>
          </cell>
          <cell r="AI726" t="str">
            <v/>
          </cell>
        </row>
        <row r="727">
          <cell r="C727">
            <v>72110</v>
          </cell>
          <cell r="E727" t="str">
            <v/>
          </cell>
          <cell r="F727" t="str">
            <v>Service</v>
          </cell>
          <cell r="G727" t="str">
            <v>Invoice Sent</v>
          </cell>
          <cell r="H727" t="str">
            <v>No</v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>https://panda-windows-and-doors.monday.com/protected_static/21046287/resources/2029561006/9466 WIS.pdf</v>
          </cell>
          <cell r="O727" t="str">
            <v/>
          </cell>
          <cell r="P727" t="str">
            <v/>
          </cell>
          <cell r="Q727" t="str">
            <v>https://panda-windows-and-doors.monday.com/protected_static/21046287/resources/2029370037/Service Form (14).pdf, https://panda-windows-and-doors.monday.com/protected_static/21046287/resources/2074817017/Service Form (27).pdf</v>
          </cell>
          <cell r="R727" t="str">
            <v/>
          </cell>
          <cell r="S727" t="str">
            <v/>
          </cell>
          <cell r="T727" t="str">
            <v/>
          </cell>
          <cell r="U727">
            <v>0</v>
          </cell>
          <cell r="V727">
            <v>1327.5</v>
          </cell>
          <cell r="W727" t="str">
            <v>Sean Lopez Apr 20, 2026 3:45 PM</v>
          </cell>
          <cell r="X727" t="str">
            <v/>
          </cell>
          <cell r="Y727">
            <v>45736</v>
          </cell>
          <cell r="Z727" t="str">
            <v/>
          </cell>
          <cell r="AA727">
            <v>45736</v>
          </cell>
          <cell r="AB727" t="str">
            <v>Jayme Truong Mar 20, 2025 2:43 PM</v>
          </cell>
          <cell r="AC727">
            <v>45736</v>
          </cell>
          <cell r="AD727" t="str">
            <v/>
          </cell>
          <cell r="AE727" t="str">
            <v/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</row>
        <row r="728">
          <cell r="C728">
            <v>68065</v>
          </cell>
          <cell r="E728" t="str">
            <v/>
          </cell>
          <cell r="F728" t="str">
            <v>Service</v>
          </cell>
          <cell r="G728" t="str">
            <v>Invoice Sent</v>
          </cell>
          <cell r="H728" t="str">
            <v>No</v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>https://panda-windows-and-doors.monday.com/protected_static/21046287/resources/2029573638/9468 Greystar.pdf</v>
          </cell>
          <cell r="O728" t="str">
            <v/>
          </cell>
          <cell r="P728" t="str">
            <v/>
          </cell>
          <cell r="Q728" t="str">
            <v>https://panda-windows-and-doors.monday.com/protected_static/21046287/resources/2028269830/Service Form.pdf</v>
          </cell>
          <cell r="R728" t="str">
            <v/>
          </cell>
          <cell r="S728" t="str">
            <v/>
          </cell>
          <cell r="T728" t="str">
            <v/>
          </cell>
          <cell r="U728">
            <v>0</v>
          </cell>
          <cell r="V728">
            <v>407</v>
          </cell>
          <cell r="W728" t="str">
            <v>Sean Lopez Apr 20, 2026 3:45 PM</v>
          </cell>
          <cell r="X728" t="str">
            <v/>
          </cell>
          <cell r="Y728">
            <v>45736</v>
          </cell>
          <cell r="Z728" t="str">
            <v/>
          </cell>
          <cell r="AA728">
            <v>45736</v>
          </cell>
          <cell r="AB728" t="str">
            <v>Jayme Truong Mar 20, 2025 8:37 AM</v>
          </cell>
          <cell r="AC728">
            <v>45736</v>
          </cell>
          <cell r="AD728" t="str">
            <v/>
          </cell>
          <cell r="AE728" t="str">
            <v/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</row>
        <row r="729">
          <cell r="C729">
            <v>58695</v>
          </cell>
          <cell r="E729" t="str">
            <v/>
          </cell>
          <cell r="F729" t="str">
            <v>Service</v>
          </cell>
          <cell r="G729" t="str">
            <v>Invoice Sent</v>
          </cell>
          <cell r="H729" t="str">
            <v>No</v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>https://panda-windows-and-doors.monday.com/protected_static/21046287/resources/2031228905/9469 Master Home Works.pdf</v>
          </cell>
          <cell r="O729" t="str">
            <v/>
          </cell>
          <cell r="P729" t="str">
            <v/>
          </cell>
          <cell r="Q729" t="str">
            <v>https://panda-windows-and-doors.monday.com/protected_static/21046287/resources/2031094484/Service Form.pdf</v>
          </cell>
          <cell r="R729" t="str">
            <v/>
          </cell>
          <cell r="S729" t="str">
            <v/>
          </cell>
          <cell r="T729" t="str">
            <v/>
          </cell>
          <cell r="U729">
            <v>0</v>
          </cell>
          <cell r="V729">
            <v>377.59</v>
          </cell>
          <cell r="W729" t="str">
            <v>Sean Lopez Apr 20, 2026 3:45 PM</v>
          </cell>
          <cell r="X729" t="str">
            <v/>
          </cell>
          <cell r="Y729">
            <v>45737</v>
          </cell>
          <cell r="Z729" t="str">
            <v/>
          </cell>
          <cell r="AA729">
            <v>45737</v>
          </cell>
          <cell r="AB729" t="str">
            <v>Jayme Truong Mar 21, 2025 10:10 AM</v>
          </cell>
          <cell r="AC729">
            <v>45737</v>
          </cell>
          <cell r="AD729" t="str">
            <v/>
          </cell>
          <cell r="AE729" t="str">
            <v/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</row>
        <row r="730">
          <cell r="C730">
            <v>65519</v>
          </cell>
          <cell r="E730" t="str">
            <v/>
          </cell>
          <cell r="F730" t="str">
            <v>Service</v>
          </cell>
          <cell r="G730" t="str">
            <v>Invoice Sent</v>
          </cell>
          <cell r="H730" t="str">
            <v>No</v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>https://panda-windows-and-doors.monday.com/protected_static/21046287/resources/2053244694/9510 Michael McAuliffe.pdf</v>
          </cell>
          <cell r="O730" t="str">
            <v/>
          </cell>
          <cell r="P730" t="str">
            <v/>
          </cell>
          <cell r="Q730" t="str">
            <v>https://panda-windows-and-doors.monday.com/protected_static/21046287/resources/2052447941/Service Form.pdf</v>
          </cell>
          <cell r="R730" t="str">
            <v/>
          </cell>
          <cell r="S730" t="str">
            <v/>
          </cell>
          <cell r="T730" t="str">
            <v/>
          </cell>
          <cell r="U730">
            <v>0</v>
          </cell>
          <cell r="V730">
            <v>77</v>
          </cell>
          <cell r="W730" t="str">
            <v>Sean Lopez Apr 20, 2026 3:45 PM</v>
          </cell>
          <cell r="X730" t="str">
            <v/>
          </cell>
          <cell r="Y730">
            <v>45748</v>
          </cell>
          <cell r="Z730" t="str">
            <v/>
          </cell>
          <cell r="AA730">
            <v>45748</v>
          </cell>
          <cell r="AB730" t="str">
            <v>Jayme Truong Apr 1, 2025 8:16 AM</v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</row>
        <row r="731">
          <cell r="C731">
            <v>83040</v>
          </cell>
          <cell r="E731" t="str">
            <v/>
          </cell>
          <cell r="F731" t="str">
            <v>Service</v>
          </cell>
          <cell r="G731" t="str">
            <v>Invoice Sent</v>
          </cell>
          <cell r="H731" t="str">
            <v>No</v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>https://panda-windows-and-doors.monday.com/protected_static/21046287/resources/1988355242/9401 Brandon Handyman Services.pdf</v>
          </cell>
          <cell r="O731" t="str">
            <v/>
          </cell>
          <cell r="P731" t="str">
            <v/>
          </cell>
          <cell r="Q731" t="str">
            <v>https://panda-windows-and-doors.monday.com/protected_static/21046287/resources/1983528279/Service Form.pdf, https://panda-windows-and-doors.monday.com/protected_static/21046287/resources/1988357406/9401 Brandon Handyman Services.pdf</v>
          </cell>
          <cell r="R731" t="str">
            <v/>
          </cell>
          <cell r="S731" t="str">
            <v/>
          </cell>
          <cell r="T731" t="str">
            <v/>
          </cell>
          <cell r="U731">
            <v>0</v>
          </cell>
          <cell r="V731">
            <v>29</v>
          </cell>
          <cell r="W731" t="str">
            <v>Sean Lopez Apr 20, 2026 3:45 PM</v>
          </cell>
          <cell r="X731" t="str">
            <v/>
          </cell>
          <cell r="Y731">
            <v>45713</v>
          </cell>
          <cell r="Z731" t="str">
            <v/>
          </cell>
          <cell r="AA731">
            <v>45748</v>
          </cell>
          <cell r="AB731" t="str">
            <v>Jayme Truong Feb 25, 2025 9:05 AM</v>
          </cell>
          <cell r="AC731">
            <v>45749</v>
          </cell>
          <cell r="AD731" t="str">
            <v/>
          </cell>
          <cell r="AE731" t="str">
            <v/>
          </cell>
          <cell r="AF731">
            <v>45749</v>
          </cell>
          <cell r="AG731">
            <v>45722</v>
          </cell>
          <cell r="AH731" t="str">
            <v/>
          </cell>
          <cell r="AI731" t="str">
            <v/>
          </cell>
        </row>
        <row r="732">
          <cell r="C732">
            <v>5422</v>
          </cell>
          <cell r="E732" t="str">
            <v/>
          </cell>
          <cell r="F732" t="str">
            <v>Service</v>
          </cell>
          <cell r="G732" t="str">
            <v>Invoice Sent</v>
          </cell>
          <cell r="H732" t="str">
            <v>No</v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>https://panda-windows-and-doors.monday.com/protected_static/21046287/resources/2072863095/9546 it works glass.pdf</v>
          </cell>
          <cell r="O732" t="str">
            <v/>
          </cell>
          <cell r="P732" t="str">
            <v/>
          </cell>
          <cell r="Q732" t="str">
            <v>https://panda-windows-and-doors.monday.com/protected_static/21046287/resources/2072721252/Service Form.pdf</v>
          </cell>
          <cell r="R732" t="str">
            <v/>
          </cell>
          <cell r="S732" t="str">
            <v/>
          </cell>
          <cell r="T732" t="str">
            <v/>
          </cell>
          <cell r="U732">
            <v>0</v>
          </cell>
          <cell r="V732">
            <v>4915.8999999999996</v>
          </cell>
          <cell r="W732" t="str">
            <v>Sean Lopez Apr 20, 2026 3:45 PM</v>
          </cell>
          <cell r="X732" t="str">
            <v/>
          </cell>
          <cell r="Y732">
            <v>45756</v>
          </cell>
          <cell r="Z732" t="str">
            <v/>
          </cell>
          <cell r="AA732">
            <v>45756</v>
          </cell>
          <cell r="AB732" t="str">
            <v>Jayme Truong Apr 9, 2025 3:57 PM</v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  <cell r="AG732" t="str">
            <v/>
          </cell>
          <cell r="AH732" t="str">
            <v/>
          </cell>
          <cell r="AI732" t="str">
            <v/>
          </cell>
        </row>
        <row r="733">
          <cell r="C733">
            <v>78097</v>
          </cell>
          <cell r="E733" t="str">
            <v/>
          </cell>
          <cell r="F733" t="str">
            <v>Service</v>
          </cell>
          <cell r="G733" t="str">
            <v>Invoice Sent</v>
          </cell>
          <cell r="H733" t="str">
            <v>No</v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>https://panda-windows-and-doors.monday.com/protected_static/21046287/resources/2086485733/9579 R&amp;D Door and Window.pdf</v>
          </cell>
          <cell r="O733" t="str">
            <v/>
          </cell>
          <cell r="P733" t="str">
            <v/>
          </cell>
          <cell r="Q733" t="str">
            <v>https://panda-windows-and-doors.monday.com/protected_static/21046287/resources/2086263909/Service Form.pdf</v>
          </cell>
          <cell r="R733" t="str">
            <v/>
          </cell>
          <cell r="S733" t="str">
            <v/>
          </cell>
          <cell r="T733" t="str">
            <v/>
          </cell>
          <cell r="U733">
            <v>0</v>
          </cell>
          <cell r="V733">
            <v>153</v>
          </cell>
          <cell r="W733" t="str">
            <v>Sean Lopez Apr 20, 2026 3:46 PM</v>
          </cell>
          <cell r="X733" t="str">
            <v/>
          </cell>
          <cell r="Y733">
            <v>45763</v>
          </cell>
          <cell r="Z733" t="str">
            <v/>
          </cell>
          <cell r="AA733">
            <v>45763</v>
          </cell>
          <cell r="AB733" t="str">
            <v>Jayme Truong Apr 16, 2025 11:48 AM</v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</row>
        <row r="734">
          <cell r="C734" t="str">
            <v>Synergy</v>
          </cell>
          <cell r="E734" t="str">
            <v/>
          </cell>
          <cell r="F734" t="str">
            <v>Service</v>
          </cell>
          <cell r="G734" t="str">
            <v>Invoice Sent</v>
          </cell>
          <cell r="H734" t="str">
            <v>No</v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>https://panda-windows-and-doors.monday.com/protected_static/21046287/resources/2094455721/9587 Synergy Windows.pdf</v>
          </cell>
          <cell r="O734" t="str">
            <v/>
          </cell>
          <cell r="P734" t="str">
            <v/>
          </cell>
          <cell r="Q734" t="str">
            <v>https://panda-windows-and-doors.monday.com/protected_static/21046287/resources/2092977874/Service Form (33).pdf</v>
          </cell>
          <cell r="R734" t="str">
            <v/>
          </cell>
          <cell r="S734" t="str">
            <v/>
          </cell>
          <cell r="T734" t="str">
            <v/>
          </cell>
          <cell r="U734">
            <v>0</v>
          </cell>
          <cell r="V734">
            <v>378</v>
          </cell>
          <cell r="W734" t="str">
            <v>Sean Lopez Apr 20, 2026 3:46 PM</v>
          </cell>
          <cell r="X734" t="str">
            <v/>
          </cell>
          <cell r="Y734">
            <v>45768</v>
          </cell>
          <cell r="Z734" t="str">
            <v/>
          </cell>
          <cell r="AA734">
            <v>45768</v>
          </cell>
          <cell r="AB734" t="str">
            <v>Jayme Truong Apr 21, 2025 3:02 PM</v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</row>
        <row r="735">
          <cell r="C735">
            <v>80311.100000000006</v>
          </cell>
          <cell r="E735" t="str">
            <v/>
          </cell>
          <cell r="F735" t="str">
            <v>Service</v>
          </cell>
          <cell r="G735" t="str">
            <v>Invoice Sent</v>
          </cell>
          <cell r="H735" t="str">
            <v>No</v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>https://panda-windows-and-doors.monday.com/protected_static/21046287/resources/2120390229/9632 Polk Architectural.pdf</v>
          </cell>
          <cell r="O735" t="str">
            <v/>
          </cell>
          <cell r="P735" t="str">
            <v/>
          </cell>
          <cell r="Q735" t="str">
            <v>https://panda-windows-and-doors.monday.com/protected_static/21046287/resources/2120196837/Service Form (44).pdf</v>
          </cell>
          <cell r="R735" t="str">
            <v/>
          </cell>
          <cell r="S735" t="str">
            <v/>
          </cell>
          <cell r="T735" t="str">
            <v/>
          </cell>
          <cell r="U735">
            <v>0</v>
          </cell>
          <cell r="V735">
            <v>449</v>
          </cell>
          <cell r="W735" t="str">
            <v>Sean Lopez Apr 20, 2026 3:46 PM</v>
          </cell>
          <cell r="X735" t="str">
            <v/>
          </cell>
          <cell r="Y735">
            <v>45779</v>
          </cell>
          <cell r="Z735" t="str">
            <v/>
          </cell>
          <cell r="AA735">
            <v>45782</v>
          </cell>
          <cell r="AB735" t="str">
            <v>Jayme Truong May 2, 2025 4:07 PM</v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  <cell r="AG735" t="str">
            <v/>
          </cell>
          <cell r="AH735" t="str">
            <v/>
          </cell>
          <cell r="AI735" t="str">
            <v/>
          </cell>
        </row>
        <row r="736">
          <cell r="C736">
            <v>71287</v>
          </cell>
          <cell r="E736" t="str">
            <v/>
          </cell>
          <cell r="F736" t="str">
            <v>Service</v>
          </cell>
          <cell r="G736" t="str">
            <v>Invoice Sent</v>
          </cell>
          <cell r="H736" t="str">
            <v>No</v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>https://panda-windows-and-doors.monday.com/protected_static/21046287/resources/2135303234/Service Form (47).pdf</v>
          </cell>
          <cell r="R736" t="str">
            <v/>
          </cell>
          <cell r="S736" t="str">
            <v/>
          </cell>
          <cell r="T736" t="str">
            <v/>
          </cell>
          <cell r="U736">
            <v>0</v>
          </cell>
          <cell r="V736">
            <v>245</v>
          </cell>
          <cell r="W736" t="str">
            <v>Elizabet Lopez May 13, 2025 10:46 AM</v>
          </cell>
          <cell r="X736" t="str">
            <v/>
          </cell>
          <cell r="Y736">
            <v>45789</v>
          </cell>
          <cell r="Z736" t="str">
            <v/>
          </cell>
          <cell r="AA736">
            <v>45789</v>
          </cell>
          <cell r="AB736" t="str">
            <v>Jayme Truong May 12, 2025 1:05 PM</v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  <cell r="AG736" t="str">
            <v/>
          </cell>
          <cell r="AH736" t="str">
            <v/>
          </cell>
          <cell r="AI736" t="str">
            <v/>
          </cell>
        </row>
        <row r="737">
          <cell r="C737" t="str">
            <v>Fontainbleau</v>
          </cell>
          <cell r="E737" t="str">
            <v/>
          </cell>
          <cell r="F737" t="str">
            <v>Service</v>
          </cell>
          <cell r="G737" t="str">
            <v>Invoice Sent</v>
          </cell>
          <cell r="H737" t="str">
            <v>No</v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>https://panda-windows-and-doors.monday.com/protected_static/21046287/resources/2137893890/9650 Giroux GLass.pdf</v>
          </cell>
          <cell r="O737" t="str">
            <v/>
          </cell>
          <cell r="P737" t="str">
            <v/>
          </cell>
          <cell r="Q737" t="str">
            <v>https://panda-windows-and-doors.monday.com/protected_static/21046287/resources/2137875862/Service Form (27).pdf</v>
          </cell>
          <cell r="R737" t="str">
            <v/>
          </cell>
          <cell r="S737" t="str">
            <v/>
          </cell>
          <cell r="T737" t="str">
            <v/>
          </cell>
          <cell r="U737">
            <v>0</v>
          </cell>
          <cell r="V737">
            <v>114</v>
          </cell>
          <cell r="W737" t="str">
            <v>Sean Lopez Apr 20, 2026 3:46 PM</v>
          </cell>
          <cell r="X737" t="str">
            <v/>
          </cell>
          <cell r="Y737">
            <v>45790</v>
          </cell>
          <cell r="Z737" t="str">
            <v/>
          </cell>
          <cell r="AA737">
            <v>45790</v>
          </cell>
          <cell r="AB737" t="str">
            <v>Jayme Truong May 13, 2025 10:19 AM</v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  <cell r="AG737" t="str">
            <v/>
          </cell>
          <cell r="AH737" t="str">
            <v/>
          </cell>
          <cell r="AI737" t="str">
            <v/>
          </cell>
        </row>
        <row r="738">
          <cell r="C738">
            <v>13802</v>
          </cell>
          <cell r="E738" t="str">
            <v/>
          </cell>
          <cell r="F738" t="str">
            <v>Service</v>
          </cell>
          <cell r="G738" t="str">
            <v>Invoice Sent</v>
          </cell>
          <cell r="H738" t="str">
            <v>No</v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>https://panda-windows-and-doors.monday.com/protected_static/21046287/resources/2138247650/9653 Aloft Hotel.pdf</v>
          </cell>
          <cell r="O738" t="str">
            <v/>
          </cell>
          <cell r="P738" t="str">
            <v/>
          </cell>
          <cell r="Q738" t="str">
            <v>https://panda-windows-and-doors.monday.com/protected_static/21046287/resources/2138086246/Service Form (29).pdf, https://panda-windows-and-doors.monday.com/protected_static/21046287/resources/2844935573/Service Form.pdf</v>
          </cell>
          <cell r="R738" t="str">
            <v/>
          </cell>
          <cell r="S738" t="str">
            <v/>
          </cell>
          <cell r="T738" t="str">
            <v/>
          </cell>
          <cell r="U738">
            <v>0</v>
          </cell>
          <cell r="V738">
            <v>481</v>
          </cell>
          <cell r="W738" t="str">
            <v>Sean Lopez Apr 20, 2026 3:46 PM</v>
          </cell>
          <cell r="X738" t="str">
            <v/>
          </cell>
          <cell r="Y738">
            <v>45790</v>
          </cell>
          <cell r="Z738" t="str">
            <v/>
          </cell>
          <cell r="AA738">
            <v>45790</v>
          </cell>
          <cell r="AB738" t="str">
            <v>Jayme Truong May 13, 2025 12:03 PM</v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</row>
        <row r="739">
          <cell r="C739" t="str">
            <v>83312 -Nortonville</v>
          </cell>
          <cell r="E739" t="str">
            <v/>
          </cell>
          <cell r="F739" t="str">
            <v>Service</v>
          </cell>
          <cell r="G739" t="str">
            <v>Invoice Sent</v>
          </cell>
          <cell r="H739" t="str">
            <v>No</v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>https://panda-windows-and-doors.monday.com/protected_static/21046287/resources/2137983726/Service Form (48).pdf</v>
          </cell>
          <cell r="R739" t="str">
            <v/>
          </cell>
          <cell r="S739" t="str">
            <v/>
          </cell>
          <cell r="T739" t="str">
            <v/>
          </cell>
          <cell r="U739">
            <v>0</v>
          </cell>
          <cell r="V739">
            <v>59</v>
          </cell>
          <cell r="W739" t="str">
            <v>Sean Lopez Apr 20, 2026 3:46 PM</v>
          </cell>
          <cell r="X739" t="str">
            <v/>
          </cell>
          <cell r="Y739">
            <v>45790</v>
          </cell>
          <cell r="Z739" t="str">
            <v/>
          </cell>
          <cell r="AA739">
            <v>45790</v>
          </cell>
          <cell r="AB739" t="str">
            <v>Jayme Truong May 13, 2025 11:35 AM</v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</row>
        <row r="740">
          <cell r="C740">
            <v>62286</v>
          </cell>
          <cell r="E740" t="str">
            <v/>
          </cell>
          <cell r="F740" t="str">
            <v>Service</v>
          </cell>
          <cell r="G740" t="str">
            <v>Creating Invoice</v>
          </cell>
          <cell r="H740" t="str">
            <v>No</v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>https://panda-windows-and-doors.monday.com/protected_static/21046287/resources/2150881585/Service Form (35).pdf</v>
          </cell>
          <cell r="R740" t="str">
            <v/>
          </cell>
          <cell r="S740" t="str">
            <v/>
          </cell>
          <cell r="T740" t="str">
            <v/>
          </cell>
          <cell r="U740">
            <v>0</v>
          </cell>
          <cell r="V740">
            <v>293</v>
          </cell>
          <cell r="W740" t="str">
            <v>Annalene Conde Jun 10, 2026 1:35 PM</v>
          </cell>
          <cell r="X740" t="str">
            <v/>
          </cell>
          <cell r="Y740">
            <v>45796</v>
          </cell>
          <cell r="Z740" t="str">
            <v/>
          </cell>
          <cell r="AA740">
            <v>45796</v>
          </cell>
          <cell r="AB740" t="str">
            <v>Jayme Truong May 19, 2025 4:31 PM</v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</row>
        <row r="741">
          <cell r="C741">
            <v>60679.1</v>
          </cell>
          <cell r="E741" t="str">
            <v/>
          </cell>
          <cell r="F741" t="str">
            <v>Service</v>
          </cell>
          <cell r="G741" t="str">
            <v>Creating Invoice</v>
          </cell>
          <cell r="H741" t="str">
            <v>No</v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>https://panda-windows-and-doors.monday.com/protected_static/21046287/resources/2174050228/Service Form (56).pdf</v>
          </cell>
          <cell r="O741" t="str">
            <v/>
          </cell>
          <cell r="P741" t="str">
            <v/>
          </cell>
          <cell r="Q741" t="str">
            <v>https://panda-windows-and-doors.monday.com/protected_static/21046287/resources/2188634887/Service Form (61).pdf</v>
          </cell>
          <cell r="R741" t="str">
            <v/>
          </cell>
          <cell r="S741" t="str">
            <v/>
          </cell>
          <cell r="T741" t="str">
            <v/>
          </cell>
          <cell r="U741">
            <v>0</v>
          </cell>
          <cell r="V741">
            <v>485</v>
          </cell>
          <cell r="W741" t="str">
            <v>Annalene Conde Jun 10, 2026 1:35 PM</v>
          </cell>
          <cell r="X741" t="str">
            <v/>
          </cell>
          <cell r="Y741">
            <v>45806</v>
          </cell>
          <cell r="Z741" t="str">
            <v/>
          </cell>
          <cell r="AA741">
            <v>45807</v>
          </cell>
          <cell r="AB741" t="str">
            <v>Jayme Truong May 29, 2025 2:01 PM</v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</row>
        <row r="742">
          <cell r="C742">
            <v>75849.100000000006</v>
          </cell>
          <cell r="E742" t="str">
            <v/>
          </cell>
          <cell r="F742" t="str">
            <v>Service</v>
          </cell>
          <cell r="G742" t="str">
            <v>Invoice Sent</v>
          </cell>
          <cell r="H742" t="str">
            <v>No</v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>https://panda-windows-and-doors.monday.com/protected_static/21046287/resources/2182571400/Service Form (46).pdf</v>
          </cell>
          <cell r="R742" t="str">
            <v/>
          </cell>
          <cell r="S742" t="str">
            <v/>
          </cell>
          <cell r="T742" t="str">
            <v/>
          </cell>
          <cell r="U742">
            <v>0</v>
          </cell>
          <cell r="V742">
            <v>39</v>
          </cell>
          <cell r="W742" t="str">
            <v>Sean Lopez Apr 20, 2026 3:46 PM</v>
          </cell>
          <cell r="X742" t="str">
            <v/>
          </cell>
          <cell r="Y742">
            <v>45811</v>
          </cell>
          <cell r="Z742" t="str">
            <v/>
          </cell>
          <cell r="AA742">
            <v>45811</v>
          </cell>
          <cell r="AB742" t="str">
            <v>Jayme Truong Jun 3, 2025 2:20 PM</v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</row>
        <row r="743">
          <cell r="C743">
            <v>74570</v>
          </cell>
          <cell r="E743" t="str">
            <v/>
          </cell>
          <cell r="F743" t="str">
            <v>Service</v>
          </cell>
          <cell r="G743" t="str">
            <v>Invoice Sent</v>
          </cell>
          <cell r="H743" t="str">
            <v>No</v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>https://panda-windows-and-doors.monday.com/protected_static/21046287/resources/2188586445/Service Form.pdf</v>
          </cell>
          <cell r="R743" t="str">
            <v/>
          </cell>
          <cell r="S743" t="str">
            <v/>
          </cell>
          <cell r="T743" t="str">
            <v/>
          </cell>
          <cell r="U743">
            <v>0</v>
          </cell>
          <cell r="V743">
            <v>600</v>
          </cell>
          <cell r="W743" t="str">
            <v>Sean Lopez Apr 20, 2026 3:46 PM</v>
          </cell>
          <cell r="X743" t="str">
            <v/>
          </cell>
          <cell r="Y743">
            <v>45813</v>
          </cell>
          <cell r="Z743" t="str">
            <v/>
          </cell>
          <cell r="AA743">
            <v>45814</v>
          </cell>
          <cell r="AB743" t="str">
            <v>Jayme Truong Jun 5, 2025 2:51 PM</v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</row>
        <row r="744">
          <cell r="C744" t="str">
            <v>73482-S</v>
          </cell>
          <cell r="E744" t="str">
            <v/>
          </cell>
          <cell r="F744" t="str">
            <v>Service</v>
          </cell>
          <cell r="G744" t="str">
            <v>Invoice Sent</v>
          </cell>
          <cell r="H744" t="str">
            <v>No</v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>https://panda-windows-and-doors.monday.com/protected_static/21046287/resources/2190969870/Service Form (63).pdf</v>
          </cell>
          <cell r="R744" t="str">
            <v/>
          </cell>
          <cell r="S744" t="str">
            <v/>
          </cell>
          <cell r="T744" t="str">
            <v/>
          </cell>
          <cell r="U744">
            <v>0</v>
          </cell>
          <cell r="V744">
            <v>1580</v>
          </cell>
          <cell r="W744" t="str">
            <v>Sean Lopez Apr 20, 2026 3:46 PM</v>
          </cell>
          <cell r="X744" t="str">
            <v/>
          </cell>
          <cell r="Y744">
            <v>45814</v>
          </cell>
          <cell r="Z744" t="str">
            <v/>
          </cell>
          <cell r="AA744">
            <v>45814</v>
          </cell>
          <cell r="AB744" t="str">
            <v>Jayme Truong Jun 6, 2025 2:20 PM</v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  <cell r="AG744" t="str">
            <v/>
          </cell>
          <cell r="AH744" t="str">
            <v/>
          </cell>
          <cell r="AI744" t="str">
            <v/>
          </cell>
        </row>
        <row r="745">
          <cell r="C745" t="str">
            <v>Tom Macon</v>
          </cell>
          <cell r="E745" t="str">
            <v/>
          </cell>
          <cell r="F745" t="str">
            <v>Service</v>
          </cell>
          <cell r="G745" t="str">
            <v>Invoice Sent</v>
          </cell>
          <cell r="H745" t="str">
            <v>No</v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>https://panda-windows-and-doors.monday.com/protected_static/21046287/resources/2198497309/Service Form (65).pdf</v>
          </cell>
          <cell r="R745" t="str">
            <v/>
          </cell>
          <cell r="S745" t="str">
            <v/>
          </cell>
          <cell r="T745" t="str">
            <v/>
          </cell>
          <cell r="U745">
            <v>0</v>
          </cell>
          <cell r="V745">
            <v>605</v>
          </cell>
          <cell r="W745" t="str">
            <v>Sean Lopez Apr 20, 2026 3:46 PM</v>
          </cell>
          <cell r="X745" t="str">
            <v/>
          </cell>
          <cell r="Y745">
            <v>45819</v>
          </cell>
          <cell r="Z745" t="str">
            <v/>
          </cell>
          <cell r="AA745">
            <v>45819</v>
          </cell>
          <cell r="AB745" t="str">
            <v>Jayme Truong Jun 11, 2025 7:55 AM</v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</row>
        <row r="746">
          <cell r="C746">
            <v>63102</v>
          </cell>
          <cell r="E746" t="str">
            <v/>
          </cell>
          <cell r="F746" t="str">
            <v>Service</v>
          </cell>
          <cell r="G746" t="str">
            <v>Invoice Sent</v>
          </cell>
          <cell r="H746" t="str">
            <v>No</v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>https://panda-windows-and-doors.monday.com/protected_static/21046287/resources/2211278570/Service Form.pdf, https://panda-windows-and-doors.monday.com/protected_static/21046287/resources/2803939422/Service Form.pdf</v>
          </cell>
          <cell r="R746" t="str">
            <v/>
          </cell>
          <cell r="S746" t="str">
            <v/>
          </cell>
          <cell r="T746" t="str">
            <v/>
          </cell>
          <cell r="U746">
            <v>0</v>
          </cell>
          <cell r="V746">
            <v>257</v>
          </cell>
          <cell r="W746" t="str">
            <v>Sean Lopez Apr 20, 2026 3:46 PM</v>
          </cell>
          <cell r="X746" t="str">
            <v/>
          </cell>
          <cell r="Y746">
            <v>45825</v>
          </cell>
          <cell r="Z746" t="str">
            <v/>
          </cell>
          <cell r="AA746">
            <v>45825</v>
          </cell>
          <cell r="AB746" t="str">
            <v>Jayme Truong Jun 17, 2025 12:47 PM</v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</row>
        <row r="747">
          <cell r="C747" t="str">
            <v>Priority Doors</v>
          </cell>
          <cell r="E747" t="str">
            <v/>
          </cell>
          <cell r="F747" t="str">
            <v>Service</v>
          </cell>
          <cell r="G747" t="str">
            <v>Invoice Sent</v>
          </cell>
          <cell r="H747" t="str">
            <v>No</v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>https://panda-windows-and-doors.monday.com/protected_static/21046287/resources/2211670546/Service Form (69).pdf</v>
          </cell>
          <cell r="R747" t="str">
            <v/>
          </cell>
          <cell r="S747" t="str">
            <v/>
          </cell>
          <cell r="T747" t="str">
            <v/>
          </cell>
          <cell r="U747">
            <v>0</v>
          </cell>
          <cell r="V747">
            <v>5007.8999999999996</v>
          </cell>
          <cell r="W747" t="str">
            <v>Sean Lopez Apr 20, 2026 3:46 PM</v>
          </cell>
          <cell r="X747" t="str">
            <v/>
          </cell>
          <cell r="Y747">
            <v>45825</v>
          </cell>
          <cell r="Z747" t="str">
            <v/>
          </cell>
          <cell r="AA747">
            <v>45825</v>
          </cell>
          <cell r="AB747" t="str">
            <v>Jayme Truong Jun 17, 2025 2:21 PM</v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  <cell r="AG747" t="str">
            <v/>
          </cell>
          <cell r="AH747" t="str">
            <v/>
          </cell>
          <cell r="AI747" t="str">
            <v/>
          </cell>
        </row>
        <row r="748">
          <cell r="C748">
            <v>2891</v>
          </cell>
          <cell r="E748" t="str">
            <v/>
          </cell>
          <cell r="F748" t="str">
            <v>Service</v>
          </cell>
          <cell r="G748" t="str">
            <v>Invoice Sent</v>
          </cell>
          <cell r="H748" t="str">
            <v>No</v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>https://panda-windows-and-doors.monday.com/protected_static/21046287/resources/2212087037/Service Form.pdf</v>
          </cell>
          <cell r="O748" t="str">
            <v/>
          </cell>
          <cell r="P748" t="str">
            <v/>
          </cell>
          <cell r="Q748" t="str">
            <v>https://panda-windows-and-doors.monday.com/protected_static/21046287/resources/2211037707/Service Form.pdf</v>
          </cell>
          <cell r="R748" t="str">
            <v/>
          </cell>
          <cell r="S748" t="str">
            <v/>
          </cell>
          <cell r="T748" t="str">
            <v/>
          </cell>
          <cell r="U748">
            <v>0</v>
          </cell>
          <cell r="V748">
            <v>35613</v>
          </cell>
          <cell r="W748" t="str">
            <v>Sean Lopez Apr 20, 2026 3:46 PM</v>
          </cell>
          <cell r="X748" t="str">
            <v/>
          </cell>
          <cell r="Y748">
            <v>45825</v>
          </cell>
          <cell r="Z748" t="str">
            <v/>
          </cell>
          <cell r="AA748">
            <v>45825</v>
          </cell>
          <cell r="AB748" t="str">
            <v>Jayme Truong Jun 17, 2025 11:28 AM</v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</row>
        <row r="749">
          <cell r="C749" t="str">
            <v>Glazing Concepts-S</v>
          </cell>
          <cell r="E749" t="str">
            <v/>
          </cell>
          <cell r="F749" t="str">
            <v>Service</v>
          </cell>
          <cell r="G749" t="str">
            <v>Invoice Sent</v>
          </cell>
          <cell r="H749" t="str">
            <v>No</v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>https://panda-windows-and-doors.monday.com/protected_static/21046287/resources/2219340438/Service Form (72).pdf</v>
          </cell>
          <cell r="R749" t="str">
            <v/>
          </cell>
          <cell r="S749" t="str">
            <v/>
          </cell>
          <cell r="T749" t="str">
            <v/>
          </cell>
          <cell r="U749">
            <v>0</v>
          </cell>
          <cell r="V749">
            <v>85</v>
          </cell>
          <cell r="W749" t="str">
            <v>Sean Lopez Apr 20, 2026 3:46 PM</v>
          </cell>
          <cell r="X749" t="str">
            <v/>
          </cell>
          <cell r="Y749">
            <v>45828</v>
          </cell>
          <cell r="Z749" t="str">
            <v/>
          </cell>
          <cell r="AA749">
            <v>45828</v>
          </cell>
          <cell r="AB749" t="str">
            <v>Jayme Truong Jun 20, 2025 3:50 PM</v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</row>
        <row r="750">
          <cell r="C750" t="str">
            <v>71287-S</v>
          </cell>
          <cell r="E750" t="str">
            <v/>
          </cell>
          <cell r="F750" t="str">
            <v>Service</v>
          </cell>
          <cell r="G750" t="str">
            <v>Invoice Sent</v>
          </cell>
          <cell r="H750" t="str">
            <v>No</v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>https://panda-windows-and-doors.monday.com/protected_static/21046287/resources/2229254675/Service Form (73).pdf</v>
          </cell>
          <cell r="R750" t="str">
            <v/>
          </cell>
          <cell r="S750" t="str">
            <v/>
          </cell>
          <cell r="T750" t="str">
            <v/>
          </cell>
          <cell r="U750">
            <v>0</v>
          </cell>
          <cell r="V750">
            <v>2525.14</v>
          </cell>
          <cell r="W750" t="str">
            <v>Sean Lopez Apr 20, 2026 3:46 PM</v>
          </cell>
          <cell r="X750" t="str">
            <v/>
          </cell>
          <cell r="Y750">
            <v>45833</v>
          </cell>
          <cell r="Z750" t="str">
            <v/>
          </cell>
          <cell r="AA750">
            <v>45833</v>
          </cell>
          <cell r="AB750" t="str">
            <v>Jayme Truong Jun 25, 2025 3:06 PM</v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</row>
        <row r="751">
          <cell r="C751">
            <v>79254</v>
          </cell>
          <cell r="E751" t="str">
            <v/>
          </cell>
          <cell r="F751" t="str">
            <v>Service</v>
          </cell>
          <cell r="G751" t="str">
            <v>Invoice Sent</v>
          </cell>
          <cell r="H751" t="str">
            <v>No</v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>https://panda-windows-and-doors.monday.com/protected_static/21046287/resources/2266135270/Service Form (52).pdf</v>
          </cell>
          <cell r="R751" t="str">
            <v/>
          </cell>
          <cell r="S751" t="str">
            <v/>
          </cell>
          <cell r="T751" t="str">
            <v/>
          </cell>
          <cell r="U751">
            <v>0</v>
          </cell>
          <cell r="V751">
            <v>90</v>
          </cell>
          <cell r="W751" t="str">
            <v>Sean Lopez Apr 20, 2026 3:46 PM</v>
          </cell>
          <cell r="X751" t="str">
            <v/>
          </cell>
          <cell r="Y751">
            <v>45840</v>
          </cell>
          <cell r="Z751" t="str">
            <v/>
          </cell>
          <cell r="AA751">
            <v>45840</v>
          </cell>
          <cell r="AB751" t="str">
            <v>Jayme Truong Jul 2, 2025 3:23 PM</v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</row>
        <row r="752">
          <cell r="C752" t="str">
            <v>Roger Phelps</v>
          </cell>
          <cell r="E752" t="str">
            <v/>
          </cell>
          <cell r="F752" t="str">
            <v>Service</v>
          </cell>
          <cell r="G752" t="str">
            <v>Invoice Sent</v>
          </cell>
          <cell r="H752" t="str">
            <v>No</v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>https://panda-windows-and-doors.monday.com/protected_static/21046287/resources/2268249186/Service Form (75).pdf</v>
          </cell>
          <cell r="R752" t="str">
            <v/>
          </cell>
          <cell r="S752" t="str">
            <v/>
          </cell>
          <cell r="T752" t="str">
            <v/>
          </cell>
          <cell r="U752">
            <v>0</v>
          </cell>
          <cell r="V752">
            <v>829</v>
          </cell>
          <cell r="W752" t="str">
            <v>Sean Lopez Apr 20, 2026 3:46 PM</v>
          </cell>
          <cell r="X752" t="str">
            <v/>
          </cell>
          <cell r="Y752">
            <v>45841</v>
          </cell>
          <cell r="Z752" t="str">
            <v/>
          </cell>
          <cell r="AA752">
            <v>45841</v>
          </cell>
          <cell r="AB752" t="str">
            <v>Jayme Truong Jul 3, 2025 12:55 PM</v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</row>
        <row r="753">
          <cell r="C753">
            <v>20910</v>
          </cell>
          <cell r="E753" t="str">
            <v/>
          </cell>
          <cell r="F753" t="str">
            <v>Service</v>
          </cell>
          <cell r="G753" t="str">
            <v>Invoice Sent</v>
          </cell>
          <cell r="H753" t="str">
            <v>No</v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>https://panda-windows-and-doors.monday.com/protected_static/21046287/resources/2277623102/Service Form.pdf, https://panda-windows-and-doors.monday.com/protected_static/21046287/resources/2339473623/Service Form.pdf</v>
          </cell>
          <cell r="R753" t="str">
            <v/>
          </cell>
          <cell r="S753" t="str">
            <v/>
          </cell>
          <cell r="T753" t="str">
            <v/>
          </cell>
          <cell r="U753">
            <v>0</v>
          </cell>
          <cell r="V753">
            <v>446.6</v>
          </cell>
          <cell r="W753" t="str">
            <v>Sean Lopez Apr 20, 2026 3:46 PM</v>
          </cell>
          <cell r="X753" t="str">
            <v/>
          </cell>
          <cell r="Y753">
            <v>45847</v>
          </cell>
          <cell r="Z753" t="str">
            <v/>
          </cell>
          <cell r="AA753">
            <v>45847</v>
          </cell>
          <cell r="AB753" t="str">
            <v>Jayme Truong Jul 9, 2025 8:36 AM</v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</row>
        <row r="754">
          <cell r="C754">
            <v>59626</v>
          </cell>
          <cell r="E754" t="str">
            <v/>
          </cell>
          <cell r="F754" t="str">
            <v>Service</v>
          </cell>
          <cell r="G754" t="str">
            <v>Invoice Sent</v>
          </cell>
          <cell r="H754" t="str">
            <v>No</v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>https://panda-windows-and-doors.monday.com/protected_static/21046287/resources/2277596947/Service Form.pdf</v>
          </cell>
          <cell r="R754" t="str">
            <v/>
          </cell>
          <cell r="S754" t="str">
            <v/>
          </cell>
          <cell r="T754" t="str">
            <v/>
          </cell>
          <cell r="U754">
            <v>0</v>
          </cell>
          <cell r="V754">
            <v>1282</v>
          </cell>
          <cell r="W754" t="str">
            <v>Sean Lopez Apr 20, 2026 3:46 PM</v>
          </cell>
          <cell r="X754" t="str">
            <v/>
          </cell>
          <cell r="Y754">
            <v>45847</v>
          </cell>
          <cell r="Z754" t="str">
            <v/>
          </cell>
          <cell r="AA754">
            <v>45847</v>
          </cell>
          <cell r="AB754" t="str">
            <v>Jayme Truong Jul 9, 2025 8:31 AM</v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</row>
        <row r="755">
          <cell r="C755" t="str">
            <v>Sandridge</v>
          </cell>
          <cell r="E755" t="str">
            <v/>
          </cell>
          <cell r="F755" t="str">
            <v>Service</v>
          </cell>
          <cell r="G755" t="str">
            <v>Invoice Sent</v>
          </cell>
          <cell r="H755" t="str">
            <v>No</v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>https://panda-windows-and-doors.monday.com/protected_static/21046287/resources/2295263082/Service Form (86).pdf</v>
          </cell>
          <cell r="R755" t="str">
            <v>https://panda-windows-and-doors.monday.com/protected_static/21046287/resources/2289664617/Polk Architectural - Sales &amp; Use Tax Permit  12-3-2019 - TX.pdf</v>
          </cell>
          <cell r="S755" t="str">
            <v/>
          </cell>
          <cell r="T755" t="str">
            <v/>
          </cell>
          <cell r="U755">
            <v>0</v>
          </cell>
          <cell r="V755">
            <v>440</v>
          </cell>
          <cell r="W755" t="str">
            <v>Sean Lopez Apr 20, 2026 3:46 PM</v>
          </cell>
          <cell r="X755" t="str">
            <v/>
          </cell>
          <cell r="Y755">
            <v>45855</v>
          </cell>
          <cell r="Z755" t="str">
            <v/>
          </cell>
          <cell r="AA755">
            <v>45855</v>
          </cell>
          <cell r="AB755" t="str">
            <v>Jayme Truong Jul 17, 2025 12:34 PM</v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  <cell r="AG755" t="str">
            <v/>
          </cell>
          <cell r="AH755" t="str">
            <v/>
          </cell>
          <cell r="AI755" t="str">
            <v/>
          </cell>
        </row>
        <row r="756">
          <cell r="C756">
            <v>67709.100000000006</v>
          </cell>
          <cell r="E756" t="str">
            <v/>
          </cell>
          <cell r="F756" t="str">
            <v>Service</v>
          </cell>
          <cell r="G756" t="str">
            <v>Invoice Sent</v>
          </cell>
          <cell r="H756" t="str">
            <v>No</v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>https://panda-windows-and-doors.monday.com/protected_static/21046287/resources/2315144687/9903 Arvinder singh.pdf</v>
          </cell>
          <cell r="O756" t="str">
            <v/>
          </cell>
          <cell r="P756" t="str">
            <v/>
          </cell>
          <cell r="Q756" t="str">
            <v>https://panda-windows-and-doors.monday.com/protected_static/21046287/resources/2314896816/Service Form (94).pdf</v>
          </cell>
          <cell r="R756" t="str">
            <v/>
          </cell>
          <cell r="S756" t="str">
            <v/>
          </cell>
          <cell r="T756" t="str">
            <v/>
          </cell>
          <cell r="U756">
            <v>0</v>
          </cell>
          <cell r="V756">
            <v>619</v>
          </cell>
          <cell r="W756" t="str">
            <v>Sean Lopez Apr 20, 2026 3:46 PM</v>
          </cell>
          <cell r="X756" t="str">
            <v/>
          </cell>
          <cell r="Y756">
            <v>45866</v>
          </cell>
          <cell r="Z756" t="str">
            <v/>
          </cell>
          <cell r="AA756">
            <v>45866</v>
          </cell>
          <cell r="AB756" t="str">
            <v>Jayme Truong Jul 28, 2025 8:20 AM</v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</row>
        <row r="757">
          <cell r="C757" t="str">
            <v>Sylvester Tapia</v>
          </cell>
          <cell r="E757" t="str">
            <v/>
          </cell>
          <cell r="F757" t="str">
            <v>Service</v>
          </cell>
          <cell r="G757" t="str">
            <v>Invoice Sent</v>
          </cell>
          <cell r="H757" t="str">
            <v>No</v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>https://panda-windows-and-doors.monday.com/protected_static/21046287/resources/2321054434/9913 Vista 99 Apartments.pdf</v>
          </cell>
          <cell r="O757" t="str">
            <v/>
          </cell>
          <cell r="P757" t="str">
            <v/>
          </cell>
          <cell r="Q757" t="str">
            <v>https://panda-windows-and-doors.monday.com/protected_static/21046287/resources/2319246251/Service Form (95).pdf</v>
          </cell>
          <cell r="R757" t="str">
            <v/>
          </cell>
          <cell r="S757" t="str">
            <v/>
          </cell>
          <cell r="T757" t="str">
            <v/>
          </cell>
          <cell r="U757">
            <v>0</v>
          </cell>
          <cell r="V757">
            <v>809</v>
          </cell>
          <cell r="W757" t="str">
            <v>Sean Lopez Apr 20, 2026 3:46 PM</v>
          </cell>
          <cell r="X757" t="str">
            <v/>
          </cell>
          <cell r="Y757">
            <v>45867</v>
          </cell>
          <cell r="Z757" t="str">
            <v/>
          </cell>
          <cell r="AA757">
            <v>45867</v>
          </cell>
          <cell r="AB757" t="str">
            <v>Jayme Truong Jul 29, 2025 3:22 PM</v>
          </cell>
          <cell r="AC757" t="str">
            <v/>
          </cell>
          <cell r="AD757" t="str">
            <v/>
          </cell>
          <cell r="AE757" t="str">
            <v/>
          </cell>
          <cell r="AF757" t="str">
            <v/>
          </cell>
          <cell r="AG757" t="str">
            <v/>
          </cell>
          <cell r="AH757" t="str">
            <v/>
          </cell>
          <cell r="AI757" t="str">
            <v/>
          </cell>
        </row>
        <row r="758">
          <cell r="C758">
            <v>72213</v>
          </cell>
          <cell r="E758" t="str">
            <v/>
          </cell>
          <cell r="F758" t="str">
            <v>Service</v>
          </cell>
          <cell r="G758" t="str">
            <v>Invoice Sent</v>
          </cell>
          <cell r="H758" t="str">
            <v>No</v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>https://panda-windows-and-doors.monday.com/protected_static/21046287/resources/2334472042/9937 Polk Architectural.pdf</v>
          </cell>
          <cell r="O758" t="str">
            <v/>
          </cell>
          <cell r="P758" t="str">
            <v/>
          </cell>
          <cell r="Q758" t="str">
            <v>https://panda-windows-and-doors.monday.com/protected_static/21046287/resources/2334393350/Service Form (100).pdf</v>
          </cell>
          <cell r="R758" t="str">
            <v>https://panda-windows-and-doors.monday.com/protected_static/21046287/resources/2289664617/Polk Architectural - Sales &amp; Use Tax Permit  12-3-2019 - TX.pdf</v>
          </cell>
          <cell r="S758" t="str">
            <v/>
          </cell>
          <cell r="T758" t="str">
            <v/>
          </cell>
          <cell r="U758">
            <v>0</v>
          </cell>
          <cell r="V758">
            <v>2301</v>
          </cell>
          <cell r="W758" t="str">
            <v>Sean Lopez Apr 20, 2026 3:46 PM</v>
          </cell>
          <cell r="X758" t="str">
            <v/>
          </cell>
          <cell r="Y758">
            <v>45874</v>
          </cell>
          <cell r="Z758" t="str">
            <v/>
          </cell>
          <cell r="AA758">
            <v>45874</v>
          </cell>
          <cell r="AB758" t="str">
            <v>Jayme Truong Aug 5, 2025 3:52 PM</v>
          </cell>
          <cell r="AC758" t="str">
            <v/>
          </cell>
          <cell r="AD758" t="str">
            <v/>
          </cell>
          <cell r="AE758" t="str">
            <v/>
          </cell>
          <cell r="AF758" t="str">
            <v/>
          </cell>
          <cell r="AG758" t="str">
            <v/>
          </cell>
          <cell r="AH758" t="str">
            <v/>
          </cell>
          <cell r="AI758" t="str">
            <v/>
          </cell>
        </row>
        <row r="759">
          <cell r="C759">
            <v>79518.2</v>
          </cell>
          <cell r="E759" t="str">
            <v/>
          </cell>
          <cell r="F759" t="str">
            <v>Service</v>
          </cell>
          <cell r="G759" t="str">
            <v>Invoice Sent</v>
          </cell>
          <cell r="H759" t="str">
            <v>No</v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>https://panda-windows-and-doors.monday.com/protected_static/21046287/resources/2338864772/9946 Nicholas Sebastian.pdf</v>
          </cell>
          <cell r="O759" t="str">
            <v/>
          </cell>
          <cell r="P759" t="str">
            <v/>
          </cell>
          <cell r="Q759" t="str">
            <v>https://panda-windows-and-doors.monday.com/protected_static/21046287/resources/2338779986/Service Form.pdf</v>
          </cell>
          <cell r="R759" t="str">
            <v/>
          </cell>
          <cell r="S759" t="str">
            <v/>
          </cell>
          <cell r="T759" t="str">
            <v/>
          </cell>
          <cell r="U759">
            <v>0</v>
          </cell>
          <cell r="V759">
            <v>60</v>
          </cell>
          <cell r="W759" t="str">
            <v>Sean Lopez Apr 20, 2026 3:46 PM</v>
          </cell>
          <cell r="X759" t="str">
            <v/>
          </cell>
          <cell r="Y759" t="str">
            <v/>
          </cell>
          <cell r="Z759" t="str">
            <v/>
          </cell>
          <cell r="AA759">
            <v>45876</v>
          </cell>
          <cell r="AB759" t="str">
            <v>Jayme Truong Aug 7, 2025 10:02 AM</v>
          </cell>
          <cell r="AC759" t="str">
            <v/>
          </cell>
          <cell r="AD759" t="str">
            <v/>
          </cell>
          <cell r="AE759" t="str">
            <v/>
          </cell>
          <cell r="AF759" t="str">
            <v/>
          </cell>
          <cell r="AG759" t="str">
            <v/>
          </cell>
          <cell r="AH759" t="str">
            <v/>
          </cell>
          <cell r="AI759" t="str">
            <v/>
          </cell>
        </row>
        <row r="760">
          <cell r="C760" t="str">
            <v>Anthony Watkins-S</v>
          </cell>
          <cell r="E760" t="str">
            <v/>
          </cell>
          <cell r="F760" t="str">
            <v>Service</v>
          </cell>
          <cell r="G760" t="str">
            <v>Invoice Sent</v>
          </cell>
          <cell r="H760" t="str">
            <v>No</v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>https://panda-windows-and-doors.monday.com/protected_static/21046287/resources/2339289844/9950 Double Tree.pdf</v>
          </cell>
          <cell r="O760" t="str">
            <v/>
          </cell>
          <cell r="P760" t="str">
            <v/>
          </cell>
          <cell r="Q760" t="str">
            <v>https://panda-windows-and-doors.monday.com/protected_static/21046287/resources/2339234292/Service Form (61).pdf</v>
          </cell>
          <cell r="R760" t="str">
            <v/>
          </cell>
          <cell r="S760" t="str">
            <v/>
          </cell>
          <cell r="T760" t="str">
            <v/>
          </cell>
          <cell r="U760">
            <v>0</v>
          </cell>
          <cell r="V760">
            <v>104</v>
          </cell>
          <cell r="W760" t="str">
            <v>Sean Lopez Apr 20, 2026 3:46 PM</v>
          </cell>
          <cell r="X760" t="str">
            <v/>
          </cell>
          <cell r="Y760">
            <v>45876</v>
          </cell>
          <cell r="Z760" t="str">
            <v/>
          </cell>
          <cell r="AA760">
            <v>45876</v>
          </cell>
          <cell r="AB760" t="str">
            <v>Jayme Truong Aug 7, 2025 12:40 PM</v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  <cell r="AG760" t="str">
            <v/>
          </cell>
          <cell r="AH760" t="str">
            <v/>
          </cell>
          <cell r="AI760" t="str">
            <v/>
          </cell>
        </row>
        <row r="761">
          <cell r="C761" t="str">
            <v>22175-S</v>
          </cell>
          <cell r="E761" t="str">
            <v/>
          </cell>
          <cell r="F761" t="str">
            <v>Service</v>
          </cell>
          <cell r="G761" t="str">
            <v>Invoice Sent</v>
          </cell>
          <cell r="H761" t="str">
            <v>No</v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>https://panda-windows-and-doors.monday.com/protected_static/21046287/resources/2363001117/Service Form (63).pdf</v>
          </cell>
          <cell r="R761" t="str">
            <v/>
          </cell>
          <cell r="S761" t="str">
            <v/>
          </cell>
          <cell r="T761" t="str">
            <v/>
          </cell>
          <cell r="U761">
            <v>0</v>
          </cell>
          <cell r="V761">
            <v>518</v>
          </cell>
          <cell r="W761" t="str">
            <v>Sean Lopez Apr 20, 2026 3:46 PM</v>
          </cell>
          <cell r="X761" t="str">
            <v/>
          </cell>
          <cell r="Y761">
            <v>45888</v>
          </cell>
          <cell r="Z761" t="str">
            <v/>
          </cell>
          <cell r="AA761">
            <v>45888</v>
          </cell>
          <cell r="AB761" t="str">
            <v>Jayme Truong Aug 19, 2025 1:28 PM</v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  <cell r="AG761" t="str">
            <v/>
          </cell>
          <cell r="AH761" t="str">
            <v/>
          </cell>
          <cell r="AI761" t="str">
            <v/>
          </cell>
        </row>
        <row r="762">
          <cell r="C762" t="str">
            <v>75814-S1</v>
          </cell>
          <cell r="E762" t="str">
            <v/>
          </cell>
          <cell r="F762" t="str">
            <v>Service</v>
          </cell>
          <cell r="G762" t="str">
            <v>Invoice Sent</v>
          </cell>
          <cell r="H762" t="str">
            <v>No</v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>https://panda-windows-and-doors.monday.com/protected_static/21046287/resources/2360564009/Service Form - 2025-08-18_T151850.076.pdf</v>
          </cell>
          <cell r="R762" t="str">
            <v/>
          </cell>
          <cell r="S762" t="str">
            <v/>
          </cell>
          <cell r="T762" t="str">
            <v/>
          </cell>
          <cell r="U762">
            <v>0</v>
          </cell>
          <cell r="V762">
            <v>251</v>
          </cell>
          <cell r="W762" t="str">
            <v>Sean Lopez Apr 20, 2026 3:46 PM</v>
          </cell>
          <cell r="X762" t="str">
            <v/>
          </cell>
          <cell r="Y762">
            <v>45887</v>
          </cell>
          <cell r="Z762" t="str">
            <v/>
          </cell>
          <cell r="AA762">
            <v>45889</v>
          </cell>
          <cell r="AB762" t="str">
            <v>Jayme Truong Aug 18, 2025 4:18 PM</v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  <cell r="AG762" t="str">
            <v/>
          </cell>
          <cell r="AH762" t="str">
            <v/>
          </cell>
          <cell r="AI762" t="str">
            <v/>
          </cell>
        </row>
        <row r="763">
          <cell r="C763" t="str">
            <v>Mike Munnerlyn</v>
          </cell>
          <cell r="E763" t="str">
            <v/>
          </cell>
          <cell r="F763" t="str">
            <v>Service</v>
          </cell>
          <cell r="G763" t="str">
            <v>Invoice Sent</v>
          </cell>
          <cell r="H763" t="str">
            <v>No</v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>https://panda-windows-and-doors.monday.com/protected_static/21046287/resources/2371584919/10002 Mike Munnerlyn.pdf</v>
          </cell>
          <cell r="O763" t="str">
            <v/>
          </cell>
          <cell r="P763" t="str">
            <v/>
          </cell>
          <cell r="Q763" t="str">
            <v>https://panda-windows-and-doors.monday.com/protected_static/21046287/resources/2369366808/Service Form - 2025-08-21_Mike HI.pdf</v>
          </cell>
          <cell r="R763" t="str">
            <v/>
          </cell>
          <cell r="S763" t="str">
            <v/>
          </cell>
          <cell r="T763" t="str">
            <v/>
          </cell>
          <cell r="U763">
            <v>0</v>
          </cell>
          <cell r="V763">
            <v>533</v>
          </cell>
          <cell r="W763" t="str">
            <v>Sean Lopez Apr 20, 2026 3:46 PM</v>
          </cell>
          <cell r="X763" t="str">
            <v/>
          </cell>
          <cell r="Y763">
            <v>45890</v>
          </cell>
          <cell r="Z763" t="str">
            <v/>
          </cell>
          <cell r="AA763">
            <v>45890</v>
          </cell>
          <cell r="AB763" t="str">
            <v>Jayme Truong Aug 21, 2025 4:10 PM</v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</row>
        <row r="764">
          <cell r="C764" t="str">
            <v>Q76651-S1</v>
          </cell>
          <cell r="E764" t="str">
            <v/>
          </cell>
          <cell r="F764" t="str">
            <v>Service</v>
          </cell>
          <cell r="G764" t="str">
            <v>Invoice Sent</v>
          </cell>
          <cell r="H764" t="str">
            <v>No</v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>https://panda-windows-and-doors.monday.com/protected_static/21046287/resources/2374008310/Service Form - 2025-08-25T08_Kynar.pdf</v>
          </cell>
          <cell r="R764" t="str">
            <v>https://panda-windows-and-doors.monday.com/protected_static/21046287/resources/2289664617/Polk Architectural - Sales &amp; Use Tax Permit  12-3-2019 - TX.pdf</v>
          </cell>
          <cell r="S764" t="str">
            <v/>
          </cell>
          <cell r="T764" t="str">
            <v/>
          </cell>
          <cell r="U764">
            <v>0</v>
          </cell>
          <cell r="V764">
            <v>2092</v>
          </cell>
          <cell r="W764" t="str">
            <v>Sean Lopez Apr 20, 2026 3:46 PM</v>
          </cell>
          <cell r="X764" t="str">
            <v/>
          </cell>
          <cell r="Y764">
            <v>45894</v>
          </cell>
          <cell r="Z764" t="str">
            <v/>
          </cell>
          <cell r="AA764">
            <v>45894</v>
          </cell>
          <cell r="AB764" t="str">
            <v>Jayme Truong Aug 25, 2025 9:17 AM</v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</row>
        <row r="765">
          <cell r="C765">
            <v>78164</v>
          </cell>
          <cell r="E765" t="str">
            <v/>
          </cell>
          <cell r="F765" t="str">
            <v>Service</v>
          </cell>
          <cell r="G765" t="str">
            <v>Invoice Sent</v>
          </cell>
          <cell r="H765" t="str">
            <v>No</v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>https://panda-windows-and-doors.monday.com/protected_static/21046287/resources/2381074675/Service Form.pdf</v>
          </cell>
          <cell r="R765" t="str">
            <v/>
          </cell>
          <cell r="S765" t="str">
            <v/>
          </cell>
          <cell r="T765" t="str">
            <v/>
          </cell>
          <cell r="U765">
            <v>0</v>
          </cell>
          <cell r="V765">
            <v>559</v>
          </cell>
          <cell r="W765" t="str">
            <v>Sean Lopez Apr 20, 2026 3:46 PM</v>
          </cell>
          <cell r="X765" t="str">
            <v/>
          </cell>
          <cell r="Y765">
            <v>45896</v>
          </cell>
          <cell r="Z765" t="str">
            <v/>
          </cell>
          <cell r="AA765">
            <v>45896</v>
          </cell>
          <cell r="AB765" t="str">
            <v>Jayme Truong Aug 27, 2025 4:27 PM</v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  <cell r="AG765" t="str">
            <v/>
          </cell>
          <cell r="AH765" t="str">
            <v/>
          </cell>
          <cell r="AI765" t="str">
            <v/>
          </cell>
        </row>
        <row r="766">
          <cell r="C766" t="str">
            <v>58895-S</v>
          </cell>
          <cell r="E766" t="str">
            <v/>
          </cell>
          <cell r="F766" t="str">
            <v>Service</v>
          </cell>
          <cell r="G766" t="str">
            <v>Invoice Sent</v>
          </cell>
          <cell r="H766" t="str">
            <v>No</v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>https://panda-windows-and-doors.monday.com/protected_static/21046287/resources/2386026097/10018 Laura Plunkett.pdf</v>
          </cell>
          <cell r="O766" t="str">
            <v/>
          </cell>
          <cell r="P766" t="str">
            <v/>
          </cell>
          <cell r="Q766" t="str">
            <v>https://panda-windows-and-doors.monday.com/protected_static/21046287/resources/2385783656/Service Form (70).pdf</v>
          </cell>
          <cell r="R766" t="str">
            <v/>
          </cell>
          <cell r="S766" t="str">
            <v/>
          </cell>
          <cell r="T766" t="str">
            <v/>
          </cell>
          <cell r="U766">
            <v>0</v>
          </cell>
          <cell r="V766">
            <v>719.27</v>
          </cell>
          <cell r="W766" t="str">
            <v>Sean Lopez Apr 20, 2026 3:46 PM</v>
          </cell>
          <cell r="X766" t="str">
            <v/>
          </cell>
          <cell r="Y766">
            <v>45898</v>
          </cell>
          <cell r="Z766" t="str">
            <v/>
          </cell>
          <cell r="AA766">
            <v>45898</v>
          </cell>
          <cell r="AB766" t="str">
            <v>Jayme Truong Aug 29, 2025 10:42 AM</v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</row>
        <row r="767">
          <cell r="C767">
            <v>18773</v>
          </cell>
          <cell r="E767" t="str">
            <v/>
          </cell>
          <cell r="F767" t="str">
            <v>Service</v>
          </cell>
          <cell r="G767" t="str">
            <v>Invoice Sent</v>
          </cell>
          <cell r="H767" t="str">
            <v>No</v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>https://panda-windows-and-doors.monday.com/protected_static/21046287/resources/2391435165/10019 Hale Glass.pdf</v>
          </cell>
          <cell r="O767" t="str">
            <v/>
          </cell>
          <cell r="P767" t="str">
            <v/>
          </cell>
          <cell r="Q767" t="str">
            <v>https://panda-windows-and-doors.monday.com/protected_static/21046287/resources/2386069862/Service Form.pdf</v>
          </cell>
          <cell r="R767" t="str">
            <v/>
          </cell>
          <cell r="S767" t="str">
            <v/>
          </cell>
          <cell r="T767" t="str">
            <v/>
          </cell>
          <cell r="U767">
            <v>0</v>
          </cell>
          <cell r="V767">
            <v>2475</v>
          </cell>
          <cell r="W767" t="str">
            <v>Sean Lopez Apr 20, 2026 3:46 PM</v>
          </cell>
          <cell r="X767" t="str">
            <v/>
          </cell>
          <cell r="Y767">
            <v>45898</v>
          </cell>
          <cell r="Z767" t="str">
            <v/>
          </cell>
          <cell r="AA767">
            <v>45898</v>
          </cell>
          <cell r="AB767" t="str">
            <v>Jayme Truong Aug 29, 2025 12:29 PM</v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  <cell r="AG767" t="str">
            <v/>
          </cell>
          <cell r="AH767" t="str">
            <v/>
          </cell>
          <cell r="AI767" t="str">
            <v/>
          </cell>
        </row>
        <row r="768">
          <cell r="C768">
            <v>80815</v>
          </cell>
          <cell r="E768" t="str">
            <v/>
          </cell>
          <cell r="F768" t="str">
            <v>Service</v>
          </cell>
          <cell r="G768" t="str">
            <v>Invoice Sent</v>
          </cell>
          <cell r="H768" t="str">
            <v>No</v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>https://panda-windows-and-doors.monday.com/protected_static/21046287/resources/2413229022/Service Form - 2025-09-11_Pendolino_Andy Sutak.pdf</v>
          </cell>
          <cell r="R768" t="str">
            <v>https://panda-windows-and-doors.monday.com/protected_static/21046287/resources/2289680111/Precision Glass Co  - Resale Certificate 9-29-2023 - CA.pdf, https://panda-windows-and-doors.monday.com/protected_static/21046287/resources/2289680112/Precision Glass CO PO BOX 549 effective 2-2-2023 - CA.pdf, https://panda-windows-and-doors.monday.com/protected_static/21046287/resources/2289680122/Precision Glass Co. - California resale Certificate Effective 2-28-19 - CA.pdf</v>
          </cell>
          <cell r="S768" t="str">
            <v/>
          </cell>
          <cell r="T768" t="str">
            <v/>
          </cell>
          <cell r="U768">
            <v>0</v>
          </cell>
          <cell r="V768">
            <v>149</v>
          </cell>
          <cell r="W768" t="str">
            <v>Sean Lopez Apr 20, 2026 3:46 PM</v>
          </cell>
          <cell r="X768" t="str">
            <v/>
          </cell>
          <cell r="Y768">
            <v>45911</v>
          </cell>
          <cell r="Z768" t="str">
            <v/>
          </cell>
          <cell r="AA768">
            <v>45911</v>
          </cell>
          <cell r="AB768" t="str">
            <v>Jayme Truong Sep 11, 2025 7:52 AM</v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  <cell r="AG768" t="str">
            <v/>
          </cell>
          <cell r="AH768" t="str">
            <v/>
          </cell>
          <cell r="AI768" t="str">
            <v/>
          </cell>
        </row>
        <row r="769">
          <cell r="C769">
            <v>10102</v>
          </cell>
          <cell r="E769" t="str">
            <v/>
          </cell>
          <cell r="F769" t="str">
            <v>Service</v>
          </cell>
          <cell r="G769" t="str">
            <v>Invoice Sent</v>
          </cell>
          <cell r="H769" t="str">
            <v>No</v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>https://panda-windows-and-doors.monday.com/protected_static/21046287/resources/2413467490/Service Form.pdf</v>
          </cell>
          <cell r="R769" t="str">
            <v/>
          </cell>
          <cell r="S769" t="str">
            <v/>
          </cell>
          <cell r="T769" t="str">
            <v/>
          </cell>
          <cell r="U769">
            <v>0</v>
          </cell>
          <cell r="V769">
            <v>570</v>
          </cell>
          <cell r="W769" t="str">
            <v>Sean Lopez Apr 20, 2026 3:46 PM</v>
          </cell>
          <cell r="X769" t="str">
            <v/>
          </cell>
          <cell r="Y769">
            <v>45911</v>
          </cell>
          <cell r="Z769" t="str">
            <v/>
          </cell>
          <cell r="AA769">
            <v>45911</v>
          </cell>
          <cell r="AB769" t="str">
            <v>Jayme Truong Sep 11, 2025 8:52 AM</v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  <cell r="AG769" t="str">
            <v/>
          </cell>
          <cell r="AH769" t="str">
            <v/>
          </cell>
          <cell r="AI769" t="str">
            <v/>
          </cell>
        </row>
        <row r="770">
          <cell r="C770">
            <v>515</v>
          </cell>
          <cell r="E770" t="str">
            <v/>
          </cell>
          <cell r="F770" t="str">
            <v>Service</v>
          </cell>
          <cell r="G770" t="str">
            <v>Invoice Sent</v>
          </cell>
          <cell r="H770" t="str">
            <v>No</v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>https://panda-windows-and-doors.monday.com/protected_static/21046287/resources/2414312436/Service Form.pdf</v>
          </cell>
          <cell r="R770" t="str">
            <v/>
          </cell>
          <cell r="S770" t="str">
            <v/>
          </cell>
          <cell r="T770" t="str">
            <v/>
          </cell>
          <cell r="U770">
            <v>0</v>
          </cell>
          <cell r="V770">
            <v>125</v>
          </cell>
          <cell r="W770" t="str">
            <v>Sean Lopez Apr 20, 2026 3:46 PM</v>
          </cell>
          <cell r="X770" t="str">
            <v/>
          </cell>
          <cell r="Y770">
            <v>45911</v>
          </cell>
          <cell r="Z770" t="str">
            <v/>
          </cell>
          <cell r="AA770">
            <v>45911</v>
          </cell>
          <cell r="AB770" t="str">
            <v>Jayme Truong Sep 11, 2025 1:12 PM</v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</row>
        <row r="771">
          <cell r="C771">
            <v>17042</v>
          </cell>
          <cell r="E771" t="str">
            <v/>
          </cell>
          <cell r="F771" t="str">
            <v>Service</v>
          </cell>
          <cell r="G771" t="str">
            <v>Invoice Sent</v>
          </cell>
          <cell r="H771" t="str">
            <v>No</v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>https://panda-windows-and-doors.monday.com/protected_static/21046287/resources/2413773174/Service Form.pdf</v>
          </cell>
          <cell r="R771" t="str">
            <v/>
          </cell>
          <cell r="S771" t="str">
            <v/>
          </cell>
          <cell r="T771" t="str">
            <v/>
          </cell>
          <cell r="U771">
            <v>0</v>
          </cell>
          <cell r="V771">
            <v>39</v>
          </cell>
          <cell r="W771" t="str">
            <v>Sean Lopez Apr 20, 2026 3:47 PM</v>
          </cell>
          <cell r="X771" t="str">
            <v/>
          </cell>
          <cell r="Y771">
            <v>45911</v>
          </cell>
          <cell r="Z771" t="str">
            <v/>
          </cell>
          <cell r="AA771">
            <v>45911</v>
          </cell>
          <cell r="AB771" t="str">
            <v>Jayme Truong Sep 11, 2025 10:20 AM</v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</row>
        <row r="772">
          <cell r="C772" t="str">
            <v>GP Glass</v>
          </cell>
          <cell r="E772" t="str">
            <v/>
          </cell>
          <cell r="F772" t="str">
            <v>Service</v>
          </cell>
          <cell r="G772" t="str">
            <v>Invoice Sent</v>
          </cell>
          <cell r="H772" t="str">
            <v>No</v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>https://panda-windows-and-doors.monday.com/protected_static/21046287/resources/2426042232/10063 GP Glass Mirror LLC.pdf</v>
          </cell>
          <cell r="O772" t="str">
            <v/>
          </cell>
          <cell r="P772" t="str">
            <v/>
          </cell>
          <cell r="Q772" t="str">
            <v>https://panda-windows-and-doors.monday.com/protected_static/21046287/resources/2425820222/Service Form_GP Glass.pdf</v>
          </cell>
          <cell r="R772" t="str">
            <v/>
          </cell>
          <cell r="S772" t="str">
            <v/>
          </cell>
          <cell r="T772" t="str">
            <v/>
          </cell>
          <cell r="U772">
            <v>0</v>
          </cell>
          <cell r="V772">
            <v>3528</v>
          </cell>
          <cell r="W772" t="str">
            <v>Sean Lopez Apr 20, 2026 3:48 PM</v>
          </cell>
          <cell r="X772" t="str">
            <v/>
          </cell>
          <cell r="Y772">
            <v>45917</v>
          </cell>
          <cell r="Z772" t="str">
            <v/>
          </cell>
          <cell r="AA772">
            <v>45917</v>
          </cell>
          <cell r="AB772" t="str">
            <v>Jayme Truong Sep 17, 2025 10:30 AM</v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  <cell r="AG772" t="str">
            <v/>
          </cell>
          <cell r="AH772" t="str">
            <v/>
          </cell>
          <cell r="AI772" t="str">
            <v/>
          </cell>
        </row>
        <row r="773">
          <cell r="C773" t="str">
            <v>80311-S1</v>
          </cell>
          <cell r="E773" t="str">
            <v/>
          </cell>
          <cell r="F773" t="str">
            <v>Service</v>
          </cell>
          <cell r="G773" t="str">
            <v>Invoice Sent</v>
          </cell>
          <cell r="H773" t="str">
            <v>No</v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>https://panda-windows-and-doors.monday.com/protected_static/21046287/resources/2438538287/10086 Polk Architectural.pdf</v>
          </cell>
          <cell r="O773" t="str">
            <v/>
          </cell>
          <cell r="P773" t="str">
            <v/>
          </cell>
          <cell r="Q773" t="str">
            <v>https://panda-windows-and-doors.monday.com/protected_static/21046287/resources/2438489966/Service Form (6).pdf</v>
          </cell>
          <cell r="R773" t="str">
            <v>https://panda-windows-and-doors.monday.com/protected_static/21046287/resources/2289664617/Polk Architectural - Sales &amp; Use Tax Permit  12-3-2019 - TX.pdf</v>
          </cell>
          <cell r="S773" t="str">
            <v/>
          </cell>
          <cell r="T773" t="str">
            <v/>
          </cell>
          <cell r="U773">
            <v>0</v>
          </cell>
          <cell r="V773">
            <v>179</v>
          </cell>
          <cell r="W773" t="str">
            <v>Sean Lopez Apr 20, 2026 3:48 PM</v>
          </cell>
          <cell r="X773" t="str">
            <v/>
          </cell>
          <cell r="Y773">
            <v>45923</v>
          </cell>
          <cell r="Z773" t="str">
            <v/>
          </cell>
          <cell r="AA773">
            <v>45923</v>
          </cell>
          <cell r="AB773" t="str">
            <v>Jayme Truong Sep 23, 2025 1:49 PM</v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  <cell r="AG773" t="str">
            <v/>
          </cell>
          <cell r="AH773" t="str">
            <v/>
          </cell>
          <cell r="AI773" t="str">
            <v/>
          </cell>
        </row>
        <row r="774">
          <cell r="C774">
            <v>13605</v>
          </cell>
          <cell r="E774" t="str">
            <v/>
          </cell>
          <cell r="F774" t="str">
            <v>Service</v>
          </cell>
          <cell r="G774" t="str">
            <v>Invoice Sent</v>
          </cell>
          <cell r="H774" t="str">
            <v>No</v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>https://panda-windows-and-doors.monday.com/protected_static/21046287/resources/2444571123/10102 WIndow Craft.pdf</v>
          </cell>
          <cell r="O774" t="str">
            <v/>
          </cell>
          <cell r="P774" t="str">
            <v/>
          </cell>
          <cell r="Q774" t="str">
            <v>https://panda-windows-and-doors.monday.com/protected_static/21046287/resources/2444212887/Service Form (10).pdf</v>
          </cell>
          <cell r="R774" t="str">
            <v/>
          </cell>
          <cell r="S774" t="str">
            <v/>
          </cell>
          <cell r="T774" t="str">
            <v/>
          </cell>
          <cell r="U774">
            <v>0</v>
          </cell>
          <cell r="V774">
            <v>905.6</v>
          </cell>
          <cell r="W774" t="str">
            <v>Sean Lopez Apr 20, 2026 3:47 PM</v>
          </cell>
          <cell r="X774" t="str">
            <v/>
          </cell>
          <cell r="Y774">
            <v>45925</v>
          </cell>
          <cell r="Z774" t="str">
            <v/>
          </cell>
          <cell r="AA774">
            <v>45925</v>
          </cell>
          <cell r="AB774" t="str">
            <v>Jayme Truong Sep 25, 2025 2:14 PM</v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  <cell r="AG774" t="str">
            <v/>
          </cell>
          <cell r="AH774" t="str">
            <v/>
          </cell>
          <cell r="AI774" t="str">
            <v/>
          </cell>
        </row>
        <row r="775">
          <cell r="C775">
            <v>84356</v>
          </cell>
          <cell r="E775" t="str">
            <v/>
          </cell>
          <cell r="F775" t="str">
            <v>Service</v>
          </cell>
          <cell r="G775" t="str">
            <v>Invoice Sent</v>
          </cell>
          <cell r="H775" t="str">
            <v>No</v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>https://panda-windows-and-doors.monday.com/protected_static/21046287/resources/2457441659/Service Form (12).pdf</v>
          </cell>
          <cell r="R775" t="str">
            <v>https://panda-windows-and-doors.monday.com/protected_static/21046287/resources/2289680111/Precision Glass Co  - Resale Certificate 9-29-2023 - CA.pdf, https://panda-windows-and-doors.monday.com/protected_static/21046287/resources/2289680112/Precision Glass CO PO BOX 549 effective 2-2-2023 - CA.pdf, https://panda-windows-and-doors.monday.com/protected_static/21046287/resources/2289680122/Precision Glass Co. - California resale Certificate Effective 2-28-19 - CA.pdf</v>
          </cell>
          <cell r="S775" t="str">
            <v/>
          </cell>
          <cell r="T775" t="str">
            <v/>
          </cell>
          <cell r="U775">
            <v>0</v>
          </cell>
          <cell r="V775">
            <v>335</v>
          </cell>
          <cell r="W775" t="str">
            <v>Sean Lopez Apr 20, 2026 3:49 PM</v>
          </cell>
          <cell r="X775" t="str">
            <v/>
          </cell>
          <cell r="Y775">
            <v>45931</v>
          </cell>
          <cell r="Z775" t="str">
            <v/>
          </cell>
          <cell r="AA775">
            <v>45931</v>
          </cell>
          <cell r="AB775" t="str">
            <v>Jayme Truong Oct 1, 2025 1:03 PM</v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</row>
        <row r="776">
          <cell r="C776">
            <v>55991</v>
          </cell>
          <cell r="E776" t="str">
            <v/>
          </cell>
          <cell r="F776" t="str">
            <v>Service</v>
          </cell>
          <cell r="G776" t="str">
            <v>Invoice Sent</v>
          </cell>
          <cell r="H776" t="str">
            <v>No</v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>https://panda-windows-and-doors.monday.com/protected_static/21046287/resources/2460473564/10122 Long Glazing.pdf</v>
          </cell>
          <cell r="O776" t="str">
            <v/>
          </cell>
          <cell r="P776" t="str">
            <v/>
          </cell>
          <cell r="Q776" t="str">
            <v>https://panda-windows-and-doors.monday.com/protected_static/21046287/resources/2460183222/Service Form (13).pdf</v>
          </cell>
          <cell r="R776" t="str">
            <v/>
          </cell>
          <cell r="S776" t="str">
            <v/>
          </cell>
          <cell r="T776" t="str">
            <v/>
          </cell>
          <cell r="U776">
            <v>0</v>
          </cell>
          <cell r="V776">
            <v>1487</v>
          </cell>
          <cell r="W776" t="str">
            <v>Sean Lopez Apr 20, 2026 3:47 PM</v>
          </cell>
          <cell r="X776" t="str">
            <v/>
          </cell>
          <cell r="Y776">
            <v>45932</v>
          </cell>
          <cell r="Z776" t="str">
            <v/>
          </cell>
          <cell r="AA776">
            <v>45932</v>
          </cell>
          <cell r="AB776" t="str">
            <v>Jayme Truong Oct 2, 2025 1:10 PM</v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  <cell r="AG776" t="str">
            <v/>
          </cell>
          <cell r="AH776" t="str">
            <v/>
          </cell>
          <cell r="AI776" t="str">
            <v/>
          </cell>
        </row>
        <row r="777">
          <cell r="C777" t="str">
            <v>John Schroeder</v>
          </cell>
          <cell r="E777" t="str">
            <v/>
          </cell>
          <cell r="F777" t="str">
            <v>Service</v>
          </cell>
          <cell r="G777" t="str">
            <v>Invoice Sent</v>
          </cell>
          <cell r="H777" t="str">
            <v>No</v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>https://panda-windows-and-doors.monday.com/protected_static/21046287/resources/2469364361/10131 John Schroeder.pdf</v>
          </cell>
          <cell r="O777" t="str">
            <v/>
          </cell>
          <cell r="P777" t="str">
            <v/>
          </cell>
          <cell r="Q777" t="str">
            <v>https://panda-windows-and-doors.monday.com/protected_static/21046287/resources/2466363441/Service Form (15).pdf</v>
          </cell>
          <cell r="R777" t="str">
            <v/>
          </cell>
          <cell r="S777" t="str">
            <v/>
          </cell>
          <cell r="T777" t="str">
            <v/>
          </cell>
          <cell r="U777">
            <v>0</v>
          </cell>
          <cell r="V777">
            <v>407</v>
          </cell>
          <cell r="W777" t="str">
            <v>Sean Lopez Apr 20, 2026 3:49 PM</v>
          </cell>
          <cell r="X777" t="str">
            <v/>
          </cell>
          <cell r="Y777">
            <v>45936</v>
          </cell>
          <cell r="Z777" t="str">
            <v/>
          </cell>
          <cell r="AA777">
            <v>45936</v>
          </cell>
          <cell r="AB777" t="str">
            <v>Jayme Truong Oct 6, 2025 11:55 AM</v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</row>
        <row r="778">
          <cell r="C778">
            <v>84056</v>
          </cell>
          <cell r="E778" t="str">
            <v/>
          </cell>
          <cell r="F778" t="str">
            <v>Service</v>
          </cell>
          <cell r="G778" t="str">
            <v>Invoice Sent</v>
          </cell>
          <cell r="H778" t="str">
            <v>No</v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>https://panda-windows-and-doors.monday.com/protected_static/21046287/resources/2491351291/Service Form (21).pdf</v>
          </cell>
          <cell r="R778" t="str">
            <v/>
          </cell>
          <cell r="S778" t="str">
            <v/>
          </cell>
          <cell r="T778" t="str">
            <v/>
          </cell>
          <cell r="U778">
            <v>0</v>
          </cell>
          <cell r="V778">
            <v>245.7</v>
          </cell>
          <cell r="W778" t="str">
            <v>Sean Lopez Apr 20, 2026 3:47 PM</v>
          </cell>
          <cell r="X778" t="str">
            <v/>
          </cell>
          <cell r="Y778">
            <v>45946</v>
          </cell>
          <cell r="Z778" t="str">
            <v/>
          </cell>
          <cell r="AA778">
            <v>45946</v>
          </cell>
          <cell r="AB778" t="str">
            <v>Jayme Truong Oct 16, 2025 1:05 PM</v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  <cell r="AG778" t="str">
            <v/>
          </cell>
          <cell r="AH778" t="str">
            <v/>
          </cell>
          <cell r="AI778" t="str">
            <v/>
          </cell>
        </row>
        <row r="779">
          <cell r="C779">
            <v>82577.100000000006</v>
          </cell>
          <cell r="E779" t="str">
            <v/>
          </cell>
          <cell r="F779" t="str">
            <v>Service</v>
          </cell>
          <cell r="G779" t="str">
            <v>Invoice Sent</v>
          </cell>
          <cell r="H779" t="str">
            <v>No</v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>https://panda-windows-and-doors.monday.com/protected_static/21046287/resources/2505823115/10165 Tangent Construction.pdf</v>
          </cell>
          <cell r="O779" t="str">
            <v/>
          </cell>
          <cell r="P779" t="str">
            <v/>
          </cell>
          <cell r="Q779" t="str">
            <v>https://panda-windows-and-doors.monday.com/protected_static/21046287/resources/2505449525/SO 82577.pdf</v>
          </cell>
          <cell r="R779" t="str">
            <v/>
          </cell>
          <cell r="S779" t="str">
            <v/>
          </cell>
          <cell r="T779" t="str">
            <v/>
          </cell>
          <cell r="U779">
            <v>0</v>
          </cell>
          <cell r="V779">
            <v>407</v>
          </cell>
          <cell r="W779" t="str">
            <v>Sean Lopez Apr 20, 2026 3:51 PM</v>
          </cell>
          <cell r="X779" t="str">
            <v/>
          </cell>
          <cell r="Y779">
            <v>45953</v>
          </cell>
          <cell r="Z779" t="str">
            <v/>
          </cell>
          <cell r="AA779">
            <v>45953</v>
          </cell>
          <cell r="AB779" t="str">
            <v>Jayme Truong Oct 23, 2025 8:10 AM</v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</row>
        <row r="780">
          <cell r="C780">
            <v>73323</v>
          </cell>
          <cell r="E780" t="str">
            <v/>
          </cell>
          <cell r="F780" t="str">
            <v>Service</v>
          </cell>
          <cell r="G780" t="str">
            <v>Invoice Sent</v>
          </cell>
          <cell r="H780" t="str">
            <v>No</v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>https://panda-windows-and-doors.monday.com/protected_static/21046287/resources/2533041553/10201 William Booker.pdf</v>
          </cell>
          <cell r="O780" t="str">
            <v/>
          </cell>
          <cell r="P780" t="str">
            <v/>
          </cell>
          <cell r="Q780" t="str">
            <v>https://panda-windows-and-doors.monday.com/protected_static/21046287/resources/2532771624/Service Form.pdf</v>
          </cell>
          <cell r="R780" t="str">
            <v/>
          </cell>
          <cell r="S780" t="str">
            <v/>
          </cell>
          <cell r="T780" t="str">
            <v/>
          </cell>
          <cell r="U780">
            <v>0</v>
          </cell>
          <cell r="V780">
            <v>618</v>
          </cell>
          <cell r="W780" t="str">
            <v>Sean Lopez Apr 20, 2026 3:50 PM</v>
          </cell>
          <cell r="X780" t="str">
            <v/>
          </cell>
          <cell r="Y780">
            <v>45965</v>
          </cell>
          <cell r="Z780" t="str">
            <v/>
          </cell>
          <cell r="AA780">
            <v>45965</v>
          </cell>
          <cell r="AB780" t="str">
            <v>Jayme Truong Nov 4, 2025 2:39 PM</v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</row>
        <row r="781">
          <cell r="C781">
            <v>66020</v>
          </cell>
          <cell r="E781" t="str">
            <v/>
          </cell>
          <cell r="F781" t="str">
            <v>Service</v>
          </cell>
          <cell r="G781" t="str">
            <v>Invoice Sent</v>
          </cell>
          <cell r="H781" t="str">
            <v>No</v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>https://panda-windows-and-doors.monday.com/protected_static/21046287/resources/2552807202/SO 66020.pdf</v>
          </cell>
          <cell r="R781" t="str">
            <v/>
          </cell>
          <cell r="S781" t="str">
            <v/>
          </cell>
          <cell r="T781" t="str">
            <v/>
          </cell>
          <cell r="U781">
            <v>0</v>
          </cell>
          <cell r="V781">
            <v>3572</v>
          </cell>
          <cell r="W781" t="str">
            <v>Sean Lopez Apr 20, 2026 3:50 PM</v>
          </cell>
          <cell r="X781" t="str">
            <v/>
          </cell>
          <cell r="Y781">
            <v>45974</v>
          </cell>
          <cell r="Z781" t="str">
            <v/>
          </cell>
          <cell r="AA781">
            <v>45974</v>
          </cell>
          <cell r="AB781" t="str">
            <v>Jayme Truong Nov 13, 2025 9:24 AM</v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</row>
        <row r="782">
          <cell r="C782">
            <v>13776</v>
          </cell>
          <cell r="E782" t="str">
            <v/>
          </cell>
          <cell r="F782" t="str">
            <v>Service</v>
          </cell>
          <cell r="G782" t="str">
            <v>Invoice Sent</v>
          </cell>
          <cell r="H782" t="str">
            <v>No</v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>https://panda-windows-and-doors.monday.com/protected_static/21046287/resources/2562418409/10233 M-Core Const.pdf</v>
          </cell>
          <cell r="O782" t="str">
            <v/>
          </cell>
          <cell r="P782" t="str">
            <v/>
          </cell>
          <cell r="Q782" t="str">
            <v>https://panda-windows-and-doors.monday.com/protected_static/21046287/resources/2560064735/SO 13776.pdf</v>
          </cell>
          <cell r="R782" t="str">
            <v/>
          </cell>
          <cell r="S782" t="str">
            <v/>
          </cell>
          <cell r="T782" t="str">
            <v/>
          </cell>
          <cell r="U782">
            <v>0</v>
          </cell>
          <cell r="V782">
            <v>228</v>
          </cell>
          <cell r="W782" t="str">
            <v>Sean Lopez Apr 20, 2026 3:50 PM</v>
          </cell>
          <cell r="X782" t="str">
            <v/>
          </cell>
          <cell r="Y782">
            <v>45978</v>
          </cell>
          <cell r="Z782" t="str">
            <v/>
          </cell>
          <cell r="AA782">
            <v>45978</v>
          </cell>
          <cell r="AB782" t="str">
            <v>Jayme Truong Nov 17, 2025 11:26 AM</v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</row>
        <row r="783">
          <cell r="C783" t="str">
            <v>Charles Schwab CO</v>
          </cell>
          <cell r="E783" t="str">
            <v/>
          </cell>
          <cell r="F783" t="str">
            <v>Service</v>
          </cell>
          <cell r="G783" t="str">
            <v>Invoice Sent</v>
          </cell>
          <cell r="H783" t="str">
            <v>No</v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>https://panda-windows-and-doors.monday.com/protected_static/21046287/resources/2562508365/10236 Charles Schwab.pdf</v>
          </cell>
          <cell r="O783" t="str">
            <v/>
          </cell>
          <cell r="P783" t="str">
            <v/>
          </cell>
          <cell r="Q783" t="str">
            <v>https://panda-windows-and-doors.monday.com/protected_static/21046287/resources/2560838318/SO Charles Schwab.pdf</v>
          </cell>
          <cell r="R783" t="str">
            <v/>
          </cell>
          <cell r="S783" t="str">
            <v/>
          </cell>
          <cell r="T783" t="str">
            <v/>
          </cell>
          <cell r="U783">
            <v>0</v>
          </cell>
          <cell r="V783">
            <v>8849</v>
          </cell>
          <cell r="W783" t="str">
            <v>Sean Lopez Apr 20, 2026 3:50 PM</v>
          </cell>
          <cell r="X783" t="str">
            <v/>
          </cell>
          <cell r="Y783">
            <v>45978</v>
          </cell>
          <cell r="Z783" t="str">
            <v/>
          </cell>
          <cell r="AA783">
            <v>45978</v>
          </cell>
          <cell r="AB783" t="str">
            <v>Jayme Truong Nov 17, 2025 3:23 PM</v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</row>
        <row r="784">
          <cell r="C784">
            <v>41180</v>
          </cell>
          <cell r="E784" t="str">
            <v/>
          </cell>
          <cell r="F784" t="str">
            <v>Service</v>
          </cell>
          <cell r="G784" t="str">
            <v>Invoice Sent</v>
          </cell>
          <cell r="H784" t="str">
            <v>No</v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>https://panda-windows-and-doors.monday.com/protected_static/21046287/resources/2575677058/Service Form.pdf</v>
          </cell>
          <cell r="R784" t="str">
            <v/>
          </cell>
          <cell r="S784" t="str">
            <v/>
          </cell>
          <cell r="T784" t="str">
            <v/>
          </cell>
          <cell r="U784">
            <v>0</v>
          </cell>
          <cell r="V784">
            <v>257</v>
          </cell>
          <cell r="W784" t="str">
            <v>Sean Lopez Apr 20, 2026 3:50 PM</v>
          </cell>
          <cell r="X784" t="str">
            <v/>
          </cell>
          <cell r="Y784">
            <v>45985</v>
          </cell>
          <cell r="Z784" t="str">
            <v/>
          </cell>
          <cell r="AA784">
            <v>45985</v>
          </cell>
          <cell r="AB784" t="str">
            <v>Jayme Truong Nov 24, 2025 10:18 AM</v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  <cell r="AG784" t="str">
            <v/>
          </cell>
          <cell r="AH784" t="str">
            <v/>
          </cell>
          <cell r="AI784" t="str">
            <v/>
          </cell>
        </row>
        <row r="785">
          <cell r="C785" t="str">
            <v>84921-S</v>
          </cell>
          <cell r="E785" t="str">
            <v/>
          </cell>
          <cell r="F785" t="str">
            <v>Service</v>
          </cell>
          <cell r="G785" t="str">
            <v>Invoice Sent</v>
          </cell>
          <cell r="H785" t="str">
            <v>No</v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>https://panda-windows-and-doors.monday.com/protected_static/21046287/resources/2593606432/SO 84921-S.pdf</v>
          </cell>
          <cell r="R785" t="str">
            <v/>
          </cell>
          <cell r="S785" t="str">
            <v/>
          </cell>
          <cell r="T785" t="str">
            <v/>
          </cell>
          <cell r="U785">
            <v>0</v>
          </cell>
          <cell r="V785">
            <v>1381</v>
          </cell>
          <cell r="W785" t="str">
            <v>Sean Lopez Apr 20, 2026 3:50 PM</v>
          </cell>
          <cell r="X785" t="str">
            <v/>
          </cell>
          <cell r="Y785">
            <v>45993</v>
          </cell>
          <cell r="Z785" t="str">
            <v/>
          </cell>
          <cell r="AA785">
            <v>45993</v>
          </cell>
          <cell r="AB785" t="str">
            <v>Jayme Truong Dec 2, 2025 3:57 PM</v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  <cell r="AG785" t="str">
            <v/>
          </cell>
          <cell r="AH785" t="str">
            <v/>
          </cell>
          <cell r="AI785" t="str">
            <v/>
          </cell>
        </row>
        <row r="786">
          <cell r="C786">
            <v>60749</v>
          </cell>
          <cell r="E786" t="str">
            <v/>
          </cell>
          <cell r="F786" t="str">
            <v>Service</v>
          </cell>
          <cell r="G786" t="str">
            <v>Invoice Sent</v>
          </cell>
          <cell r="H786" t="str">
            <v>No</v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>https://panda-windows-and-doors.monday.com/protected_static/21046287/resources/2598886777/SO 60749.pdf</v>
          </cell>
          <cell r="R786" t="str">
            <v/>
          </cell>
          <cell r="S786" t="str">
            <v/>
          </cell>
          <cell r="T786" t="str">
            <v/>
          </cell>
          <cell r="U786">
            <v>0</v>
          </cell>
          <cell r="V786">
            <v>1200</v>
          </cell>
          <cell r="W786" t="str">
            <v>Sean Lopez Apr 20, 2026 3:50 PM</v>
          </cell>
          <cell r="X786" t="str">
            <v/>
          </cell>
          <cell r="Y786">
            <v>45995</v>
          </cell>
          <cell r="Z786" t="str">
            <v/>
          </cell>
          <cell r="AA786">
            <v>45995</v>
          </cell>
          <cell r="AB786" t="str">
            <v>Jayme Truong Dec 4, 2025 10:23 AM</v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  <cell r="AG786" t="str">
            <v/>
          </cell>
          <cell r="AH786" t="str">
            <v/>
          </cell>
          <cell r="AI786" t="str">
            <v/>
          </cell>
        </row>
        <row r="787">
          <cell r="C787">
            <v>10142</v>
          </cell>
          <cell r="E787" t="str">
            <v/>
          </cell>
          <cell r="F787" t="str">
            <v>Service</v>
          </cell>
          <cell r="G787" t="str">
            <v>Invoice Sent</v>
          </cell>
          <cell r="H787" t="str">
            <v>No</v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>https://panda-windows-and-doors.monday.com/protected_static/21046287/resources/2599343654/SO 10142.pdf</v>
          </cell>
          <cell r="R787" t="str">
            <v/>
          </cell>
          <cell r="S787" t="str">
            <v/>
          </cell>
          <cell r="T787" t="str">
            <v/>
          </cell>
          <cell r="U787">
            <v>0</v>
          </cell>
          <cell r="V787">
            <v>300</v>
          </cell>
          <cell r="W787" t="str">
            <v>Sean Lopez Apr 20, 2026 3:50 PM</v>
          </cell>
          <cell r="X787" t="str">
            <v/>
          </cell>
          <cell r="Y787">
            <v>45995</v>
          </cell>
          <cell r="Z787" t="str">
            <v/>
          </cell>
          <cell r="AA787">
            <v>45995</v>
          </cell>
          <cell r="AB787" t="str">
            <v>Jayme Truong Dec 4, 2025 12:56 PM</v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  <cell r="AG787" t="str">
            <v/>
          </cell>
          <cell r="AH787" t="str">
            <v/>
          </cell>
          <cell r="AI787" t="str">
            <v/>
          </cell>
        </row>
        <row r="788">
          <cell r="C788">
            <v>58629</v>
          </cell>
          <cell r="E788" t="str">
            <v/>
          </cell>
          <cell r="F788" t="str">
            <v>Service</v>
          </cell>
          <cell r="G788" t="str">
            <v>Invoice Sent</v>
          </cell>
          <cell r="H788" t="str">
            <v>No</v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>https://panda-windows-and-doors.monday.com/protected_static/21046287/resources/2608736418/SO 58629.pdf</v>
          </cell>
          <cell r="R788" t="str">
            <v/>
          </cell>
          <cell r="S788" t="str">
            <v/>
          </cell>
          <cell r="T788" t="str">
            <v/>
          </cell>
          <cell r="U788">
            <v>0</v>
          </cell>
          <cell r="V788">
            <v>432</v>
          </cell>
          <cell r="W788" t="str">
            <v>Sean Lopez Apr 20, 2026 3:50 PM</v>
          </cell>
          <cell r="X788" t="str">
            <v/>
          </cell>
          <cell r="Y788">
            <v>46000</v>
          </cell>
          <cell r="Z788" t="str">
            <v/>
          </cell>
          <cell r="AA788">
            <v>46000</v>
          </cell>
          <cell r="AB788" t="str">
            <v>Jayme Truong Dec 9, 2025 4:33 PM</v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  <cell r="AG788" t="str">
            <v/>
          </cell>
          <cell r="AH788" t="str">
            <v/>
          </cell>
          <cell r="AI788" t="str">
            <v/>
          </cell>
        </row>
        <row r="789">
          <cell r="C789" t="str">
            <v>Mexbars</v>
          </cell>
          <cell r="E789" t="str">
            <v/>
          </cell>
          <cell r="F789" t="str">
            <v>Service</v>
          </cell>
          <cell r="G789" t="str">
            <v>Invoice Sent</v>
          </cell>
          <cell r="H789" t="str">
            <v>No</v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>https://panda-windows-and-doors.monday.com/protected_static/21046287/resources/2622114416/SO Mexbars.pdf</v>
          </cell>
          <cell r="R789" t="str">
            <v/>
          </cell>
          <cell r="S789" t="str">
            <v/>
          </cell>
          <cell r="T789" t="str">
            <v/>
          </cell>
          <cell r="U789">
            <v>0</v>
          </cell>
          <cell r="V789">
            <v>219</v>
          </cell>
          <cell r="W789" t="str">
            <v>Sean Lopez Apr 20, 2026 3:50 PM</v>
          </cell>
          <cell r="X789" t="str">
            <v/>
          </cell>
          <cell r="Y789">
            <v>46006</v>
          </cell>
          <cell r="Z789" t="str">
            <v/>
          </cell>
          <cell r="AA789">
            <v>46006</v>
          </cell>
          <cell r="AB789" t="str">
            <v>Jayme Truong Dec 15, 2025 3:56 PM</v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</row>
        <row r="790">
          <cell r="C790" t="str">
            <v>74376-S1</v>
          </cell>
          <cell r="E790" t="str">
            <v/>
          </cell>
          <cell r="F790" t="str">
            <v>Service</v>
          </cell>
          <cell r="G790" t="str">
            <v>Invoice Sent</v>
          </cell>
          <cell r="H790" t="str">
            <v>No</v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>https://panda-windows-and-doors.monday.com/protected_static/21046287/resources/2633336610/SO Big Ranch.pdf</v>
          </cell>
          <cell r="R790" t="str">
            <v/>
          </cell>
          <cell r="S790" t="str">
            <v/>
          </cell>
          <cell r="T790" t="str">
            <v/>
          </cell>
          <cell r="U790">
            <v>0</v>
          </cell>
          <cell r="V790">
            <v>2950</v>
          </cell>
          <cell r="W790" t="str">
            <v>Sean Lopez Apr 20, 2026 3:51 PM</v>
          </cell>
          <cell r="X790" t="str">
            <v/>
          </cell>
          <cell r="Y790">
            <v>46010</v>
          </cell>
          <cell r="Z790" t="str">
            <v/>
          </cell>
          <cell r="AA790">
            <v>46010</v>
          </cell>
          <cell r="AB790" t="str">
            <v>Jayme Truong Dec 19, 2025 12:14 PM</v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</row>
        <row r="791">
          <cell r="C791" t="str">
            <v>79040-S</v>
          </cell>
          <cell r="E791" t="str">
            <v/>
          </cell>
          <cell r="F791" t="str">
            <v>Service</v>
          </cell>
          <cell r="G791" t="str">
            <v>Invoice Sent</v>
          </cell>
          <cell r="H791" t="str">
            <v>No</v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>https://panda-windows-and-doors.monday.com/protected_static/21046287/resources/2636333509/SO Oglebay.pdf</v>
          </cell>
          <cell r="R791" t="str">
            <v>https://panda-windows-and-doors.monday.com/protected_static/21046287/resources/2289438735/Master Home Works Inc - Resale Certificate effective 6-7-2019 - VA.pdf</v>
          </cell>
          <cell r="S791" t="str">
            <v/>
          </cell>
          <cell r="T791" t="str">
            <v/>
          </cell>
          <cell r="U791">
            <v>0</v>
          </cell>
          <cell r="V791">
            <v>4856</v>
          </cell>
          <cell r="W791" t="str">
            <v>Sean Lopez Apr 20, 2026 3:51 PM</v>
          </cell>
          <cell r="X791" t="str">
            <v/>
          </cell>
          <cell r="Y791">
            <v>46013</v>
          </cell>
          <cell r="Z791" t="str">
            <v/>
          </cell>
          <cell r="AA791">
            <v>46013</v>
          </cell>
          <cell r="AB791" t="str">
            <v>Jayme Truong Dec 22, 2025 9:55 AM</v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  <cell r="AG791" t="str">
            <v/>
          </cell>
          <cell r="AH791" t="str">
            <v/>
          </cell>
          <cell r="AI791" t="str">
            <v/>
          </cell>
        </row>
        <row r="792">
          <cell r="C792" t="str">
            <v>82424-S</v>
          </cell>
          <cell r="E792" t="str">
            <v/>
          </cell>
          <cell r="F792" t="str">
            <v>Service</v>
          </cell>
          <cell r="G792" t="str">
            <v>Invoice Sent</v>
          </cell>
          <cell r="H792" t="str">
            <v>No</v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>https://panda-windows-and-doors.monday.com/protected_static/21046287/resources/2639685910/10313 JShuman Door Installation.pdf</v>
          </cell>
          <cell r="O792" t="str">
            <v/>
          </cell>
          <cell r="P792" t="str">
            <v/>
          </cell>
          <cell r="Q792" t="str">
            <v>https://panda-windows-and-doors.monday.com/protected_static/21046287/resources/2639536919/SO 82424.pdf</v>
          </cell>
          <cell r="R792" t="str">
            <v/>
          </cell>
          <cell r="S792" t="str">
            <v/>
          </cell>
          <cell r="T792" t="str">
            <v/>
          </cell>
          <cell r="U792">
            <v>0</v>
          </cell>
          <cell r="V792">
            <v>1180</v>
          </cell>
          <cell r="W792" t="str">
            <v>Sean Lopez Apr 20, 2026 3:51 PM</v>
          </cell>
          <cell r="X792" t="str">
            <v/>
          </cell>
          <cell r="Y792">
            <v>46014</v>
          </cell>
          <cell r="Z792" t="str">
            <v/>
          </cell>
          <cell r="AA792">
            <v>46014</v>
          </cell>
          <cell r="AB792" t="str">
            <v>Jayme Truong Dec 23, 2025 2:53 PM</v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  <cell r="AG792" t="str">
            <v/>
          </cell>
          <cell r="AH792" t="str">
            <v/>
          </cell>
          <cell r="AI792" t="str">
            <v/>
          </cell>
        </row>
        <row r="793">
          <cell r="C793">
            <v>83817</v>
          </cell>
          <cell r="E793" t="str">
            <v/>
          </cell>
          <cell r="F793" t="str">
            <v>Service</v>
          </cell>
          <cell r="G793" t="str">
            <v>Invoice Sent</v>
          </cell>
          <cell r="H793" t="str">
            <v>No</v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>https://panda-windows-and-doors.monday.com/protected_static/21046287/resources/2646141695/10320 Action Windows and Doors.pdf</v>
          </cell>
          <cell r="O793" t="str">
            <v/>
          </cell>
          <cell r="P793" t="str">
            <v/>
          </cell>
          <cell r="Q793" t="str">
            <v>https://panda-windows-and-doors.monday.com/protected_static/21046287/resources/2645930697/Service Form.pdf</v>
          </cell>
          <cell r="R793" t="str">
            <v>https://panda-windows-and-doors.monday.com/protected_static/21046287/resources/2109137582/MF 4814 Q83817 5263 SHORE DRIVE - OPT.pdf, https://panda-windows-and-doors.monday.com/protected_static/21046287/resources/2109137590/MF 4814 Q83817 5263 SHORE DRIVE - BENDING MATERIALS.pdf, https://panda-windows-and-doors.monday.com/protected_static/21046287/resources/2109137596/MF 4814 Q83817 5263 SHORE DRIVE - B.O.M.pdf, https://panda-windows-and-doors.monday.com/protected_static/21046287/resources/2109137603/MF 4814 Q83817 5263 SHORE DRIVE - CUTLIST (GINERI).pdf, https://panda-windows-and-doors.monday.com/protected_static/21046287/resources/2109137586/MF 4814 Q83817 5263 SHORE DRIVE - CUTLIST (MANUAL).pdf</v>
          </cell>
          <cell r="S793" t="str">
            <v>Completed - Closed Out</v>
          </cell>
          <cell r="T793" t="str">
            <v/>
          </cell>
          <cell r="U793">
            <v>0</v>
          </cell>
          <cell r="V793">
            <v>529</v>
          </cell>
          <cell r="W793" t="str">
            <v>Sean Lopez Apr 20, 2026 3:50 PM</v>
          </cell>
          <cell r="X793" t="str">
            <v/>
          </cell>
          <cell r="Y793">
            <v>46020</v>
          </cell>
          <cell r="Z793" t="str">
            <v/>
          </cell>
          <cell r="AA793">
            <v>46020</v>
          </cell>
          <cell r="AB793" t="str">
            <v>Jayme Truong Dec 29, 2025 3:53 PM</v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  <cell r="AG793" t="str">
            <v/>
          </cell>
          <cell r="AH793" t="str">
            <v/>
          </cell>
          <cell r="AI793" t="str">
            <v/>
          </cell>
        </row>
        <row r="794">
          <cell r="C794">
            <v>505.2</v>
          </cell>
          <cell r="E794" t="str">
            <v/>
          </cell>
          <cell r="F794" t="str">
            <v>Service</v>
          </cell>
          <cell r="G794" t="str">
            <v>Invoice Sent</v>
          </cell>
          <cell r="H794" t="str">
            <v>No</v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>https://panda-windows-and-doors.monday.com/protected_static/21046287/resources/2649167295/Service Form.pdf</v>
          </cell>
          <cell r="R794" t="str">
            <v/>
          </cell>
          <cell r="S794" t="str">
            <v/>
          </cell>
          <cell r="T794" t="str">
            <v/>
          </cell>
          <cell r="U794">
            <v>0</v>
          </cell>
          <cell r="V794">
            <v>175</v>
          </cell>
          <cell r="W794" t="str">
            <v>Sean Lopez Apr 20, 2026 3:52 PM</v>
          </cell>
          <cell r="X794" t="str">
            <v/>
          </cell>
          <cell r="Y794">
            <v>46022</v>
          </cell>
          <cell r="Z794" t="str">
            <v/>
          </cell>
          <cell r="AA794">
            <v>46022</v>
          </cell>
          <cell r="AB794" t="str">
            <v>Jayme Truong Dec 31, 2025 9:06 AM</v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  <cell r="AG794" t="str">
            <v/>
          </cell>
          <cell r="AH794" t="str">
            <v/>
          </cell>
          <cell r="AI794" t="str">
            <v/>
          </cell>
        </row>
        <row r="795">
          <cell r="C795" t="str">
            <v>20910-S2</v>
          </cell>
          <cell r="E795" t="str">
            <v/>
          </cell>
          <cell r="F795" t="str">
            <v>Service</v>
          </cell>
          <cell r="G795" t="str">
            <v>Invoice Sent</v>
          </cell>
          <cell r="H795" t="str">
            <v>No</v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>https://panda-windows-and-doors.monday.com/protected_static/21046287/resources/2685193785/Service Form (67).pdf, https://panda-windows-and-doors.monday.com/protected_static/21046287/resources/2689829795/Magik.jpg</v>
          </cell>
          <cell r="R795" t="str">
            <v/>
          </cell>
          <cell r="S795" t="str">
            <v/>
          </cell>
          <cell r="T795" t="str">
            <v/>
          </cell>
          <cell r="U795">
            <v>0</v>
          </cell>
          <cell r="V795">
            <v>747.6</v>
          </cell>
          <cell r="W795" t="str">
            <v>Sean Lopez Apr 20, 2026 3:52 PM</v>
          </cell>
          <cell r="X795" t="str">
            <v/>
          </cell>
          <cell r="Y795">
            <v>46037</v>
          </cell>
          <cell r="Z795" t="str">
            <v/>
          </cell>
          <cell r="AA795">
            <v>46037</v>
          </cell>
          <cell r="AB795" t="str">
            <v>Annalene Conde Jan 15, 2026 9:01 AM</v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  <cell r="AG795" t="str">
            <v/>
          </cell>
          <cell r="AH795" t="str">
            <v/>
          </cell>
          <cell r="AI795" t="str">
            <v/>
          </cell>
        </row>
        <row r="796">
          <cell r="C796" t="str">
            <v>66974-S2</v>
          </cell>
          <cell r="E796" t="str">
            <v/>
          </cell>
          <cell r="F796" t="str">
            <v>Service</v>
          </cell>
          <cell r="G796" t="str">
            <v>Invoice Sent</v>
          </cell>
          <cell r="H796" t="str">
            <v>No</v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>https://panda-windows-and-doors.monday.com/protected_static/21046287/resources/2693840158/Service Form (68).pdf</v>
          </cell>
          <cell r="R796" t="str">
            <v/>
          </cell>
          <cell r="S796" t="str">
            <v/>
          </cell>
          <cell r="T796" t="str">
            <v/>
          </cell>
          <cell r="U796">
            <v>0</v>
          </cell>
          <cell r="V796">
            <v>785</v>
          </cell>
          <cell r="W796" t="str">
            <v>Sean Lopez Apr 20, 2026 3:52 PM</v>
          </cell>
          <cell r="X796" t="str">
            <v/>
          </cell>
          <cell r="Y796">
            <v>46041</v>
          </cell>
          <cell r="Z796" t="str">
            <v/>
          </cell>
          <cell r="AA796">
            <v>46041</v>
          </cell>
          <cell r="AB796" t="str">
            <v>Annalene Conde Jan 19, 2026 2:30 PM</v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  <cell r="AG796" t="str">
            <v/>
          </cell>
          <cell r="AH796" t="str">
            <v/>
          </cell>
          <cell r="AI796" t="str">
            <v/>
          </cell>
        </row>
        <row r="797">
          <cell r="C797" t="str">
            <v>71287-S2</v>
          </cell>
          <cell r="E797" t="str">
            <v/>
          </cell>
          <cell r="F797" t="str">
            <v>Service</v>
          </cell>
          <cell r="G797" t="str">
            <v>Invoice Sent</v>
          </cell>
          <cell r="H797" t="str">
            <v>No</v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>https://panda-windows-and-doors.monday.com/protected_static/21046287/resources/2696583058/Service Form (69).pdf</v>
          </cell>
          <cell r="R797" t="str">
            <v/>
          </cell>
          <cell r="S797" t="str">
            <v/>
          </cell>
          <cell r="T797" t="str">
            <v/>
          </cell>
          <cell r="U797">
            <v>0</v>
          </cell>
          <cell r="V797">
            <v>1631.72</v>
          </cell>
          <cell r="W797" t="str">
            <v>Sean Lopez Apr 20, 2026 3:52 PM</v>
          </cell>
          <cell r="X797" t="str">
            <v/>
          </cell>
          <cell r="Y797">
            <v>46042</v>
          </cell>
          <cell r="Z797" t="str">
            <v/>
          </cell>
          <cell r="AA797">
            <v>46042</v>
          </cell>
          <cell r="AB797" t="str">
            <v>Annalene Conde Jan 20, 2026 12:49 PM</v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  <cell r="AG797" t="str">
            <v/>
          </cell>
          <cell r="AH797" t="str">
            <v/>
          </cell>
          <cell r="AI797" t="str">
            <v/>
          </cell>
        </row>
        <row r="798">
          <cell r="C798" t="str">
            <v>79040-S1</v>
          </cell>
          <cell r="E798" t="str">
            <v/>
          </cell>
          <cell r="F798" t="str">
            <v>Service</v>
          </cell>
          <cell r="G798" t="str">
            <v>Invoice Sent</v>
          </cell>
          <cell r="H798" t="str">
            <v>No</v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>https://panda-windows-and-doors.monday.com/protected_static/21046287/resources/2702570182/Service Form (71).pdf</v>
          </cell>
          <cell r="R798" t="str">
            <v/>
          </cell>
          <cell r="S798" t="str">
            <v/>
          </cell>
          <cell r="T798" t="str">
            <v/>
          </cell>
          <cell r="U798">
            <v>0</v>
          </cell>
          <cell r="V798">
            <v>4508</v>
          </cell>
          <cell r="W798" t="str">
            <v>Sean Lopez Apr 20, 2026 3:52 PM</v>
          </cell>
          <cell r="X798" t="str">
            <v/>
          </cell>
          <cell r="Y798">
            <v>46044</v>
          </cell>
          <cell r="Z798" t="str">
            <v/>
          </cell>
          <cell r="AA798">
            <v>46044</v>
          </cell>
          <cell r="AB798" t="str">
            <v>Annalene Conde Jan 22, 2026 9:47 AM</v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  <cell r="AG798" t="str">
            <v/>
          </cell>
          <cell r="AH798" t="str">
            <v/>
          </cell>
          <cell r="AI798" t="str">
            <v/>
          </cell>
        </row>
        <row r="799">
          <cell r="C799">
            <v>83602</v>
          </cell>
          <cell r="E799" t="str">
            <v/>
          </cell>
          <cell r="F799" t="str">
            <v>Service</v>
          </cell>
          <cell r="G799" t="str">
            <v>Invoice Sent</v>
          </cell>
          <cell r="H799" t="str">
            <v>No</v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>https://panda-windows-and-doors.monday.com/protected_static/21046287/resources/2700692052/Service Form (70).pdf</v>
          </cell>
          <cell r="R799" t="str">
            <v>https://panda-windows-and-doors.monday.com/protected_static/21046287/resources/2172177802/ES 4794 Q83602 PALMS CLUB - OPT.pdf, https://panda-windows-and-doors.monday.com/protected_static/21046287/resources/2172177833/Q83602_FUS51-BOM.pdf, https://panda-windows-and-doors.monday.com/protected_static/21046287/resources/2172177799/ES 4794 Q83602 PALMS CLUB - CUTLIST (GINERI).pdf</v>
          </cell>
          <cell r="S799" t="str">
            <v>Completed - Closed Out</v>
          </cell>
          <cell r="T799" t="str">
            <v/>
          </cell>
          <cell r="U799">
            <v>0</v>
          </cell>
          <cell r="V799">
            <v>924</v>
          </cell>
          <cell r="W799" t="str">
            <v>Sean Lopez Apr 20, 2026 3:52 PM</v>
          </cell>
          <cell r="X799" t="str">
            <v/>
          </cell>
          <cell r="Y799">
            <v>46043</v>
          </cell>
          <cell r="Z799" t="str">
            <v/>
          </cell>
          <cell r="AA799">
            <v>46043</v>
          </cell>
          <cell r="AB799" t="str">
            <v>Annalene Conde Jan 21, 2026 4:02 PM</v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  <cell r="AG799" t="str">
            <v/>
          </cell>
          <cell r="AH799" t="str">
            <v/>
          </cell>
          <cell r="AI799" t="str">
            <v/>
          </cell>
        </row>
        <row r="800">
          <cell r="C800" t="str">
            <v>82424-S1</v>
          </cell>
          <cell r="E800" t="str">
            <v/>
          </cell>
          <cell r="F800" t="str">
            <v>Service</v>
          </cell>
          <cell r="G800" t="str">
            <v>Invoice Sent</v>
          </cell>
          <cell r="H800" t="str">
            <v>No</v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>https://panda-windows-and-doors.monday.com/protected_static/21046287/resources/2713201306/Estimate 10381.pdf</v>
          </cell>
          <cell r="O800" t="str">
            <v/>
          </cell>
          <cell r="P800" t="str">
            <v/>
          </cell>
          <cell r="Q800" t="str">
            <v>https://panda-windows-and-doors.monday.com/protected_static/21046287/resources/2706673210/Service Form (73).pdf</v>
          </cell>
          <cell r="R800" t="str">
            <v/>
          </cell>
          <cell r="S800" t="str">
            <v/>
          </cell>
          <cell r="T800" t="str">
            <v/>
          </cell>
          <cell r="U800">
            <v>0</v>
          </cell>
          <cell r="V800">
            <v>274</v>
          </cell>
          <cell r="W800" t="str">
            <v>Sean Lopez Apr 20, 2026 3:53 PM</v>
          </cell>
          <cell r="X800" t="str">
            <v/>
          </cell>
          <cell r="Y800">
            <v>46045</v>
          </cell>
          <cell r="Z800" t="str">
            <v/>
          </cell>
          <cell r="AA800">
            <v>46045</v>
          </cell>
          <cell r="AB800" t="str">
            <v>Annalene Conde Jan 23, 2026 4:41 PM</v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  <cell r="AG800" t="str">
            <v/>
          </cell>
          <cell r="AH800" t="str">
            <v/>
          </cell>
          <cell r="AI800" t="str">
            <v/>
          </cell>
        </row>
        <row r="801">
          <cell r="C801" t="str">
            <v>SAN PEDRO</v>
          </cell>
          <cell r="E801" t="str">
            <v/>
          </cell>
          <cell r="F801" t="str">
            <v>Service</v>
          </cell>
          <cell r="G801" t="str">
            <v>Invoice Sent</v>
          </cell>
          <cell r="H801" t="str">
            <v>No</v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>https://panda-windows-and-doors.monday.com/protected_static/21046287/resources/2717556710/SO San Pedro.pdf</v>
          </cell>
          <cell r="R801" t="str">
            <v/>
          </cell>
          <cell r="S801" t="str">
            <v/>
          </cell>
          <cell r="T801" t="str">
            <v/>
          </cell>
          <cell r="U801">
            <v>0</v>
          </cell>
          <cell r="V801">
            <v>143</v>
          </cell>
          <cell r="W801" t="str">
            <v>Sean Lopez Apr 20, 2026 3:55 PM</v>
          </cell>
          <cell r="X801" t="str">
            <v/>
          </cell>
          <cell r="Y801">
            <v>46050</v>
          </cell>
          <cell r="Z801" t="str">
            <v/>
          </cell>
          <cell r="AA801">
            <v>46050</v>
          </cell>
          <cell r="AB801" t="str">
            <v>Annalene Conde Jan 28, 2026 2:54 PM</v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</row>
        <row r="802">
          <cell r="C802">
            <v>63082</v>
          </cell>
          <cell r="E802" t="str">
            <v/>
          </cell>
          <cell r="F802" t="str">
            <v>Service</v>
          </cell>
          <cell r="G802" t="str">
            <v>Invoice Sent</v>
          </cell>
          <cell r="H802" t="str">
            <v>No</v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>https://panda-windows-and-doors.monday.com/protected_static/21046287/resources/2715887922/Service Form.pdf</v>
          </cell>
          <cell r="R802" t="str">
            <v/>
          </cell>
          <cell r="S802" t="str">
            <v/>
          </cell>
          <cell r="T802" t="str">
            <v/>
          </cell>
          <cell r="U802">
            <v>0</v>
          </cell>
          <cell r="V802">
            <v>129</v>
          </cell>
          <cell r="W802" t="str">
            <v>Sean Lopez Apr 20, 2026 3:55 PM</v>
          </cell>
          <cell r="X802" t="str">
            <v/>
          </cell>
          <cell r="Y802" t="str">
            <v/>
          </cell>
          <cell r="Z802" t="str">
            <v/>
          </cell>
          <cell r="AA802">
            <v>46050</v>
          </cell>
          <cell r="AB802" t="str">
            <v>Annalene Conde Jan 28, 2026 8:49 AM</v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</row>
        <row r="803">
          <cell r="C803" t="str">
            <v>67212-S</v>
          </cell>
          <cell r="E803" t="str">
            <v/>
          </cell>
          <cell r="F803" t="str">
            <v>Service</v>
          </cell>
          <cell r="G803" t="str">
            <v>Invoice Sent</v>
          </cell>
          <cell r="H803" t="str">
            <v>No</v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>https://panda-windows-and-doors.monday.com/protected_static/21046287/resources/2729631448/10406 master home works inc.pdf</v>
          </cell>
          <cell r="O803" t="str">
            <v/>
          </cell>
          <cell r="P803" t="str">
            <v/>
          </cell>
          <cell r="Q803" t="str">
            <v>https://panda-windows-and-doors.monday.com/protected_static/21046287/resources/2723850173/SO Nami Nori.pdf</v>
          </cell>
          <cell r="R803" t="str">
            <v/>
          </cell>
          <cell r="S803" t="str">
            <v/>
          </cell>
          <cell r="T803" t="str">
            <v/>
          </cell>
          <cell r="U803">
            <v>0</v>
          </cell>
          <cell r="V803">
            <v>5250</v>
          </cell>
          <cell r="W803" t="str">
            <v>Sean Lopez Apr 20, 2026 3:55 PM</v>
          </cell>
          <cell r="X803" t="str">
            <v/>
          </cell>
          <cell r="Y803">
            <v>46052</v>
          </cell>
          <cell r="Z803" t="str">
            <v/>
          </cell>
          <cell r="AA803">
            <v>46052</v>
          </cell>
          <cell r="AB803" t="str">
            <v>Annalene Conde Jan 30, 2026 12:57 PM</v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</row>
        <row r="804">
          <cell r="C804" t="str">
            <v>85278-S2</v>
          </cell>
          <cell r="E804" t="str">
            <v/>
          </cell>
          <cell r="F804" t="str">
            <v>Service</v>
          </cell>
          <cell r="G804" t="str">
            <v>Invoice Sent</v>
          </cell>
          <cell r="H804" t="str">
            <v>No</v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>https://panda-windows-and-doors.monday.com/protected_static/21046287/resources/2733036334/10415 Lawrence Rassin.pdf</v>
          </cell>
          <cell r="O804" t="str">
            <v/>
          </cell>
          <cell r="P804" t="str">
            <v/>
          </cell>
          <cell r="Q804" t="str">
            <v>https://panda-windows-and-doors.monday.com/protected_static/21046287/resources/2732997230/SO Larry Rassin.pdf</v>
          </cell>
          <cell r="R804" t="str">
            <v/>
          </cell>
          <cell r="S804" t="str">
            <v/>
          </cell>
          <cell r="T804" t="str">
            <v/>
          </cell>
          <cell r="U804">
            <v>0</v>
          </cell>
          <cell r="V804">
            <v>96</v>
          </cell>
          <cell r="W804" t="str">
            <v>Sean Lopez Apr 20, 2026 3:55 PM</v>
          </cell>
          <cell r="X804" t="str">
            <v/>
          </cell>
          <cell r="Y804">
            <v>46056</v>
          </cell>
          <cell r="Z804" t="str">
            <v/>
          </cell>
          <cell r="AA804">
            <v>46056</v>
          </cell>
          <cell r="AB804" t="str">
            <v>Annalene Conde Feb 3, 2026 4:16 PM</v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</row>
        <row r="805">
          <cell r="C805">
            <v>20290</v>
          </cell>
          <cell r="E805" t="str">
            <v/>
          </cell>
          <cell r="F805" t="str">
            <v>Service</v>
          </cell>
          <cell r="G805" t="str">
            <v>Invoice Sent</v>
          </cell>
          <cell r="H805" t="str">
            <v>No</v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>https://panda-windows-and-doors.monday.com/protected_static/21046287/resources/2759529151/Service Form (90).pdf, https://panda-windows-and-doors.monday.com/protected_static/21046287/resources/2759678730/Screenshot 2026-02-13 111134.jpg</v>
          </cell>
          <cell r="R805" t="str">
            <v/>
          </cell>
          <cell r="S805" t="str">
            <v/>
          </cell>
          <cell r="T805" t="str">
            <v/>
          </cell>
          <cell r="U805">
            <v>0</v>
          </cell>
          <cell r="V805">
            <v>299</v>
          </cell>
          <cell r="W805" t="str">
            <v>Sean Lopez Apr 20, 2026 3:55 PM</v>
          </cell>
          <cell r="X805" t="str">
            <v/>
          </cell>
          <cell r="Y805">
            <v>46066</v>
          </cell>
          <cell r="Z805" t="str">
            <v/>
          </cell>
          <cell r="AA805">
            <v>46066</v>
          </cell>
          <cell r="AB805" t="str">
            <v>Annalene Conde Feb 13, 2026 11:22 AM</v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</row>
        <row r="806">
          <cell r="C806">
            <v>5438</v>
          </cell>
          <cell r="E806" t="str">
            <v/>
          </cell>
          <cell r="F806" t="str">
            <v>Service</v>
          </cell>
          <cell r="G806" t="str">
            <v>Invoice Sent</v>
          </cell>
          <cell r="H806" t="str">
            <v>No</v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>https://panda-windows-and-doors.monday.com/protected_static/21046287/resources/2043263022/9495 B-K Window.pdf</v>
          </cell>
          <cell r="O806" t="str">
            <v/>
          </cell>
          <cell r="P806" t="str">
            <v/>
          </cell>
          <cell r="Q806" t="str">
            <v>https://panda-windows-and-doors.monday.com/protected_static/21046287/resources/2043163273/Service Form.pdf</v>
          </cell>
          <cell r="R806" t="str">
            <v/>
          </cell>
          <cell r="S806" t="str">
            <v/>
          </cell>
          <cell r="T806" t="str">
            <v/>
          </cell>
          <cell r="U806">
            <v>0</v>
          </cell>
          <cell r="V806">
            <v>405</v>
          </cell>
          <cell r="W806" t="str">
            <v>Sean Lopez Apr 20, 2026 3:55 PM</v>
          </cell>
          <cell r="X806" t="str">
            <v/>
          </cell>
          <cell r="Y806">
            <v>45743</v>
          </cell>
          <cell r="Z806" t="str">
            <v/>
          </cell>
          <cell r="AA806">
            <v>45743</v>
          </cell>
          <cell r="AB806" t="str">
            <v>Jayme Truong Mar 27, 2025 10:41 AM</v>
          </cell>
          <cell r="AC806">
            <v>45743</v>
          </cell>
          <cell r="AD806" t="str">
            <v/>
          </cell>
          <cell r="AE806" t="str">
            <v/>
          </cell>
          <cell r="AF806" t="str">
            <v/>
          </cell>
          <cell r="AG806">
            <v>45755</v>
          </cell>
          <cell r="AH806" t="str">
            <v/>
          </cell>
          <cell r="AI806" t="str">
            <v/>
          </cell>
        </row>
        <row r="807">
          <cell r="C807" t="str">
            <v>QJCA</v>
          </cell>
          <cell r="E807" t="str">
            <v/>
          </cell>
          <cell r="F807" t="str">
            <v>Service</v>
          </cell>
          <cell r="G807" t="str">
            <v>Invoice Sent</v>
          </cell>
          <cell r="H807" t="str">
            <v>No</v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>https://panda-windows-and-doors.monday.com/protected_static/21046287/resources/2775037415/SO Javier.pdf</v>
          </cell>
          <cell r="R807" t="str">
            <v/>
          </cell>
          <cell r="S807" t="str">
            <v/>
          </cell>
          <cell r="T807" t="str">
            <v/>
          </cell>
          <cell r="U807">
            <v>0</v>
          </cell>
          <cell r="V807">
            <v>257</v>
          </cell>
          <cell r="W807" t="str">
            <v>Sean Lopez Apr 20, 2026 3:55 PM</v>
          </cell>
          <cell r="X807" t="str">
            <v/>
          </cell>
          <cell r="Y807">
            <v>46073</v>
          </cell>
          <cell r="Z807" t="str">
            <v/>
          </cell>
          <cell r="AA807">
            <v>46073</v>
          </cell>
          <cell r="AB807" t="str">
            <v>Annalene Conde Feb 20, 2026 10:27 AM</v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  <cell r="AG807" t="str">
            <v/>
          </cell>
          <cell r="AH807" t="str">
            <v/>
          </cell>
          <cell r="AI807" t="str">
            <v/>
          </cell>
        </row>
        <row r="808">
          <cell r="C808" t="str">
            <v>81592-S</v>
          </cell>
          <cell r="E808" t="str">
            <v/>
          </cell>
          <cell r="F808" t="str">
            <v>Service</v>
          </cell>
          <cell r="G808" t="str">
            <v>Invoice Sent</v>
          </cell>
          <cell r="H808" t="str">
            <v>No</v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>https://panda-windows-and-doors.monday.com/protected_static/21046287/resources/2785763895/Service Form.pdf, https://panda-windows-and-doors.monday.com/protected_static/21046287/resources/2923011533/Service Form.pdf</v>
          </cell>
          <cell r="R808" t="str">
            <v/>
          </cell>
          <cell r="S808" t="str">
            <v/>
          </cell>
          <cell r="T808" t="str">
            <v/>
          </cell>
          <cell r="U808">
            <v>0</v>
          </cell>
          <cell r="V808">
            <v>2166.42</v>
          </cell>
          <cell r="W808" t="str">
            <v>Sean Lopez Apr 22, 2026 12:56 PM</v>
          </cell>
          <cell r="X808" t="str">
            <v/>
          </cell>
          <cell r="Y808">
            <v>46078</v>
          </cell>
          <cell r="Z808" t="str">
            <v/>
          </cell>
          <cell r="AA808">
            <v>46078</v>
          </cell>
          <cell r="AB808" t="str">
            <v>Annalene Conde Feb 25, 2026 12:57 PM</v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  <cell r="AG808" t="str">
            <v/>
          </cell>
          <cell r="AH808" t="str">
            <v/>
          </cell>
          <cell r="AI808" t="str">
            <v/>
          </cell>
        </row>
        <row r="809">
          <cell r="C809" t="str">
            <v>63102-S</v>
          </cell>
          <cell r="E809" t="str">
            <v/>
          </cell>
          <cell r="F809" t="str">
            <v>Service</v>
          </cell>
          <cell r="G809" t="str">
            <v>Invoice Sent</v>
          </cell>
          <cell r="H809" t="str">
            <v>No</v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>https://panda-windows-and-doors.monday.com/protected_static/21046287/resources/2803939422/Service Form.pdf</v>
          </cell>
          <cell r="R809" t="str">
            <v/>
          </cell>
          <cell r="S809" t="str">
            <v/>
          </cell>
          <cell r="T809" t="str">
            <v/>
          </cell>
          <cell r="U809">
            <v>0</v>
          </cell>
          <cell r="V809">
            <v>342</v>
          </cell>
          <cell r="W809" t="str">
            <v>Sean Lopez Apr 20, 2026 3:55 PM</v>
          </cell>
          <cell r="X809" t="str">
            <v/>
          </cell>
          <cell r="Y809">
            <v>46085</v>
          </cell>
          <cell r="Z809" t="str">
            <v/>
          </cell>
          <cell r="AA809">
            <v>46085</v>
          </cell>
          <cell r="AB809" t="str">
            <v>Annalene Conde Mar 4, 2026 3:39 PM</v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</row>
        <row r="810">
          <cell r="C810" t="str">
            <v>21423-S</v>
          </cell>
          <cell r="E810" t="str">
            <v/>
          </cell>
          <cell r="F810" t="str">
            <v>Service</v>
          </cell>
          <cell r="G810" t="str">
            <v>Invoice Sent</v>
          </cell>
          <cell r="H810" t="str">
            <v>No</v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>https://panda-windows-and-doors.monday.com/protected_static/21046287/resources/2838480814/Service Form.pdf</v>
          </cell>
          <cell r="R810" t="str">
            <v/>
          </cell>
          <cell r="S810" t="str">
            <v/>
          </cell>
          <cell r="T810" t="str">
            <v/>
          </cell>
          <cell r="U810">
            <v>0</v>
          </cell>
          <cell r="V810">
            <v>257</v>
          </cell>
          <cell r="W810" t="str">
            <v>Sean Lopez Apr 20, 2026 3:55 PM</v>
          </cell>
          <cell r="X810" t="str">
            <v/>
          </cell>
          <cell r="Y810">
            <v>46099</v>
          </cell>
          <cell r="Z810" t="str">
            <v/>
          </cell>
          <cell r="AA810">
            <v>46099</v>
          </cell>
          <cell r="AB810" t="str">
            <v>Annalene Conde Mar 18, 2026 11:18 AM</v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</row>
        <row r="811">
          <cell r="C811" t="str">
            <v>13802-S</v>
          </cell>
          <cell r="E811" t="str">
            <v/>
          </cell>
          <cell r="F811" t="str">
            <v>Service</v>
          </cell>
          <cell r="G811" t="str">
            <v>Invoice Sent</v>
          </cell>
          <cell r="H811" t="str">
            <v>No</v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>https://panda-windows-and-doors.monday.com/protected_static/21046287/resources/2844935573/Service Form.pdf</v>
          </cell>
          <cell r="R811" t="str">
            <v/>
          </cell>
          <cell r="S811" t="str">
            <v/>
          </cell>
          <cell r="T811" t="str">
            <v/>
          </cell>
          <cell r="U811">
            <v>0</v>
          </cell>
          <cell r="V811">
            <v>257</v>
          </cell>
          <cell r="W811" t="str">
            <v>Sean Lopez Apr 20, 2026 3:55 PM</v>
          </cell>
          <cell r="X811" t="str">
            <v/>
          </cell>
          <cell r="Y811">
            <v>46101</v>
          </cell>
          <cell r="Z811" t="str">
            <v/>
          </cell>
          <cell r="AA811">
            <v>46101</v>
          </cell>
          <cell r="AB811" t="str">
            <v>Annalene Conde Mar 20, 2026 2:37 PM</v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</row>
        <row r="812">
          <cell r="C812" t="str">
            <v>68670-S</v>
          </cell>
          <cell r="E812" t="str">
            <v/>
          </cell>
          <cell r="F812" t="str">
            <v>Service</v>
          </cell>
          <cell r="G812" t="str">
            <v>Invoice Sent</v>
          </cell>
          <cell r="H812" t="str">
            <v>No</v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>https://panda-windows-and-doors.monday.com/protected_static/21046287/resources/2845048695/10586 Jones &amp; Jones.pdf</v>
          </cell>
          <cell r="O812" t="str">
            <v/>
          </cell>
          <cell r="P812" t="str">
            <v/>
          </cell>
          <cell r="Q812" t="str">
            <v>https://panda-windows-and-doors.monday.com/protected_static/21046287/resources/2844977267/Service Form.pdf</v>
          </cell>
          <cell r="R812" t="str">
            <v/>
          </cell>
          <cell r="S812" t="str">
            <v/>
          </cell>
          <cell r="T812" t="str">
            <v/>
          </cell>
          <cell r="U812">
            <v>0</v>
          </cell>
          <cell r="V812">
            <v>2069</v>
          </cell>
          <cell r="W812" t="str">
            <v>Sean Lopez Apr 20, 2026 3:56 PM</v>
          </cell>
          <cell r="X812" t="str">
            <v/>
          </cell>
          <cell r="Y812">
            <v>46101</v>
          </cell>
          <cell r="Z812" t="str">
            <v/>
          </cell>
          <cell r="AA812">
            <v>46101</v>
          </cell>
          <cell r="AB812" t="str">
            <v>Annalene Conde Mar 20, 2026 2:57 PM</v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</row>
        <row r="813">
          <cell r="C813" t="str">
            <v>86971-S</v>
          </cell>
          <cell r="E813" t="str">
            <v/>
          </cell>
          <cell r="F813" t="str">
            <v>Service</v>
          </cell>
          <cell r="G813" t="str">
            <v>Invoice Sent</v>
          </cell>
          <cell r="H813" t="str">
            <v>No</v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>https://panda-windows-and-doors.monday.com/protected_static/21046287/resources/2844978250/SO Daybreak.pdf</v>
          </cell>
          <cell r="R813" t="str">
            <v/>
          </cell>
          <cell r="S813" t="str">
            <v/>
          </cell>
          <cell r="T813" t="str">
            <v/>
          </cell>
          <cell r="U813">
            <v>0</v>
          </cell>
          <cell r="V813">
            <v>1650</v>
          </cell>
          <cell r="W813" t="str">
            <v>Sean Lopez Apr 20, 2026 3:56 PM</v>
          </cell>
          <cell r="X813" t="str">
            <v/>
          </cell>
          <cell r="Y813">
            <v>46101</v>
          </cell>
          <cell r="Z813" t="str">
            <v/>
          </cell>
          <cell r="AA813">
            <v>46101</v>
          </cell>
          <cell r="AB813" t="str">
            <v>Annalene Conde Mar 20, 2026 2:59 PM</v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</row>
        <row r="814">
          <cell r="C814">
            <v>81237</v>
          </cell>
          <cell r="E814" t="str">
            <v/>
          </cell>
          <cell r="F814" t="str">
            <v>Service</v>
          </cell>
          <cell r="G814" t="str">
            <v>Invoice Sent</v>
          </cell>
          <cell r="H814" t="str">
            <v>No</v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>https://panda-windows-and-doors.monday.com/protected_static/21046287/resources/2880710578/SO Stone Cloud Shipping.pdf</v>
          </cell>
          <cell r="R814" t="str">
            <v/>
          </cell>
          <cell r="S814" t="str">
            <v>Completed - Closed Out</v>
          </cell>
          <cell r="T814" t="str">
            <v/>
          </cell>
          <cell r="U814">
            <v>0</v>
          </cell>
          <cell r="V814">
            <v>148</v>
          </cell>
          <cell r="W814" t="str">
            <v>Sean Lopez Apr 20, 2026 3:56 PM</v>
          </cell>
          <cell r="X814" t="str">
            <v/>
          </cell>
          <cell r="Y814">
            <v>46118</v>
          </cell>
          <cell r="Z814" t="str">
            <v/>
          </cell>
          <cell r="AA814">
            <v>46118</v>
          </cell>
          <cell r="AB814" t="str">
            <v>Annalene Conde Apr 6, 2026 3:25 PM</v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  <cell r="AG814" t="str">
            <v/>
          </cell>
          <cell r="AH814" t="str">
            <v/>
          </cell>
          <cell r="AI814" t="str">
            <v/>
          </cell>
        </row>
        <row r="815">
          <cell r="C815" t="str">
            <v>84908-S</v>
          </cell>
          <cell r="E815" t="str">
            <v/>
          </cell>
          <cell r="F815" t="str">
            <v>Service</v>
          </cell>
          <cell r="G815" t="str">
            <v>Invoice Sent</v>
          </cell>
          <cell r="H815" t="str">
            <v>No</v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>https://panda-windows-and-doors.monday.com/protected_static/21046287/resources/2903425572/SO Gainey Ranch.pdf</v>
          </cell>
          <cell r="R815" t="str">
            <v/>
          </cell>
          <cell r="S815" t="str">
            <v/>
          </cell>
          <cell r="T815" t="str">
            <v/>
          </cell>
          <cell r="U815">
            <v>0</v>
          </cell>
          <cell r="V815">
            <v>2152.6999999999998</v>
          </cell>
          <cell r="W815" t="str">
            <v>Sean Lopez Apr 15, 2026 2:55 PM</v>
          </cell>
          <cell r="X815" t="str">
            <v/>
          </cell>
          <cell r="Y815">
            <v>46127</v>
          </cell>
          <cell r="Z815" t="str">
            <v/>
          </cell>
          <cell r="AA815">
            <v>46127</v>
          </cell>
          <cell r="AB815" t="str">
            <v>Annalene Conde Apr 15, 2026 11:43 AM</v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</row>
        <row r="816">
          <cell r="C816" t="str">
            <v>67212-S1</v>
          </cell>
          <cell r="E816" t="str">
            <v/>
          </cell>
          <cell r="F816" t="str">
            <v>Service</v>
          </cell>
          <cell r="G816" t="str">
            <v>Invoice Sent</v>
          </cell>
          <cell r="H816" t="str">
            <v>No</v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>https://panda-windows-and-doors.monday.com/protected_static/21046287/resources/2928447644/SO Nami Nori Panel.pdf</v>
          </cell>
          <cell r="R816" t="str">
            <v/>
          </cell>
          <cell r="S816" t="str">
            <v/>
          </cell>
          <cell r="T816" t="str">
            <v/>
          </cell>
          <cell r="U816">
            <v>0</v>
          </cell>
          <cell r="V816">
            <v>3480.34</v>
          </cell>
          <cell r="W816" t="str">
            <v>Sean Lopez Apr 27, 2026 11:45 AM</v>
          </cell>
          <cell r="X816" t="str">
            <v/>
          </cell>
          <cell r="Y816">
            <v>46139</v>
          </cell>
          <cell r="Z816" t="str">
            <v/>
          </cell>
          <cell r="AA816">
            <v>46139</v>
          </cell>
          <cell r="AB816" t="str">
            <v>Annalene Conde Apr 27, 2026 10:43 AM</v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</row>
        <row r="817">
          <cell r="C817" t="str">
            <v>55352-S5</v>
          </cell>
          <cell r="E817" t="str">
            <v/>
          </cell>
          <cell r="F817" t="str">
            <v>Service</v>
          </cell>
          <cell r="G817" t="str">
            <v>Invoice Sent</v>
          </cell>
          <cell r="H817" t="str">
            <v>No</v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>https://panda-windows-and-doors.monday.com/protected_static/21046287/resources/2928933850/SO Hapuna Removables.pdf</v>
          </cell>
          <cell r="R817" t="str">
            <v/>
          </cell>
          <cell r="S817" t="str">
            <v/>
          </cell>
          <cell r="T817" t="str">
            <v/>
          </cell>
          <cell r="U817">
            <v>0</v>
          </cell>
          <cell r="V817">
            <v>779</v>
          </cell>
          <cell r="W817" t="str">
            <v>Sean Lopez Apr 27, 2026 4:06 PM</v>
          </cell>
          <cell r="X817" t="str">
            <v/>
          </cell>
          <cell r="Y817">
            <v>46139</v>
          </cell>
          <cell r="Z817" t="str">
            <v/>
          </cell>
          <cell r="AA817">
            <v>46139</v>
          </cell>
          <cell r="AB817" t="str">
            <v>Annalene Conde Apr 27, 2026 1:53 PM</v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</row>
        <row r="818">
          <cell r="C818" t="str">
            <v>54662-S</v>
          </cell>
          <cell r="E818" t="str">
            <v/>
          </cell>
          <cell r="F818" t="str">
            <v>Service</v>
          </cell>
          <cell r="G818" t="str">
            <v>Invoice Sent</v>
          </cell>
          <cell r="H818" t="str">
            <v>No</v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>
            <v>0</v>
          </cell>
          <cell r="V818">
            <v>378</v>
          </cell>
          <cell r="W818" t="str">
            <v>Maliah Hernandez Apr 29, 2026 4:48 PM</v>
          </cell>
          <cell r="X818" t="str">
            <v/>
          </cell>
          <cell r="Y818">
            <v>46128</v>
          </cell>
          <cell r="Z818" t="str">
            <v/>
          </cell>
          <cell r="AA818">
            <v>46128</v>
          </cell>
          <cell r="AB818" t="str">
            <v>Annalene Conde Apr 16, 2026 8:54 AM</v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</row>
        <row r="819">
          <cell r="C819">
            <v>58915</v>
          </cell>
          <cell r="E819" t="str">
            <v/>
          </cell>
          <cell r="F819" t="str">
            <v>Service</v>
          </cell>
          <cell r="G819" t="str">
            <v>Invoice Sent</v>
          </cell>
          <cell r="H819" t="str">
            <v>No</v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>https://panda-windows-and-doors.monday.com/protected_static/21046287/resources/2936131977/10719 Master Home Works.pdf</v>
          </cell>
          <cell r="O819" t="str">
            <v/>
          </cell>
          <cell r="P819" t="str">
            <v/>
          </cell>
          <cell r="Q819" t="str">
            <v>https://panda-windows-and-doors.monday.com/protected_static/21046287/resources/2928180255/Service Form.pdf</v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>
            <v>1747</v>
          </cell>
          <cell r="W819" t="str">
            <v>Elizabet Lopez Apr 29, 2026 5:03 PM</v>
          </cell>
          <cell r="X819" t="str">
            <v/>
          </cell>
          <cell r="Y819">
            <v>46139</v>
          </cell>
          <cell r="Z819" t="str">
            <v/>
          </cell>
          <cell r="AA819">
            <v>46139</v>
          </cell>
          <cell r="AB819" t="str">
            <v>Annalene Conde Apr 27, 2026 9:57 AM</v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</row>
        <row r="820">
          <cell r="C820">
            <v>10108</v>
          </cell>
          <cell r="E820" t="str">
            <v/>
          </cell>
          <cell r="F820" t="str">
            <v>Service</v>
          </cell>
          <cell r="G820" t="str">
            <v>Invoice Sent</v>
          </cell>
          <cell r="H820" t="str">
            <v>No</v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>https://panda-windows-and-doors.monday.com/protected_static/21046287/resources/2948806042/10729 PS Doors Inc..pdf</v>
          </cell>
          <cell r="O820" t="str">
            <v/>
          </cell>
          <cell r="P820" t="str">
            <v/>
          </cell>
          <cell r="Q820" t="str">
            <v>https://panda-windows-and-doors.monday.com/protected_static/21046287/resources/2947956320/Service Form.pdf</v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>
            <v>587</v>
          </cell>
          <cell r="W820" t="str">
            <v>Elizabet Lopez May 5, 2026 1:09 PM</v>
          </cell>
          <cell r="X820" t="str">
            <v/>
          </cell>
          <cell r="Y820">
            <v>46147</v>
          </cell>
          <cell r="Z820" t="str">
            <v/>
          </cell>
          <cell r="AA820">
            <v>46147</v>
          </cell>
          <cell r="AB820" t="str">
            <v>Annalene Conde May 5, 2026 9:08 AM</v>
          </cell>
          <cell r="AC820" t="str">
            <v/>
          </cell>
          <cell r="AD820" t="str">
            <v/>
          </cell>
          <cell r="AE820" t="str">
            <v/>
          </cell>
          <cell r="AF820" t="str">
            <v/>
          </cell>
          <cell r="AG820" t="str">
            <v/>
          </cell>
          <cell r="AH820" t="str">
            <v/>
          </cell>
          <cell r="AI820" t="str">
            <v/>
          </cell>
        </row>
        <row r="821">
          <cell r="C821">
            <v>111</v>
          </cell>
          <cell r="E821" t="str">
            <v/>
          </cell>
          <cell r="F821" t="str">
            <v>Service</v>
          </cell>
          <cell r="G821" t="str">
            <v>Invoice Sent</v>
          </cell>
          <cell r="H821" t="str">
            <v>No</v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>https://panda-windows-and-doors.monday.com/protected_static/21046287/resources/2949034592/Service Form.pdf</v>
          </cell>
          <cell r="R821" t="str">
            <v/>
          </cell>
          <cell r="S821" t="str">
            <v/>
          </cell>
          <cell r="T821" t="str">
            <v/>
          </cell>
          <cell r="U821">
            <v>0</v>
          </cell>
          <cell r="V821">
            <v>801</v>
          </cell>
          <cell r="W821" t="str">
            <v>Sean Lopez May 5, 2026 4:03 PM</v>
          </cell>
          <cell r="X821" t="str">
            <v/>
          </cell>
          <cell r="Y821">
            <v>46147</v>
          </cell>
          <cell r="Z821" t="str">
            <v/>
          </cell>
          <cell r="AA821">
            <v>46147</v>
          </cell>
          <cell r="AB821" t="str">
            <v>Annalene Conde May 5, 2026 2:19 PM</v>
          </cell>
          <cell r="AC821" t="str">
            <v/>
          </cell>
          <cell r="AD821" t="str">
            <v/>
          </cell>
          <cell r="AE821" t="str">
            <v/>
          </cell>
          <cell r="AF821" t="str">
            <v/>
          </cell>
          <cell r="AG821" t="str">
            <v/>
          </cell>
          <cell r="AH821" t="str">
            <v/>
          </cell>
          <cell r="AI821" t="str">
            <v/>
          </cell>
        </row>
        <row r="822">
          <cell r="C822">
            <v>68840.2</v>
          </cell>
          <cell r="E822" t="str">
            <v/>
          </cell>
          <cell r="F822" t="str">
            <v>Service</v>
          </cell>
          <cell r="G822" t="str">
            <v>Invoice Sent</v>
          </cell>
          <cell r="H822" t="str">
            <v>No</v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>https://panda-windows-and-doors.monday.com/protected_static/21046287/resources/2951448503/SO Jay Roost.pdf</v>
          </cell>
          <cell r="R822" t="str">
            <v/>
          </cell>
          <cell r="S822" t="str">
            <v/>
          </cell>
          <cell r="T822" t="str">
            <v/>
          </cell>
          <cell r="U822">
            <v>0</v>
          </cell>
          <cell r="V822">
            <v>734</v>
          </cell>
          <cell r="W822" t="str">
            <v>Sean Lopez May 6, 2026 1:19 PM</v>
          </cell>
          <cell r="X822" t="str">
            <v/>
          </cell>
          <cell r="Y822">
            <v>46148</v>
          </cell>
          <cell r="Z822" t="str">
            <v/>
          </cell>
          <cell r="AA822">
            <v>46148</v>
          </cell>
          <cell r="AB822" t="str">
            <v>Annalene Conde May 6, 2026 11:45 AM</v>
          </cell>
          <cell r="AC822" t="str">
            <v/>
          </cell>
          <cell r="AD822" t="str">
            <v/>
          </cell>
          <cell r="AE822" t="str">
            <v/>
          </cell>
          <cell r="AF822" t="str">
            <v/>
          </cell>
          <cell r="AG822" t="str">
            <v/>
          </cell>
          <cell r="AH822" t="str">
            <v/>
          </cell>
          <cell r="AI822" t="str">
            <v/>
          </cell>
        </row>
        <row r="823">
          <cell r="C823" t="str">
            <v>85717-S</v>
          </cell>
          <cell r="E823" t="str">
            <v/>
          </cell>
          <cell r="F823" t="str">
            <v>Service</v>
          </cell>
          <cell r="G823" t="str">
            <v>Invoice Sent</v>
          </cell>
          <cell r="H823" t="str">
            <v>No</v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>https://panda-windows-and-doors.monday.com/protected_static/21046287/resources/2951854580/Service Form.pdf</v>
          </cell>
          <cell r="R823" t="str">
            <v/>
          </cell>
          <cell r="S823" t="str">
            <v/>
          </cell>
          <cell r="T823" t="str">
            <v/>
          </cell>
          <cell r="U823">
            <v>0</v>
          </cell>
          <cell r="V823">
            <v>770.77</v>
          </cell>
          <cell r="W823" t="str">
            <v>Sean Lopez May 6, 2026 2:05 PM</v>
          </cell>
          <cell r="X823" t="str">
            <v/>
          </cell>
          <cell r="Y823">
            <v>46148</v>
          </cell>
          <cell r="Z823" t="str">
            <v/>
          </cell>
          <cell r="AA823">
            <v>46148</v>
          </cell>
          <cell r="AB823" t="str">
            <v>Annalene Conde May 6, 2026 1:55 PM</v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  <cell r="AG823" t="str">
            <v/>
          </cell>
          <cell r="AH823" t="str">
            <v/>
          </cell>
          <cell r="AI823" t="str">
            <v/>
          </cell>
        </row>
        <row r="824">
          <cell r="C824" t="str">
            <v>70866-S</v>
          </cell>
          <cell r="E824" t="str">
            <v/>
          </cell>
          <cell r="F824" t="str">
            <v>Service</v>
          </cell>
          <cell r="G824" t="str">
            <v>Invoice Sent</v>
          </cell>
          <cell r="H824" t="str">
            <v>No</v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>https://panda-windows-and-doors.monday.com/protected_static/21046287/resources/2955294955/Service Form.pdf</v>
          </cell>
          <cell r="R824" t="str">
            <v>https://panda-windows-and-doors.monday.com/protected_static/21046287/resources/2289574630/Midway Glass - Resale Certificate 3-13-2024 - CA.pdf, https://panda-windows-and-doors.monday.com/protected_static/21046287/resources/2289574627/Midway Glass - Storefront Aluminum Doors &amp; Windows - California Resale Certificate  5-2023.pdf</v>
          </cell>
          <cell r="S824" t="str">
            <v/>
          </cell>
          <cell r="T824" t="str">
            <v/>
          </cell>
          <cell r="U824">
            <v>0</v>
          </cell>
          <cell r="V824">
            <v>3937.93</v>
          </cell>
          <cell r="W824" t="str">
            <v>Sean Lopez May 8, 2026 8:39 AM</v>
          </cell>
          <cell r="X824" t="str">
            <v/>
          </cell>
          <cell r="Y824">
            <v>46149</v>
          </cell>
          <cell r="Z824" t="str">
            <v/>
          </cell>
          <cell r="AA824">
            <v>46149</v>
          </cell>
          <cell r="AB824" t="str">
            <v>Annalene Conde May 7, 2026 4:32 PM</v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</row>
        <row r="825">
          <cell r="C825">
            <v>19030</v>
          </cell>
          <cell r="E825" t="str">
            <v/>
          </cell>
          <cell r="F825" t="str">
            <v>Service</v>
          </cell>
          <cell r="G825" t="str">
            <v>Invoice Sent</v>
          </cell>
          <cell r="H825" t="str">
            <v>No</v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>https://panda-windows-and-doors.monday.com/protected_static/21046287/resources/2968979226/SO Jason White.pdf</v>
          </cell>
          <cell r="R825" t="str">
            <v/>
          </cell>
          <cell r="S825" t="str">
            <v/>
          </cell>
          <cell r="T825" t="str">
            <v/>
          </cell>
          <cell r="U825">
            <v>0</v>
          </cell>
          <cell r="V825">
            <v>3094.83</v>
          </cell>
          <cell r="W825" t="str">
            <v>Sean Lopez May 13, 2026 3:49 PM</v>
          </cell>
          <cell r="X825" t="str">
            <v/>
          </cell>
          <cell r="Y825">
            <v>46155</v>
          </cell>
          <cell r="Z825" t="str">
            <v/>
          </cell>
          <cell r="AA825">
            <v>46155</v>
          </cell>
          <cell r="AB825" t="str">
            <v>Annalene Conde May 13, 2026 3:32 PM</v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</row>
        <row r="826">
          <cell r="C826">
            <v>88896</v>
          </cell>
          <cell r="E826" t="str">
            <v/>
          </cell>
          <cell r="F826" t="str">
            <v>Service</v>
          </cell>
          <cell r="G826" t="str">
            <v>Invoice Sent</v>
          </cell>
          <cell r="H826" t="str">
            <v>No</v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>https://panda-windows-and-doors.monday.com/protected_static/21046287/resources/2968828912/SO Grause.pdf</v>
          </cell>
          <cell r="R826" t="str">
            <v>https://panda-windows-and-doors.monday.com/protected_static/21046287/resources/2832457927/Cut Optimisation from 3_6_2026.pdf, https://panda-windows-and-doors.monday.com/protected_static/21046287/resources/2832457935/Assembly List Panda 001(1) from 3_6_2026.pdf, https://panda-windows-and-doors.monday.com/protected_static/21046287/resources/2832457932/Cutting List from 3_6_2026.pdf, https://panda-windows-and-doors.monday.com/protected_static/21046287/resources/2832457940/Glass_Panel Request General from 3_6_2026.pdf, https://panda-windows-and-doors.monday.com/protected_static/21046287/resources/2832457938/Q88896 GRAUSE RESIDENCE - B.O.M.pdf, https://panda-windows-and-doors.monday.com/protected_static/21046287/resources/2832458119/Q88896 GRAUSE RESIDENCE - CUTLIST (MANUAL).pdf, https://panda-windows-and-doors.monday.com/protected_static/21046287/resources/2832458160/Stock List from 3_6_2026.pdf, https://panda-windows-and-doors.monday.com/protected_static/21046287/resources/2838250058/TS68_CNC_CUTS_ACACIA_ARIA_SUMMIT_VERONA_LEILANI.pdf</v>
          </cell>
          <cell r="S826" t="str">
            <v>Completed - Closed Out</v>
          </cell>
          <cell r="T826" t="str">
            <v/>
          </cell>
          <cell r="U826">
            <v>0</v>
          </cell>
          <cell r="V826">
            <v>1232.8</v>
          </cell>
          <cell r="W826" t="str">
            <v>Sean Lopez May 13, 2026 3:55 PM</v>
          </cell>
          <cell r="X826" t="str">
            <v/>
          </cell>
          <cell r="Y826">
            <v>46155</v>
          </cell>
          <cell r="Z826" t="str">
            <v/>
          </cell>
          <cell r="AA826">
            <v>46155</v>
          </cell>
          <cell r="AB826" t="str">
            <v>Annalene Conde May 13, 2026 2:29 PM</v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</row>
        <row r="827">
          <cell r="C827">
            <v>18490.099999999999</v>
          </cell>
          <cell r="E827" t="str">
            <v/>
          </cell>
          <cell r="F827" t="str">
            <v>Service</v>
          </cell>
          <cell r="G827" t="str">
            <v>Invoice Sent</v>
          </cell>
          <cell r="H827" t="str">
            <v>No</v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>https://panda-windows-and-doors.monday.com/protected_static/21046287/resources/2980441447/SO Carebbean Windows1.pdf</v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>Elizabet Lopez May 19, 2026 10:36 AM</v>
          </cell>
          <cell r="X827" t="str">
            <v/>
          </cell>
          <cell r="Y827">
            <v>46161</v>
          </cell>
          <cell r="Z827" t="str">
            <v/>
          </cell>
          <cell r="AA827">
            <v>46161</v>
          </cell>
          <cell r="AB827" t="str">
            <v>Annalene Conde May 19, 2026 9:21 AM</v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</row>
        <row r="828">
          <cell r="C828" t="str">
            <v>Fred's Glass.1</v>
          </cell>
          <cell r="E828" t="str">
            <v/>
          </cell>
          <cell r="F828" t="str">
            <v>Service</v>
          </cell>
          <cell r="G828" t="str">
            <v>Invoice Sent</v>
          </cell>
          <cell r="H828" t="str">
            <v>No</v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>https://panda-windows-and-doors.monday.com/protected_static/21046287/resources/2982163938/10780 Freds GLass.pdf</v>
          </cell>
          <cell r="O828" t="str">
            <v/>
          </cell>
          <cell r="P828" t="str">
            <v/>
          </cell>
          <cell r="Q828" t="str">
            <v>https://panda-windows-and-doors.monday.com/protected_static/21046287/resources/2982138998/SO Freds Glass1.pdf</v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>
            <v>109.1</v>
          </cell>
          <cell r="W828" t="str">
            <v>Elizabet Lopez May 19, 2026 4:05 PM</v>
          </cell>
          <cell r="X828" t="str">
            <v/>
          </cell>
          <cell r="Y828">
            <v>46161</v>
          </cell>
          <cell r="Z828" t="str">
            <v/>
          </cell>
          <cell r="AA828">
            <v>46161</v>
          </cell>
          <cell r="AB828" t="str">
            <v>Annalene Conde May 19, 2026 3:51 PM</v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</row>
        <row r="829">
          <cell r="C829" t="str">
            <v>Ben Cohen</v>
          </cell>
          <cell r="E829" t="str">
            <v/>
          </cell>
          <cell r="F829" t="str">
            <v>Service</v>
          </cell>
          <cell r="G829" t="str">
            <v>Invoice Sent</v>
          </cell>
          <cell r="H829" t="str">
            <v>No</v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>https://panda-windows-and-doors.monday.com/protected_static/21046287/resources/2954691581/SO Ben Cohen.pdf</v>
          </cell>
          <cell r="R829" t="str">
            <v/>
          </cell>
          <cell r="S829" t="str">
            <v/>
          </cell>
          <cell r="T829" t="str">
            <v/>
          </cell>
          <cell r="U829">
            <v>0</v>
          </cell>
          <cell r="V829">
            <v>3000</v>
          </cell>
          <cell r="W829" t="str">
            <v>Elizabet Lopez May 20, 2026 1:59 PM</v>
          </cell>
          <cell r="X829" t="str">
            <v/>
          </cell>
          <cell r="Y829">
            <v>46155</v>
          </cell>
          <cell r="Z829" t="str">
            <v/>
          </cell>
          <cell r="AA829">
            <v>46149</v>
          </cell>
          <cell r="AB829" t="str">
            <v>Annalene Conde May 7, 2026 12:48 PM</v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  <cell r="AG829" t="str">
            <v/>
          </cell>
          <cell r="AH829" t="str">
            <v/>
          </cell>
          <cell r="AI829" t="str">
            <v/>
          </cell>
        </row>
        <row r="830">
          <cell r="C830" t="str">
            <v>17765-S</v>
          </cell>
          <cell r="E830" t="str">
            <v/>
          </cell>
          <cell r="F830" t="str">
            <v>Service</v>
          </cell>
          <cell r="G830" t="str">
            <v>Invoice Sent</v>
          </cell>
          <cell r="H830" t="str">
            <v>No</v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>https://panda-windows-and-doors.monday.com/protected_static/21046287/resources/2988416775/10796 M Core.pdf</v>
          </cell>
          <cell r="O830" t="str">
            <v/>
          </cell>
          <cell r="P830" t="str">
            <v/>
          </cell>
          <cell r="Q830" t="str">
            <v>https://panda-windows-and-doors.monday.com/protected_static/21046287/resources/2987319009/Service Form.pdf</v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>Elizabet Lopez May 21, 2026 2:14 PM</v>
          </cell>
          <cell r="X830" t="str">
            <v/>
          </cell>
          <cell r="Y830">
            <v>46163</v>
          </cell>
          <cell r="Z830" t="str">
            <v/>
          </cell>
          <cell r="AA830">
            <v>46163</v>
          </cell>
          <cell r="AB830" t="str">
            <v>Annalene Conde May 21, 2026 8:46 AM</v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</row>
        <row r="831">
          <cell r="C831" t="str">
            <v>70808-S1</v>
          </cell>
          <cell r="E831" t="str">
            <v/>
          </cell>
          <cell r="F831" t="str">
            <v>Service</v>
          </cell>
          <cell r="G831" t="str">
            <v>Invoice Sent</v>
          </cell>
          <cell r="H831" t="str">
            <v>No</v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>https://panda-windows-and-doors.monday.com/protected_static/21046287/resources/2996776362/10803 Matt Meddock.pdf</v>
          </cell>
          <cell r="O831" t="str">
            <v/>
          </cell>
          <cell r="P831" t="str">
            <v/>
          </cell>
          <cell r="Q831" t="str">
            <v>https://panda-windows-and-doors.monday.com/protected_static/21046287/resources/2996612889/Service Form.pdf</v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>Elizabet Lopez May 26, 2026 12:51 PM</v>
          </cell>
          <cell r="X831" t="str">
            <v/>
          </cell>
          <cell r="Y831">
            <v>46168</v>
          </cell>
          <cell r="Z831" t="str">
            <v/>
          </cell>
          <cell r="AA831">
            <v>46168</v>
          </cell>
          <cell r="AB831" t="str">
            <v>Annalene Conde May 26, 2026 11:58 AM</v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</row>
        <row r="832">
          <cell r="C832" t="str">
            <v>80107-S</v>
          </cell>
          <cell r="E832" t="str">
            <v/>
          </cell>
          <cell r="F832" t="str">
            <v>Service</v>
          </cell>
          <cell r="G832" t="str">
            <v>Invoice Sent</v>
          </cell>
          <cell r="H832" t="str">
            <v>No</v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>https://panda-windows-and-doors.monday.com/protected_static/21046287/resources/2997144202/10804 Bottled Blonde.pdf</v>
          </cell>
          <cell r="O832" t="str">
            <v/>
          </cell>
          <cell r="P832" t="str">
            <v/>
          </cell>
          <cell r="Q832" t="str">
            <v>https://panda-windows-and-doors.monday.com/protected_static/21046287/resources/2997022214/SO Bottled Blonde.pdf</v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>Elizabet Lopez May 26, 2026 2:22 PM</v>
          </cell>
          <cell r="X832" t="str">
            <v/>
          </cell>
          <cell r="Y832">
            <v>46168</v>
          </cell>
          <cell r="Z832" t="str">
            <v/>
          </cell>
          <cell r="AA832">
            <v>46168</v>
          </cell>
          <cell r="AB832" t="str">
            <v>Annalene Conde May 26, 2026 1:43 PM</v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</row>
        <row r="833">
          <cell r="C833">
            <v>21983</v>
          </cell>
          <cell r="E833" t="str">
            <v/>
          </cell>
          <cell r="F833" t="str">
            <v>Service</v>
          </cell>
          <cell r="G833" t="str">
            <v>Invoice Sent</v>
          </cell>
          <cell r="H833" t="str">
            <v>No</v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>https://panda-windows-and-doors.monday.com/protected_static/21046287/resources/3004777693/10809 Lowes1096.pdf</v>
          </cell>
          <cell r="O833" t="str">
            <v/>
          </cell>
          <cell r="P833" t="str">
            <v/>
          </cell>
          <cell r="Q833" t="str">
            <v>https://panda-windows-and-doors.monday.com/protected_static/21046287/resources/3003532032/SO Lowes 1096.pdf</v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>Elizabet Lopez May 28, 2026 3:32 PM</v>
          </cell>
          <cell r="X833" t="str">
            <v/>
          </cell>
          <cell r="Y833">
            <v>46170</v>
          </cell>
          <cell r="Z833" t="str">
            <v/>
          </cell>
          <cell r="AA833">
            <v>46170</v>
          </cell>
          <cell r="AB833" t="str">
            <v>Annalene Conde May 28, 2026 9:44 AM</v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  <cell r="AG833" t="str">
            <v/>
          </cell>
          <cell r="AH833" t="str">
            <v/>
          </cell>
          <cell r="AI833" t="str">
            <v/>
          </cell>
        </row>
        <row r="834">
          <cell r="C834">
            <v>77811</v>
          </cell>
          <cell r="E834" t="str">
            <v/>
          </cell>
          <cell r="F834" t="str">
            <v>Service</v>
          </cell>
          <cell r="G834" t="str">
            <v>Invoice Sent</v>
          </cell>
          <cell r="H834" t="str">
            <v>No</v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>https://panda-windows-and-doors.monday.com/protected_static/21046287/resources/3006891502/10810 PM Steel Fabrication LLC.pdf</v>
          </cell>
          <cell r="O834" t="str">
            <v/>
          </cell>
          <cell r="P834" t="str">
            <v/>
          </cell>
          <cell r="Q834" t="str">
            <v>https://panda-windows-and-doors.monday.com/protected_static/21046287/resources/3006609370/SO Megan.pdf</v>
          </cell>
          <cell r="R834" t="str">
            <v>https://panda-windows-and-doors.monday.com/protected_static/21046287/resources/2341595813/Q77811_BOM.pdf, https://panda-windows-and-doors.monday.com/protected_static/21046287/resources/2341595821/Q77811_OPT_MANUAL.pdf</v>
          </cell>
          <cell r="S834" t="str">
            <v>Completed - Closed Out</v>
          </cell>
          <cell r="T834" t="str">
            <v/>
          </cell>
          <cell r="U834" t="str">
            <v/>
          </cell>
          <cell r="V834" t="str">
            <v/>
          </cell>
          <cell r="W834" t="str">
            <v>Elizabet Lopez May 29, 2026 10:19 AM</v>
          </cell>
          <cell r="X834" t="str">
            <v/>
          </cell>
          <cell r="Y834">
            <v>46171</v>
          </cell>
          <cell r="Z834" t="str">
            <v/>
          </cell>
          <cell r="AA834">
            <v>46171</v>
          </cell>
          <cell r="AB834" t="str">
            <v>Annalene Conde May 29, 2026 8:47 AM</v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  <cell r="AG834" t="str">
            <v/>
          </cell>
          <cell r="AH834" t="str">
            <v/>
          </cell>
          <cell r="AI834" t="str">
            <v/>
          </cell>
        </row>
        <row r="835">
          <cell r="C835" t="str">
            <v>17508-S</v>
          </cell>
          <cell r="E835" t="str">
            <v/>
          </cell>
          <cell r="F835" t="str">
            <v>Service</v>
          </cell>
          <cell r="G835" t="str">
            <v>Invoice Sent</v>
          </cell>
          <cell r="H835" t="str">
            <v>No</v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>https://panda-windows-and-doors.monday.com/protected_static/21046287/resources/3014959974/SO Northstar.pdf</v>
          </cell>
          <cell r="R835" t="str">
            <v/>
          </cell>
          <cell r="S835" t="str">
            <v/>
          </cell>
          <cell r="T835" t="str">
            <v/>
          </cell>
          <cell r="U835">
            <v>0</v>
          </cell>
          <cell r="V835">
            <v>3271.55</v>
          </cell>
          <cell r="W835" t="str">
            <v>Sean Lopez Jun 2, 2026 11:34 AM</v>
          </cell>
          <cell r="X835" t="str">
            <v/>
          </cell>
          <cell r="Y835">
            <v>46175</v>
          </cell>
          <cell r="Z835" t="str">
            <v/>
          </cell>
          <cell r="AA835">
            <v>46175</v>
          </cell>
          <cell r="AB835" t="str">
            <v>Annalene Conde Jun 2, 2026 11:04 AM</v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  <cell r="AG835" t="str">
            <v/>
          </cell>
          <cell r="AH835" t="str">
            <v/>
          </cell>
          <cell r="AI835" t="str">
            <v/>
          </cell>
        </row>
        <row r="836">
          <cell r="C836">
            <v>87641</v>
          </cell>
          <cell r="E836" t="str">
            <v/>
          </cell>
          <cell r="F836" t="str">
            <v>Service</v>
          </cell>
          <cell r="G836" t="str">
            <v>Invoice Sent</v>
          </cell>
          <cell r="H836" t="str">
            <v>No</v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>https://panda-windows-and-doors.monday.com/protected_static/21046287/resources/3018773775/10829 Lunstrum Windows.pdf</v>
          </cell>
          <cell r="O836" t="str">
            <v/>
          </cell>
          <cell r="P836" t="str">
            <v/>
          </cell>
          <cell r="Q836" t="str">
            <v>https://panda-windows-and-doors.monday.com/protected_static/21046287/resources/3011246100/SO 87641.pdf</v>
          </cell>
          <cell r="R836" t="str">
            <v>https://panda-windows-and-doors.monday.com/protected_static/21046287/resources/2800010614/Q87641_CUTLIST_GINERI.pdf, https://panda-windows-and-doors.monday.com/protected_static/21046287/resources/2800010617/Q87641_BOM.pdf, https://panda-windows-and-doors.monday.com/protected_static/21046287/resources/2800010610/Q87641_OPT_GINERI.pdf</v>
          </cell>
          <cell r="S836" t="str">
            <v>Completed - Closed Out</v>
          </cell>
          <cell r="T836" t="str">
            <v/>
          </cell>
          <cell r="U836" t="str">
            <v/>
          </cell>
          <cell r="V836">
            <v>1735</v>
          </cell>
          <cell r="W836" t="str">
            <v>Elizabet Lopez Jun 3, 2026 11:57 AM</v>
          </cell>
          <cell r="X836" t="str">
            <v/>
          </cell>
          <cell r="Y836">
            <v>46174</v>
          </cell>
          <cell r="Z836" t="str">
            <v/>
          </cell>
          <cell r="AA836">
            <v>46174</v>
          </cell>
          <cell r="AB836" t="str">
            <v>Annalene Conde Jun 1, 2026 10:15 AM</v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  <cell r="AG836" t="str">
            <v/>
          </cell>
          <cell r="AH836" t="str">
            <v/>
          </cell>
          <cell r="AI836" t="str">
            <v/>
          </cell>
        </row>
        <row r="837">
          <cell r="C837">
            <v>21651</v>
          </cell>
          <cell r="E837" t="str">
            <v/>
          </cell>
          <cell r="F837" t="str">
            <v>Service</v>
          </cell>
          <cell r="G837" t="str">
            <v>Invoice Sent</v>
          </cell>
          <cell r="H837" t="str">
            <v>No</v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>https://panda-windows-and-doors.monday.com/protected_static/21046287/resources/3018880185/10831 University Club of Chicago.pdf, https://panda-windows-and-doors.monday.com/protected_static/21046287/resources/3020741227/10831 University Club of Chicago.pdf</v>
          </cell>
          <cell r="O837" t="str">
            <v/>
          </cell>
          <cell r="P837" t="str">
            <v/>
          </cell>
          <cell r="Q837" t="str">
            <v>https://panda-windows-and-doors.monday.com/protected_static/21046287/resources/3018242925/SO UCC.pdf</v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>Sean Lopez Jun 4, 2026 8:17 AM</v>
          </cell>
          <cell r="X837" t="str">
            <v/>
          </cell>
          <cell r="Y837">
            <v>46176</v>
          </cell>
          <cell r="Z837" t="str">
            <v/>
          </cell>
          <cell r="AA837">
            <v>46176</v>
          </cell>
          <cell r="AB837" t="str">
            <v>Annalene Conde Jun 3, 2026 10:27 AM</v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  <cell r="AG837" t="str">
            <v/>
          </cell>
          <cell r="AH837" t="str">
            <v/>
          </cell>
          <cell r="AI837" t="str">
            <v/>
          </cell>
        </row>
        <row r="838">
          <cell r="C838" t="str">
            <v>Clark</v>
          </cell>
          <cell r="E838" t="str">
            <v/>
          </cell>
          <cell r="F838" t="str">
            <v>Service</v>
          </cell>
          <cell r="G838" t="str">
            <v>Invoice Sent</v>
          </cell>
          <cell r="H838" t="str">
            <v>No</v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>https://panda-windows-and-doors.monday.com/protected_static/21046287/resources/3018773139/SO Kramer.pdf</v>
          </cell>
          <cell r="R838" t="str">
            <v/>
          </cell>
          <cell r="S838" t="str">
            <v/>
          </cell>
          <cell r="T838" t="str">
            <v/>
          </cell>
          <cell r="U838">
            <v>0</v>
          </cell>
          <cell r="V838">
            <v>869</v>
          </cell>
          <cell r="W838" t="str">
            <v>Sean Lopez Jun 3, 2026 1:55 PM</v>
          </cell>
          <cell r="X838" t="str">
            <v/>
          </cell>
          <cell r="Y838">
            <v>46176</v>
          </cell>
          <cell r="Z838" t="str">
            <v/>
          </cell>
          <cell r="AA838">
            <v>46176</v>
          </cell>
          <cell r="AB838" t="str">
            <v>Annalene Conde Jun 3, 2026 11:55 AM</v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  <cell r="AG838" t="str">
            <v/>
          </cell>
          <cell r="AH838" t="str">
            <v/>
          </cell>
          <cell r="AI838" t="str">
            <v/>
          </cell>
        </row>
        <row r="839">
          <cell r="C839" t="str">
            <v>Sahar Lakkis</v>
          </cell>
          <cell r="E839" t="str">
            <v/>
          </cell>
          <cell r="F839" t="str">
            <v>Service</v>
          </cell>
          <cell r="G839" t="str">
            <v>Invoice Sent</v>
          </cell>
          <cell r="H839" t="str">
            <v>No</v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>https://panda-windows-and-doors.monday.com/protected_static/21046287/resources/3022237499/10844 Sahar Lakkis.pdf</v>
          </cell>
          <cell r="O839" t="str">
            <v/>
          </cell>
          <cell r="P839" t="str">
            <v/>
          </cell>
          <cell r="Q839" t="str">
            <v>https://panda-windows-and-doors.monday.com/protected_static/21046287/resources/3021809893/SO Sahar Lakkis.pdf</v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>Elizabet Lopez Jun 4, 2026 4:43 PM</v>
          </cell>
          <cell r="X839" t="str">
            <v/>
          </cell>
          <cell r="Y839">
            <v>46177</v>
          </cell>
          <cell r="Z839" t="str">
            <v/>
          </cell>
          <cell r="AA839">
            <v>46177</v>
          </cell>
          <cell r="AB839" t="str">
            <v>Annalene Conde Jun 4, 2026 1:48 PM</v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  <cell r="AG839" t="str">
            <v/>
          </cell>
          <cell r="AH839" t="str">
            <v/>
          </cell>
          <cell r="AI839" t="str">
            <v/>
          </cell>
        </row>
        <row r="840">
          <cell r="C840" t="str">
            <v>60325-S2</v>
          </cell>
          <cell r="E840" t="str">
            <v/>
          </cell>
          <cell r="F840" t="str">
            <v>Service</v>
          </cell>
          <cell r="G840" t="str">
            <v>Invoice Sent</v>
          </cell>
          <cell r="H840" t="str">
            <v>No</v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>https://panda-windows-and-doors.monday.com/protected_static/21046287/resources/3035342037/10860 b &amp; D glass.pdf</v>
          </cell>
          <cell r="O840" t="str">
            <v/>
          </cell>
          <cell r="P840" t="str">
            <v/>
          </cell>
          <cell r="Q840" t="str">
            <v>https://panda-windows-and-doors.monday.com/protected_static/21046287/resources/3035125013/Service Form.pdf</v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>
            <v>360</v>
          </cell>
          <cell r="W840" t="str">
            <v>Elizabet Lopez Jun 10, 2026 4:21 PM</v>
          </cell>
          <cell r="X840" t="str">
            <v/>
          </cell>
          <cell r="Y840">
            <v>46183</v>
          </cell>
          <cell r="Z840" t="str">
            <v/>
          </cell>
          <cell r="AA840">
            <v>46183</v>
          </cell>
          <cell r="AB840" t="str">
            <v>Annalene Conde Jun 10, 2026 2:44 PM</v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  <cell r="AG840" t="str">
            <v/>
          </cell>
          <cell r="AH840" t="str">
            <v/>
          </cell>
          <cell r="AI840" t="str">
            <v/>
          </cell>
        </row>
        <row r="841">
          <cell r="C841" t="str">
            <v>67572-S1</v>
          </cell>
          <cell r="E841" t="str">
            <v/>
          </cell>
          <cell r="F841" t="str">
            <v>Service</v>
          </cell>
          <cell r="G841" t="str">
            <v>Invoice Sent</v>
          </cell>
          <cell r="H841" t="str">
            <v>No</v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>https://panda-windows-and-doors.monday.com/protected_static/21046287/resources/3037441680/SO Forge.pdf</v>
          </cell>
          <cell r="R841" t="str">
            <v/>
          </cell>
          <cell r="S841" t="str">
            <v/>
          </cell>
          <cell r="T841" t="str">
            <v/>
          </cell>
          <cell r="U841">
            <v>0</v>
          </cell>
          <cell r="V841">
            <v>254</v>
          </cell>
          <cell r="W841" t="str">
            <v>Sean Lopez Jun 11, 2026 1:52 PM</v>
          </cell>
          <cell r="X841" t="str">
            <v/>
          </cell>
          <cell r="Y841">
            <v>46184</v>
          </cell>
          <cell r="Z841" t="str">
            <v/>
          </cell>
          <cell r="AA841">
            <v>46184</v>
          </cell>
          <cell r="AB841" t="str">
            <v>Annalene Conde Jun 11, 2026 10:42 AM</v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  <cell r="AG841" t="str">
            <v/>
          </cell>
          <cell r="AH841" t="str">
            <v/>
          </cell>
          <cell r="AI841" t="str">
            <v/>
          </cell>
        </row>
        <row r="842">
          <cell r="C842">
            <v>17355</v>
          </cell>
          <cell r="E842" t="str">
            <v/>
          </cell>
          <cell r="F842" t="str">
            <v>Service</v>
          </cell>
          <cell r="G842" t="str">
            <v>Invoice Sent</v>
          </cell>
          <cell r="H842" t="str">
            <v>No</v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>https://panda-windows-and-doors.monday.com/protected_static/21046287/resources/3037343097/Service Form.pdf</v>
          </cell>
          <cell r="R842" t="str">
            <v/>
          </cell>
          <cell r="S842" t="str">
            <v/>
          </cell>
          <cell r="T842" t="str">
            <v/>
          </cell>
          <cell r="U842">
            <v>0</v>
          </cell>
          <cell r="V842">
            <v>255</v>
          </cell>
          <cell r="W842" t="str">
            <v>Sean Lopez Jun 11, 2026 1:54 PM</v>
          </cell>
          <cell r="X842" t="str">
            <v/>
          </cell>
          <cell r="Y842">
            <v>46184</v>
          </cell>
          <cell r="Z842" t="str">
            <v/>
          </cell>
          <cell r="AA842">
            <v>46184</v>
          </cell>
          <cell r="AB842" t="str">
            <v>Annalene Conde Jun 11, 2026 10:16 AM</v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  <cell r="AG842" t="str">
            <v/>
          </cell>
          <cell r="AH842" t="str">
            <v/>
          </cell>
          <cell r="AI842" t="str">
            <v/>
          </cell>
        </row>
        <row r="843">
          <cell r="C843">
            <v>65447</v>
          </cell>
          <cell r="E843" t="str">
            <v/>
          </cell>
          <cell r="F843" t="str">
            <v>Service</v>
          </cell>
          <cell r="G843" t="str">
            <v>Invoice Sent</v>
          </cell>
          <cell r="H843" t="str">
            <v>No</v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>https://panda-windows-and-doors.monday.com/protected_static/21046287/resources/3037281876/Service Form.pdf</v>
          </cell>
          <cell r="R843" t="str">
            <v/>
          </cell>
          <cell r="S843" t="str">
            <v/>
          </cell>
          <cell r="T843" t="str">
            <v/>
          </cell>
          <cell r="U843">
            <v>0</v>
          </cell>
          <cell r="V843">
            <v>1582.32</v>
          </cell>
          <cell r="W843" t="str">
            <v>Sean Lopez Jun 11, 2026 2:00 PM</v>
          </cell>
          <cell r="X843" t="str">
            <v/>
          </cell>
          <cell r="Y843">
            <v>46184</v>
          </cell>
          <cell r="Z843" t="str">
            <v/>
          </cell>
          <cell r="AA843">
            <v>46184</v>
          </cell>
          <cell r="AB843" t="str">
            <v>Annalene Conde Jun 11, 2026 9:55 AM</v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  <cell r="AG843" t="str">
            <v/>
          </cell>
          <cell r="AH843" t="str">
            <v/>
          </cell>
          <cell r="AI843" t="str">
            <v/>
          </cell>
        </row>
        <row r="844">
          <cell r="C844">
            <v>55759</v>
          </cell>
          <cell r="E844" t="str">
            <v/>
          </cell>
          <cell r="F844" t="str">
            <v>Service</v>
          </cell>
          <cell r="G844" t="str">
            <v>Invoice Sent</v>
          </cell>
          <cell r="H844" t="str">
            <v>No</v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>https://panda-windows-and-doors.monday.com/protected_static/21046287/resources/3037968488/Service Form.pdf</v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>Sean Lopez Jun 11, 2026 2:09 PM</v>
          </cell>
          <cell r="X844" t="str">
            <v/>
          </cell>
          <cell r="Y844">
            <v>46184</v>
          </cell>
          <cell r="Z844" t="str">
            <v/>
          </cell>
          <cell r="AA844">
            <v>46184</v>
          </cell>
          <cell r="AB844" t="str">
            <v>Annalene Conde Jun 11, 2026 1:49 PM</v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  <cell r="AG844" t="str">
            <v/>
          </cell>
          <cell r="AH844" t="str">
            <v/>
          </cell>
          <cell r="AI844" t="str">
            <v/>
          </cell>
        </row>
        <row r="845">
          <cell r="C845">
            <v>81212</v>
          </cell>
          <cell r="E845" t="str">
            <v/>
          </cell>
          <cell r="F845" t="str">
            <v>Service</v>
          </cell>
          <cell r="G845" t="str">
            <v>Invoice Sent</v>
          </cell>
          <cell r="H845" t="str">
            <v>No</v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>https://panda-windows-and-doors.monday.com/protected_static/21046287/resources/3040018104/10869 Jivan Builders Inc..pdf</v>
          </cell>
          <cell r="O845" t="str">
            <v/>
          </cell>
          <cell r="P845" t="str">
            <v/>
          </cell>
          <cell r="Q845" t="str">
            <v>https://panda-windows-and-doors.monday.com/protected_static/21046287/resources/3039872758/SO Hilltop V..pdf</v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>
            <v>2041</v>
          </cell>
          <cell r="W845" t="str">
            <v>Elizabet Lopez Jun 12, 2026 11:48 AM</v>
          </cell>
          <cell r="X845" t="str">
            <v/>
          </cell>
          <cell r="Y845">
            <v>46185</v>
          </cell>
          <cell r="Z845" t="str">
            <v/>
          </cell>
          <cell r="AA845">
            <v>46185</v>
          </cell>
          <cell r="AB845" t="str">
            <v>Annalene Conde Jun 12, 2026 10:50 AM</v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  <cell r="AG845" t="str">
            <v/>
          </cell>
          <cell r="AH845" t="str">
            <v/>
          </cell>
          <cell r="AI845" t="str">
            <v/>
          </cell>
        </row>
        <row r="846">
          <cell r="C846" t="str">
            <v>82057-S</v>
          </cell>
          <cell r="E846" t="str">
            <v/>
          </cell>
          <cell r="F846" t="str">
            <v>Service</v>
          </cell>
          <cell r="G846" t="str">
            <v>Invoice Sent</v>
          </cell>
          <cell r="H846" t="str">
            <v>No</v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>https://panda-windows-and-doors.monday.com/protected_static/21046287/resources/3040160122/10870 Enviromental Glass Inc..pdf</v>
          </cell>
          <cell r="O846" t="str">
            <v/>
          </cell>
          <cell r="P846" t="str">
            <v/>
          </cell>
          <cell r="Q846" t="str">
            <v>https://panda-windows-and-doors.monday.com/protected_static/21046287/resources/3040136220/Service Form.pdf</v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>
            <v>6583</v>
          </cell>
          <cell r="W846" t="str">
            <v>Elizabet Lopez Jun 12, 2026 4:01 PM</v>
          </cell>
          <cell r="X846" t="str">
            <v/>
          </cell>
          <cell r="Y846">
            <v>46185</v>
          </cell>
          <cell r="Z846" t="str">
            <v/>
          </cell>
          <cell r="AA846">
            <v>46185</v>
          </cell>
          <cell r="AB846" t="str">
            <v>Annalene Conde Jun 12, 2026 12:17 PM</v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  <cell r="AG846" t="str">
            <v/>
          </cell>
          <cell r="AH846" t="str">
            <v/>
          </cell>
          <cell r="AI846" t="str">
            <v/>
          </cell>
        </row>
        <row r="847">
          <cell r="C847" t="str">
            <v>Whittier Glass &amp; Mirror</v>
          </cell>
          <cell r="E847" t="str">
            <v/>
          </cell>
          <cell r="F847" t="str">
            <v>Service</v>
          </cell>
          <cell r="G847" t="str">
            <v>Invoice Sent</v>
          </cell>
          <cell r="H847" t="str">
            <v>No</v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>https://panda-windows-and-doors.monday.com/protected_static/21046287/resources/3040678054/10871 Whittier Glass &amp; Mirror.pdf</v>
          </cell>
          <cell r="O847" t="str">
            <v/>
          </cell>
          <cell r="P847" t="str">
            <v/>
          </cell>
          <cell r="Q847" t="str">
            <v>https://panda-windows-and-doors.monday.com/protected_static/21046287/resources/3040411885/SO Tocaya.pdf</v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>Elizabet Lopez Jun 12, 2026 4:32 PM</v>
          </cell>
          <cell r="X847" t="str">
            <v/>
          </cell>
          <cell r="Y847">
            <v>46185</v>
          </cell>
          <cell r="Z847" t="str">
            <v/>
          </cell>
          <cell r="AA847">
            <v>46185</v>
          </cell>
          <cell r="AB847" t="str">
            <v>Annalene Conde Jun 12, 2026 2:21 PM</v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  <cell r="AG847" t="str">
            <v/>
          </cell>
          <cell r="AH847" t="str">
            <v/>
          </cell>
          <cell r="AI847" t="str">
            <v/>
          </cell>
        </row>
        <row r="848">
          <cell r="C848">
            <v>70737</v>
          </cell>
          <cell r="E848" t="str">
            <v/>
          </cell>
          <cell r="F848" t="str">
            <v>Service</v>
          </cell>
          <cell r="G848" t="str">
            <v>Invoice Sent</v>
          </cell>
          <cell r="H848" t="str">
            <v>No</v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>https://panda-windows-and-doors.monday.com/protected_static/21046287/resources/3043511603/10874 THe Los angeles County club.pdf</v>
          </cell>
          <cell r="O848" t="str">
            <v/>
          </cell>
          <cell r="P848" t="str">
            <v/>
          </cell>
          <cell r="Q848" t="str">
            <v>https://panda-windows-and-doors.monday.com/protected_static/21046287/resources/3043418122/Service Form.pdf</v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>
            <v>16334</v>
          </cell>
          <cell r="W848" t="str">
            <v>Elizabet Lopez Jun 15, 2026 11:38 AM</v>
          </cell>
          <cell r="X848" t="str">
            <v/>
          </cell>
          <cell r="Y848">
            <v>46185</v>
          </cell>
          <cell r="Z848" t="str">
            <v/>
          </cell>
          <cell r="AA848">
            <v>46185</v>
          </cell>
          <cell r="AB848" t="str">
            <v>Annalene Conde Jun 12, 2026 2:59 PM</v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  <cell r="AG848" t="str">
            <v/>
          </cell>
          <cell r="AH848" t="str">
            <v/>
          </cell>
          <cell r="AI848" t="str">
            <v/>
          </cell>
        </row>
        <row r="849">
          <cell r="C849" t="str">
            <v>83558-S</v>
          </cell>
          <cell r="E849" t="str">
            <v/>
          </cell>
          <cell r="F849" t="str">
            <v>Service</v>
          </cell>
          <cell r="G849" t="str">
            <v>Invoice Sent</v>
          </cell>
          <cell r="H849" t="str">
            <v>No</v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>https://panda-windows-and-doors.monday.com/protected_static/21046287/resources/3043557466/10875 The install company.pdf</v>
          </cell>
          <cell r="O849" t="str">
            <v/>
          </cell>
          <cell r="P849" t="str">
            <v/>
          </cell>
          <cell r="Q849" t="str">
            <v>https://panda-windows-and-doors.monday.com/protected_static/21046287/resources/3043276659/Service Form.pdf</v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>
            <v>1421</v>
          </cell>
          <cell r="W849" t="str">
            <v>Elizabet Lopez Jun 15, 2026 11:54 AM</v>
          </cell>
          <cell r="X849" t="str">
            <v/>
          </cell>
          <cell r="Y849">
            <v>46188</v>
          </cell>
          <cell r="Z849" t="str">
            <v/>
          </cell>
          <cell r="AA849">
            <v>46188</v>
          </cell>
          <cell r="AB849" t="str">
            <v>Annalene Conde Jun 15, 2026 10:14 AM</v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  <cell r="AG849" t="str">
            <v/>
          </cell>
          <cell r="AH849" t="str">
            <v/>
          </cell>
          <cell r="AI849" t="str">
            <v/>
          </cell>
        </row>
        <row r="850">
          <cell r="C850" t="str">
            <v>Q10622.1</v>
          </cell>
          <cell r="E850" t="str">
            <v/>
          </cell>
          <cell r="F850" t="str">
            <v>Service</v>
          </cell>
          <cell r="G850" t="str">
            <v>Invoice Sent</v>
          </cell>
          <cell r="H850" t="str">
            <v>No</v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>https://panda-windows-and-doors.monday.com/protected_static/21046287/resources/3044472546/10877 Jeoff RObinson.pdf</v>
          </cell>
          <cell r="O850" t="str">
            <v/>
          </cell>
          <cell r="P850" t="str">
            <v/>
          </cell>
          <cell r="Q850" t="str">
            <v>https://panda-windows-and-doors.monday.com/protected_static/21046287/resources/3044277194/SO Jeoff.pdf</v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>Elizabet Lopez Jun 15, 2026 3:53 PM</v>
          </cell>
          <cell r="X850" t="str">
            <v/>
          </cell>
          <cell r="Y850">
            <v>46188</v>
          </cell>
          <cell r="Z850" t="str">
            <v/>
          </cell>
          <cell r="AA850">
            <v>46188</v>
          </cell>
          <cell r="AB850" t="str">
            <v>Annalene Conde Jun 15, 2026 2:31 PM</v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  <cell r="AG850" t="str">
            <v/>
          </cell>
          <cell r="AH850" t="str">
            <v/>
          </cell>
          <cell r="AI850" t="str">
            <v/>
          </cell>
        </row>
        <row r="851">
          <cell r="C851">
            <v>302</v>
          </cell>
          <cell r="E851" t="str">
            <v/>
          </cell>
          <cell r="F851" t="str">
            <v>Service</v>
          </cell>
          <cell r="G851" t="str">
            <v>Invoice Sent</v>
          </cell>
          <cell r="H851" t="str">
            <v>No</v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>https://panda-windows-and-doors.monday.com/protected_static/21046287/resources/3044526456/10878 Stellar Services.pdf</v>
          </cell>
          <cell r="O851" t="str">
            <v/>
          </cell>
          <cell r="P851" t="str">
            <v/>
          </cell>
          <cell r="Q851" t="str">
            <v>https://panda-windows-and-doors.monday.com/protected_static/21046287/resources/3038179064/Service Form.pdf</v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>Elizabet Lopez Jun 15, 2026 4:21 PM</v>
          </cell>
          <cell r="X851" t="str">
            <v/>
          </cell>
          <cell r="Y851">
            <v>46184</v>
          </cell>
          <cell r="Z851" t="str">
            <v/>
          </cell>
          <cell r="AA851">
            <v>46184</v>
          </cell>
          <cell r="AB851" t="str">
            <v>Annalene Conde Jun 11, 2026 3:20 PM</v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  <cell r="AG851" t="str">
            <v/>
          </cell>
          <cell r="AH851" t="str">
            <v/>
          </cell>
          <cell r="AI851" t="str">
            <v/>
          </cell>
        </row>
        <row r="852">
          <cell r="C852" t="str">
            <v>76159-S</v>
          </cell>
          <cell r="E852" t="str">
            <v/>
          </cell>
          <cell r="F852" t="str">
            <v>Service</v>
          </cell>
          <cell r="G852" t="str">
            <v>Invoice Sent</v>
          </cell>
          <cell r="H852" t="str">
            <v>No</v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>https://panda-windows-and-doors.monday.com/protected_static/21046287/resources/3044597934/10880 All Star Door Company.pdf</v>
          </cell>
          <cell r="O852" t="str">
            <v/>
          </cell>
          <cell r="P852" t="str">
            <v/>
          </cell>
          <cell r="Q852" t="str">
            <v>https://panda-windows-and-doors.monday.com/protected_static/21046287/resources/3043948010/Service Form.pdf</v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>
            <v>135</v>
          </cell>
          <cell r="W852" t="str">
            <v>Elizabet Lopez Jun 15, 2026 5:10 PM</v>
          </cell>
          <cell r="X852" t="str">
            <v/>
          </cell>
          <cell r="Y852">
            <v>46188</v>
          </cell>
          <cell r="Z852" t="str">
            <v/>
          </cell>
          <cell r="AA852">
            <v>46188</v>
          </cell>
          <cell r="AB852" t="str">
            <v>Annalene Conde Jun 15, 2026 1:01 PM</v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  <cell r="AG852" t="str">
            <v/>
          </cell>
          <cell r="AH852" t="str">
            <v/>
          </cell>
          <cell r="AI852" t="str">
            <v/>
          </cell>
        </row>
        <row r="853">
          <cell r="C853" t="str">
            <v>alpha</v>
          </cell>
          <cell r="E853" t="str">
            <v/>
          </cell>
          <cell r="F853" t="str">
            <v>Service</v>
          </cell>
          <cell r="G853" t="str">
            <v>Invoice Sent</v>
          </cell>
          <cell r="H853" t="str">
            <v>No</v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>https://panda-windows-and-doors.monday.com/protected_static/21046287/resources/3044451417/Service Form.pdf</v>
          </cell>
          <cell r="R853" t="str">
            <v/>
          </cell>
          <cell r="S853" t="str">
            <v/>
          </cell>
          <cell r="T853" t="str">
            <v/>
          </cell>
          <cell r="U853">
            <v>0</v>
          </cell>
          <cell r="V853">
            <v>258</v>
          </cell>
          <cell r="W853" t="str">
            <v>Sean Lopez Jun 16, 2026 11:07 AM</v>
          </cell>
          <cell r="X853" t="str">
            <v/>
          </cell>
          <cell r="Y853">
            <v>46188</v>
          </cell>
          <cell r="Z853" t="str">
            <v/>
          </cell>
          <cell r="AA853">
            <v>46188</v>
          </cell>
          <cell r="AB853" t="str">
            <v>Annalene Conde Jun 15, 2026 3:35 PM</v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  <cell r="AG853" t="str">
            <v/>
          </cell>
          <cell r="AH853" t="str">
            <v/>
          </cell>
          <cell r="AI853" t="str">
            <v/>
          </cell>
        </row>
        <row r="854">
          <cell r="C854" t="str">
            <v>87128-S</v>
          </cell>
          <cell r="E854" t="str">
            <v/>
          </cell>
          <cell r="F854" t="str">
            <v>Service</v>
          </cell>
          <cell r="G854" t="str">
            <v>Invoice Sent</v>
          </cell>
          <cell r="H854" t="str">
            <v>No</v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>https://panda-windows-and-doors.monday.com/protected_static/21046287/resources/3047240151/Service Form.pdf</v>
          </cell>
          <cell r="R854" t="str">
            <v/>
          </cell>
          <cell r="S854" t="str">
            <v/>
          </cell>
          <cell r="T854" t="str">
            <v/>
          </cell>
          <cell r="U854">
            <v>0</v>
          </cell>
          <cell r="V854">
            <v>3160</v>
          </cell>
          <cell r="W854" t="str">
            <v>Sean Lopez Jun 16, 2026 2:46 PM</v>
          </cell>
          <cell r="X854" t="str">
            <v/>
          </cell>
          <cell r="Y854">
            <v>46189</v>
          </cell>
          <cell r="Z854" t="str">
            <v/>
          </cell>
          <cell r="AA854">
            <v>46189</v>
          </cell>
          <cell r="AB854" t="str">
            <v>Annalene Conde Jun 16, 2026 2:01 PM</v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  <cell r="AG854" t="str">
            <v/>
          </cell>
          <cell r="AH854" t="str">
            <v/>
          </cell>
          <cell r="AI854" t="str">
            <v/>
          </cell>
        </row>
        <row r="855">
          <cell r="C855" t="str">
            <v>Q73622-S2</v>
          </cell>
          <cell r="E855" t="str">
            <v/>
          </cell>
          <cell r="F855" t="str">
            <v>Service</v>
          </cell>
          <cell r="G855" t="str">
            <v>Invoice Sent</v>
          </cell>
          <cell r="H855" t="str">
            <v>No</v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>https://panda-windows-and-doors.monday.com/protected_static/21046287/resources/3049891624/10885 Polk Architectural.pdf</v>
          </cell>
          <cell r="O855" t="str">
            <v/>
          </cell>
          <cell r="P855" t="str">
            <v/>
          </cell>
          <cell r="Q855" t="str">
            <v>https://panda-windows-and-doors.monday.com/protected_static/21046287/resources/3049777070/Service Form - Driftwood.pdf</v>
          </cell>
          <cell r="R855" t="str">
            <v>https://panda-windows-and-doors.monday.com/protected_static/21046287/resources/2289664617/Polk Architectural - Sales &amp; Use Tax Permit  12-3-2019 - TX.pdf</v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>Elizabet Lopez Jun 17, 2026 12:23 PM</v>
          </cell>
          <cell r="X855" t="str">
            <v/>
          </cell>
          <cell r="Y855">
            <v>46190</v>
          </cell>
          <cell r="Z855" t="str">
            <v/>
          </cell>
          <cell r="AA855">
            <v>46190</v>
          </cell>
          <cell r="AB855" t="str">
            <v>Annalene Conde Jun 17, 2026 11:49 AM</v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  <cell r="AG855" t="str">
            <v/>
          </cell>
          <cell r="AH855" t="str">
            <v/>
          </cell>
          <cell r="AI855" t="str">
            <v/>
          </cell>
        </row>
        <row r="856">
          <cell r="C856" t="str">
            <v>13021-S3</v>
          </cell>
          <cell r="E856" t="str">
            <v/>
          </cell>
          <cell r="F856" t="str">
            <v>Service</v>
          </cell>
          <cell r="G856" t="str">
            <v>Invoice Sent</v>
          </cell>
          <cell r="H856" t="str">
            <v>No</v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>https://panda-windows-and-doors.monday.com/protected_static/21046287/resources/3049982391/10886 All About Doors And Windows.pdf</v>
          </cell>
          <cell r="O856" t="str">
            <v/>
          </cell>
          <cell r="P856" t="str">
            <v/>
          </cell>
          <cell r="Q856" t="str">
            <v>https://panda-windows-and-doors.monday.com/protected_static/21046287/resources/3049534202/Service Form.pdf</v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>Elizabet Lopez Jun 17, 2026 12:53 PM</v>
          </cell>
          <cell r="X856" t="str">
            <v/>
          </cell>
          <cell r="Y856">
            <v>46190</v>
          </cell>
          <cell r="Z856" t="str">
            <v/>
          </cell>
          <cell r="AA856">
            <v>46190</v>
          </cell>
          <cell r="AB856" t="str">
            <v>Annalene Conde Jun 17, 2026 10:39 AM</v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  <cell r="AG856" t="str">
            <v/>
          </cell>
          <cell r="AH856" t="str">
            <v/>
          </cell>
          <cell r="AI856" t="str">
            <v/>
          </cell>
        </row>
        <row r="857">
          <cell r="C857">
            <v>84941</v>
          </cell>
          <cell r="E857" t="str">
            <v/>
          </cell>
          <cell r="F857" t="str">
            <v>Service</v>
          </cell>
          <cell r="G857" t="str">
            <v>Invoice Sent</v>
          </cell>
          <cell r="H857" t="str">
            <v>No</v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>https://panda-windows-and-doors.monday.com/protected_static/21046287/resources/3050317744/Service Form - Suncrest.pdf</v>
          </cell>
          <cell r="R857" t="str">
            <v>https://panda-windows-and-doors.monday.com/protected_static/21046287/resources/2309371097/MF 4945 Q84941 GEE RESIDENCE - B.O.M.pdf, https://panda-windows-and-doors.monday.com/protected_static/21046287/resources/2309371093/MF 4945 Q84941 GEE RESIDENCE - CUTLIST (GINERI).pdf, https://panda-windows-and-doors.monday.com/protected_static/21046287/resources/2309371100/MF 4945 Q84941 GEE RESIDENCE - OPT.pdf</v>
          </cell>
          <cell r="S857" t="str">
            <v>Completed - Closed Out</v>
          </cell>
          <cell r="T857" t="str">
            <v/>
          </cell>
          <cell r="U857">
            <v>0</v>
          </cell>
          <cell r="V857">
            <v>407</v>
          </cell>
          <cell r="W857" t="str">
            <v>Sean Lopez Jun 17, 2026 2:36 PM</v>
          </cell>
          <cell r="X857" t="str">
            <v/>
          </cell>
          <cell r="Y857">
            <v>46190</v>
          </cell>
          <cell r="Z857" t="str">
            <v/>
          </cell>
          <cell r="AA857">
            <v>46190</v>
          </cell>
          <cell r="AB857" t="str">
            <v>Annalene Conde Jun 17, 2026 2:19 PM</v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  <cell r="AG857" t="str">
            <v/>
          </cell>
          <cell r="AH857" t="str">
            <v/>
          </cell>
          <cell r="AI857" t="str">
            <v/>
          </cell>
        </row>
        <row r="858">
          <cell r="C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>
            <v>0</v>
          </cell>
          <cell r="V858">
            <v>209471.12</v>
          </cell>
          <cell r="W858" t="str">
            <v/>
          </cell>
          <cell r="X858" t="str">
            <v/>
          </cell>
          <cell r="Y858" t="str">
            <v>2025-02-25 to 2026-06-17</v>
          </cell>
          <cell r="Z858" t="str">
            <v/>
          </cell>
          <cell r="AA858" t="str">
            <v>2025-02-26 to 2026-06-17</v>
          </cell>
          <cell r="AB858" t="str">
            <v/>
          </cell>
          <cell r="AC858" t="str">
            <v>2025-02-27 to 2025-04-02</v>
          </cell>
          <cell r="AD858" t="str">
            <v/>
          </cell>
          <cell r="AE858" t="str">
            <v/>
          </cell>
          <cell r="AF858" t="str">
            <v>2025-04-02</v>
          </cell>
          <cell r="AG858" t="str">
            <v>2025-03-06 to 2025-04-08</v>
          </cell>
          <cell r="AH858" t="str">
            <v/>
          </cell>
          <cell r="AI858" t="str">
            <v/>
          </cell>
        </row>
        <row r="859">
          <cell r="C859" t="str">
            <v>4500695943 - PARTS ORDER</v>
          </cell>
          <cell r="D859" t="str">
            <v/>
          </cell>
          <cell r="E859" t="str">
            <v/>
          </cell>
          <cell r="F859" t="str">
            <v>Windsor</v>
          </cell>
          <cell r="G859" t="str">
            <v>Invoice Sent</v>
          </cell>
          <cell r="H859" t="str">
            <v>No</v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>https://panda-windows-and-doors.monday.com/protected_static/21046287/resources/2026351665/4500695943 final invoice.pdf</v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>
            <v>0</v>
          </cell>
          <cell r="V859">
            <v>175</v>
          </cell>
          <cell r="W859" t="str">
            <v>Amit Iarochevsky Apr 27, 2026 10:20 AM</v>
          </cell>
          <cell r="X859" t="str">
            <v/>
          </cell>
          <cell r="Y859">
            <v>45734</v>
          </cell>
          <cell r="Z859" t="str">
            <v/>
          </cell>
          <cell r="AA859">
            <v>45734</v>
          </cell>
          <cell r="AB859" t="str">
            <v>Jayme Truong Mar 18, 2025 9:06 AM</v>
          </cell>
          <cell r="AC859">
            <v>45735</v>
          </cell>
          <cell r="AD859" t="str">
            <v/>
          </cell>
          <cell r="AE859" t="str">
            <v/>
          </cell>
          <cell r="AF859" t="str">
            <v/>
          </cell>
          <cell r="AG859" t="str">
            <v/>
          </cell>
          <cell r="AH859" t="str">
            <v/>
          </cell>
          <cell r="AI859" t="str">
            <v/>
          </cell>
        </row>
        <row r="860">
          <cell r="C860">
            <v>4500738991</v>
          </cell>
          <cell r="D860" t="str">
            <v/>
          </cell>
          <cell r="E860" t="str">
            <v/>
          </cell>
          <cell r="F860" t="str">
            <v>Windsor</v>
          </cell>
          <cell r="G860" t="str">
            <v>Invoice Sent</v>
          </cell>
          <cell r="H860" t="str">
            <v>No</v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>No</v>
          </cell>
          <cell r="N860" t="str">
            <v>https://panda-windows-and-doors.monday.com/protected_static/21046287/resources/2363029668/4500738991 Deposit Invoice.pdf</v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>https://panda-windows-and-doors.monday.com/protected_static/21046287/resources/2362432106/Print data.PDF</v>
          </cell>
          <cell r="U860" t="str">
            <v/>
          </cell>
          <cell r="V860">
            <v>5873.23</v>
          </cell>
          <cell r="W860" t="str">
            <v>Annalene Conde Nov 10, 2025 9:51 AM</v>
          </cell>
          <cell r="X860" t="str">
            <v/>
          </cell>
          <cell r="Y860">
            <v>45888</v>
          </cell>
          <cell r="Z860" t="str">
            <v/>
          </cell>
          <cell r="AA860">
            <v>45888</v>
          </cell>
          <cell r="AB860" t="str">
            <v>Jayme Truong Aug 19, 2025 10:21 AM</v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  <cell r="AG860" t="str">
            <v/>
          </cell>
          <cell r="AH860" t="str">
            <v/>
          </cell>
          <cell r="AI860" t="str">
            <v/>
          </cell>
        </row>
        <row r="861">
          <cell r="C861">
            <v>4500762287</v>
          </cell>
          <cell r="D861" t="str">
            <v/>
          </cell>
          <cell r="E861" t="str">
            <v/>
          </cell>
          <cell r="F861" t="str">
            <v>Windsor</v>
          </cell>
          <cell r="G861" t="str">
            <v>Invoice Sent</v>
          </cell>
          <cell r="H861" t="str">
            <v>No</v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>Yes</v>
          </cell>
          <cell r="N861" t="str">
            <v>https://panda-windows-and-doors.monday.com/protected_static/21046287/resources/2556040273/4500762287 Deposit Invoice.pdf</v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>https://panda-windows-and-doors.monday.com/protected_static/21046287/resources/2555742818/Print data.PDF</v>
          </cell>
          <cell r="U861" t="str">
            <v/>
          </cell>
          <cell r="V861">
            <v>11045.77</v>
          </cell>
          <cell r="W861" t="str">
            <v>Sean Lopez Nov 14, 2025 11:32 AM</v>
          </cell>
          <cell r="X861" t="str">
            <v/>
          </cell>
          <cell r="Y861">
            <v>45975</v>
          </cell>
          <cell r="Z861" t="str">
            <v/>
          </cell>
          <cell r="AA861">
            <v>45975</v>
          </cell>
          <cell r="AB861" t="str">
            <v>Annalene Conde Nov 14, 2025 10:05 AM</v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  <cell r="AG861" t="str">
            <v/>
          </cell>
          <cell r="AH861" t="str">
            <v/>
          </cell>
          <cell r="AI861" t="str">
            <v/>
          </cell>
        </row>
        <row r="862">
          <cell r="C862">
            <v>4500803818</v>
          </cell>
          <cell r="D862" t="str">
            <v/>
          </cell>
          <cell r="E862" t="str">
            <v/>
          </cell>
          <cell r="F862" t="str">
            <v>Windsor</v>
          </cell>
          <cell r="G862" t="str">
            <v>Invoice Sent</v>
          </cell>
          <cell r="H862" t="str">
            <v>No</v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>No</v>
          </cell>
          <cell r="N862" t="str">
            <v>https://panda-windows-and-doors.monday.com/protected_static/21046287/resources/2930933017/4500803818 Deposit Invoice.pdf</v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>https://panda-windows-and-doors.monday.com/protected_static/21046287/resources/2929291925/Print data.PDF</v>
          </cell>
          <cell r="U862" t="str">
            <v/>
          </cell>
          <cell r="V862">
            <v>21907.15</v>
          </cell>
          <cell r="W862" t="str">
            <v>Elizabet Lopez Apr 28, 2026 8:31 AM</v>
          </cell>
          <cell r="X862" t="str">
            <v/>
          </cell>
          <cell r="Y862">
            <v>46139</v>
          </cell>
          <cell r="Z862" t="str">
            <v/>
          </cell>
          <cell r="AA862">
            <v>46139</v>
          </cell>
          <cell r="AB862" t="str">
            <v>Amit Iarochevsky Apr 27, 2026 12:55 PM</v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  <cell r="AG862" t="str">
            <v/>
          </cell>
          <cell r="AH862" t="str">
            <v/>
          </cell>
          <cell r="AI862" t="str">
            <v/>
          </cell>
        </row>
        <row r="863">
          <cell r="C863">
            <v>4500806320</v>
          </cell>
          <cell r="D863" t="str">
            <v/>
          </cell>
          <cell r="E863" t="str">
            <v/>
          </cell>
          <cell r="F863" t="str">
            <v>Windsor</v>
          </cell>
          <cell r="G863" t="str">
            <v>Invoice Sent</v>
          </cell>
          <cell r="H863" t="str">
            <v>No</v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>No</v>
          </cell>
          <cell r="N863" t="str">
            <v>https://panda-windows-and-doors.monday.com/protected_static/21046287/resources/2952092316/4500806320 Deposit Invoice.pdf</v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>https://panda-windows-and-doors.monday.com/protected_static/21046287/resources/2952084701/Print data.PDF</v>
          </cell>
          <cell r="U863">
            <v>0</v>
          </cell>
          <cell r="V863">
            <v>6582.11</v>
          </cell>
          <cell r="W863" t="str">
            <v>Sean Lopez May 6, 2026 3:25 PM</v>
          </cell>
          <cell r="X863" t="str">
            <v/>
          </cell>
          <cell r="Y863">
            <v>46148</v>
          </cell>
          <cell r="Z863" t="str">
            <v/>
          </cell>
          <cell r="AA863">
            <v>46148</v>
          </cell>
          <cell r="AB863" t="str">
            <v>Amit Iarochevsky May 6, 2026 11:23 AM</v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  <cell r="AG863" t="str">
            <v/>
          </cell>
          <cell r="AH863" t="str">
            <v/>
          </cell>
          <cell r="AI863" t="str">
            <v/>
          </cell>
        </row>
        <row r="864">
          <cell r="C864">
            <v>4500793669</v>
          </cell>
          <cell r="D864" t="str">
            <v/>
          </cell>
          <cell r="E864" t="str">
            <v/>
          </cell>
          <cell r="F864" t="str">
            <v>Windsor Final</v>
          </cell>
          <cell r="G864" t="str">
            <v>Invoice Sent</v>
          </cell>
          <cell r="H864" t="str">
            <v>No</v>
          </cell>
          <cell r="I864" t="str">
            <v>Alex</v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>https://panda-windows-and-doors.monday.com/protected_static/21046287/resources/2847932582/4500793669 Deposit Invoice.pdf</v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>https://panda-windows-and-doors.monday.com/protected_static/21046287/resources/2847459789/Print data.PDF</v>
          </cell>
          <cell r="U864" t="str">
            <v/>
          </cell>
          <cell r="V864">
            <v>29356.78</v>
          </cell>
          <cell r="W864" t="str">
            <v>George Bails May 29, 2026 1:52 PM</v>
          </cell>
          <cell r="X864" t="str">
            <v/>
          </cell>
          <cell r="Y864">
            <v>46101</v>
          </cell>
          <cell r="Z864" t="str">
            <v/>
          </cell>
          <cell r="AA864">
            <v>46104</v>
          </cell>
          <cell r="AB864" t="str">
            <v>Annalene Conde Mar 20, 2026 2:32 PM</v>
          </cell>
          <cell r="AC864">
            <v>46149</v>
          </cell>
          <cell r="AD864" t="str">
            <v/>
          </cell>
          <cell r="AE864" t="str">
            <v/>
          </cell>
          <cell r="AF864">
            <v>46149</v>
          </cell>
          <cell r="AG864" t="str">
            <v/>
          </cell>
          <cell r="AH864" t="str">
            <v/>
          </cell>
          <cell r="AI864" t="str">
            <v/>
          </cell>
        </row>
        <row r="865">
          <cell r="C865">
            <v>222437</v>
          </cell>
          <cell r="D865" t="str">
            <v/>
          </cell>
          <cell r="E865" t="str">
            <v/>
          </cell>
          <cell r="F865" t="str">
            <v>All Weather</v>
          </cell>
          <cell r="G865" t="str">
            <v>Invoice Sent</v>
          </cell>
          <cell r="H865" t="str">
            <v>No</v>
          </cell>
          <cell r="I865" t="str">
            <v>Alex</v>
          </cell>
          <cell r="J865" t="str">
            <v/>
          </cell>
          <cell r="K865" t="str">
            <v/>
          </cell>
          <cell r="L865" t="str">
            <v/>
          </cell>
          <cell r="M865" t="str">
            <v>Yes</v>
          </cell>
          <cell r="N865" t="str">
            <v>https://panda-windows-and-doors.monday.com/protected_static/21046287/resources/2973499770/222437 Deposit Invoice.pdf</v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>https://panda-windows-and-doors.monday.com/protected_static/21046287/resources/2973362472/222437 (2).pdf</v>
          </cell>
          <cell r="U865" t="str">
            <v/>
          </cell>
          <cell r="V865">
            <v>11422</v>
          </cell>
          <cell r="W865" t="str">
            <v>Alex May 19, 2026 3:41 PM</v>
          </cell>
          <cell r="X865" t="str">
            <v/>
          </cell>
          <cell r="Y865">
            <v>46156</v>
          </cell>
          <cell r="Z865" t="str">
            <v/>
          </cell>
          <cell r="AA865">
            <v>46157</v>
          </cell>
          <cell r="AB865" t="str">
            <v>Amit Iarochevsky May 14, 2026 11:26 AM</v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  <cell r="AG865" t="str">
            <v/>
          </cell>
          <cell r="AH865" t="str">
            <v/>
          </cell>
          <cell r="AI865" t="str">
            <v/>
          </cell>
        </row>
        <row r="866">
          <cell r="C866">
            <v>4500808251</v>
          </cell>
          <cell r="D866" t="str">
            <v/>
          </cell>
          <cell r="E866" t="str">
            <v/>
          </cell>
          <cell r="F866" t="str">
            <v>Windsor</v>
          </cell>
          <cell r="G866" t="str">
            <v>Invoice Sent</v>
          </cell>
          <cell r="H866" t="str">
            <v>No</v>
          </cell>
          <cell r="I866" t="str">
            <v>Alex</v>
          </cell>
          <cell r="J866" t="str">
            <v/>
          </cell>
          <cell r="K866" t="str">
            <v/>
          </cell>
          <cell r="L866" t="str">
            <v/>
          </cell>
          <cell r="M866" t="str">
            <v>Yes</v>
          </cell>
          <cell r="N866" t="str">
            <v>https://panda-windows-and-doors.monday.com/protected_static/21046287/resources/2973791507/4500808251 Deposit Invoice.pdf</v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>https://panda-windows-and-doors.monday.com/protected_static/21046287/resources/2973608763/Print data.PDF</v>
          </cell>
          <cell r="U866" t="str">
            <v/>
          </cell>
          <cell r="V866">
            <v>25739.69</v>
          </cell>
          <cell r="W866" t="str">
            <v>Alex May 19, 2026 3:40 PM</v>
          </cell>
          <cell r="X866" t="str">
            <v/>
          </cell>
          <cell r="Y866">
            <v>46157</v>
          </cell>
          <cell r="Z866" t="str">
            <v/>
          </cell>
          <cell r="AA866">
            <v>46157</v>
          </cell>
          <cell r="AB866" t="str">
            <v>Amit Iarochevsky May 15, 2026 11:14 AM</v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  <cell r="AG866" t="str">
            <v/>
          </cell>
          <cell r="AH866" t="str">
            <v/>
          </cell>
          <cell r="AI866" t="str">
            <v/>
          </cell>
        </row>
        <row r="867">
          <cell r="C867">
            <v>4500809561</v>
          </cell>
          <cell r="D867" t="str">
            <v/>
          </cell>
          <cell r="E867" t="str">
            <v/>
          </cell>
          <cell r="F867" t="str">
            <v>Windsor</v>
          </cell>
          <cell r="G867" t="str">
            <v>Invoice Sent</v>
          </cell>
          <cell r="H867" t="str">
            <v>No</v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>No</v>
          </cell>
          <cell r="N867" t="str">
            <v>https://panda-windows-and-doors.monday.com/protected_static/21046287/resources/2982177306/4500809561 Deposit Invoice.pdf</v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>https://panda-windows-and-doors.monday.com/protected_static/21046287/resources/2982092157/Print data.PDF</v>
          </cell>
          <cell r="U867" t="str">
            <v/>
          </cell>
          <cell r="V867" t="str">
            <v/>
          </cell>
          <cell r="W867" t="str">
            <v>Elizabet Lopez May 19, 2026 4:12 PM</v>
          </cell>
          <cell r="X867" t="str">
            <v/>
          </cell>
          <cell r="Y867">
            <v>46161</v>
          </cell>
          <cell r="Z867" t="str">
            <v/>
          </cell>
          <cell r="AA867">
            <v>46161</v>
          </cell>
          <cell r="AB867" t="str">
            <v>Amit Iarochevsky May 19, 2026 11:17 AM</v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  <cell r="AG867" t="str">
            <v/>
          </cell>
          <cell r="AH867" t="str">
            <v/>
          </cell>
          <cell r="AI867" t="str">
            <v/>
          </cell>
        </row>
        <row r="868">
          <cell r="C868">
            <v>4500809573</v>
          </cell>
          <cell r="D868" t="str">
            <v/>
          </cell>
          <cell r="E868" t="str">
            <v/>
          </cell>
          <cell r="F868" t="str">
            <v>Windsor</v>
          </cell>
          <cell r="G868" t="str">
            <v>Invoice Sent</v>
          </cell>
          <cell r="H868" t="str">
            <v>No</v>
          </cell>
          <cell r="I868" t="str">
            <v>Alex</v>
          </cell>
          <cell r="J868" t="str">
            <v/>
          </cell>
          <cell r="K868" t="str">
            <v/>
          </cell>
          <cell r="L868" t="str">
            <v/>
          </cell>
          <cell r="M868" t="str">
            <v>Yes</v>
          </cell>
          <cell r="N868" t="str">
            <v>https://panda-windows-and-doors.monday.com/protected_static/21046287/resources/2982187481/4500809573 Deposit Invoice.pdf</v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>https://panda-windows-and-doors.monday.com/protected_static/21046287/resources/2982108051/Print data.PDF</v>
          </cell>
          <cell r="U868" t="str">
            <v/>
          </cell>
          <cell r="V868">
            <v>12900</v>
          </cell>
          <cell r="W868" t="str">
            <v>Alex May 19, 2026 4:23 PM</v>
          </cell>
          <cell r="X868" t="str">
            <v/>
          </cell>
          <cell r="Y868">
            <v>46161</v>
          </cell>
          <cell r="Z868" t="str">
            <v/>
          </cell>
          <cell r="AA868">
            <v>46161</v>
          </cell>
          <cell r="AB868" t="str">
            <v>Amit Iarochevsky May 19, 2026 11:17 AM</v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  <cell r="AG868" t="str">
            <v/>
          </cell>
          <cell r="AH868" t="str">
            <v/>
          </cell>
          <cell r="AI868" t="str">
            <v/>
          </cell>
        </row>
        <row r="869">
          <cell r="C869">
            <v>4500809826</v>
          </cell>
          <cell r="D869" t="str">
            <v/>
          </cell>
          <cell r="E869" t="str">
            <v/>
          </cell>
          <cell r="F869" t="str">
            <v>Windsor</v>
          </cell>
          <cell r="G869" t="str">
            <v>Invoice Sent</v>
          </cell>
          <cell r="H869" t="str">
            <v>No</v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>No</v>
          </cell>
          <cell r="N869" t="str">
            <v>https://panda-windows-and-doors.monday.com/protected_static/21046287/resources/2982214613/4500809826 Deposit Invoice.pdf</v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>https://panda-windows-and-doors.monday.com/protected_static/21046287/resources/2982157433/Print data.PDF</v>
          </cell>
          <cell r="U869" t="str">
            <v/>
          </cell>
          <cell r="V869">
            <v>10333.379999999999</v>
          </cell>
          <cell r="W869" t="str">
            <v>Elizabet Lopez May 19, 2026 4:35 PM</v>
          </cell>
          <cell r="X869" t="str">
            <v/>
          </cell>
          <cell r="Y869">
            <v>46161</v>
          </cell>
          <cell r="Z869" t="str">
            <v/>
          </cell>
          <cell r="AA869">
            <v>46161</v>
          </cell>
          <cell r="AB869" t="str">
            <v>Amit Iarochevsky May 19, 2026 3:57 PM</v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  <cell r="AG869" t="str">
            <v/>
          </cell>
          <cell r="AH869" t="str">
            <v/>
          </cell>
          <cell r="AI869" t="str">
            <v/>
          </cell>
        </row>
        <row r="870">
          <cell r="C870">
            <v>4500809977</v>
          </cell>
          <cell r="D870" t="str">
            <v/>
          </cell>
          <cell r="E870" t="str">
            <v/>
          </cell>
          <cell r="F870" t="str">
            <v>Windsor</v>
          </cell>
          <cell r="G870" t="str">
            <v>Invoice Sent</v>
          </cell>
          <cell r="H870" t="str">
            <v>No</v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>No</v>
          </cell>
          <cell r="N870" t="str">
            <v>https://panda-windows-and-doors.monday.com/protected_static/21046287/resources/2982224669/4500809977 Deposit Invoice.pdf</v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>https://panda-windows-and-doors.monday.com/protected_static/21046287/resources/2982182158/Print data.PDF</v>
          </cell>
          <cell r="U870" t="str">
            <v/>
          </cell>
          <cell r="V870">
            <v>4546.16</v>
          </cell>
          <cell r="W870" t="str">
            <v>Elizabet Lopez May 19, 2026 4:42 PM</v>
          </cell>
          <cell r="X870" t="str">
            <v/>
          </cell>
          <cell r="Y870">
            <v>46161</v>
          </cell>
          <cell r="Z870" t="str">
            <v/>
          </cell>
          <cell r="AA870">
            <v>46161</v>
          </cell>
          <cell r="AB870" t="str">
            <v>Amit Iarochevsky May 19, 2026 4:06 PM</v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  <cell r="AG870" t="str">
            <v/>
          </cell>
          <cell r="AH870" t="str">
            <v/>
          </cell>
          <cell r="AI870" t="str">
            <v/>
          </cell>
        </row>
        <row r="871">
          <cell r="C871">
            <v>222478</v>
          </cell>
          <cell r="D871" t="str">
            <v/>
          </cell>
          <cell r="E871" t="str">
            <v/>
          </cell>
          <cell r="F871" t="str">
            <v>All Weather</v>
          </cell>
          <cell r="G871" t="str">
            <v>Invoice Sent</v>
          </cell>
          <cell r="H871" t="str">
            <v>No</v>
          </cell>
          <cell r="I871" t="str">
            <v>Alex</v>
          </cell>
          <cell r="J871" t="str">
            <v/>
          </cell>
          <cell r="K871" t="str">
            <v/>
          </cell>
          <cell r="L871" t="str">
            <v/>
          </cell>
          <cell r="M871" t="str">
            <v>Yes</v>
          </cell>
          <cell r="N871" t="str">
            <v>https://panda-windows-and-doors.monday.com/protected_static/21046287/resources/2983927748/222478 Deposit Invoice.pdf</v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>https://panda-windows-and-doors.monday.com/protected_static/21046287/resources/2982198928/2026-05-19 Purchase order - 222478 - (2026-05-19 26_12 PM).pdf</v>
          </cell>
          <cell r="U871" t="str">
            <v/>
          </cell>
          <cell r="V871" t="str">
            <v/>
          </cell>
          <cell r="W871" t="str">
            <v>Elizabet Lopez May 20, 2026 8:36 AM</v>
          </cell>
          <cell r="X871" t="str">
            <v/>
          </cell>
          <cell r="Y871">
            <v>46161</v>
          </cell>
          <cell r="Z871" t="str">
            <v/>
          </cell>
          <cell r="AA871">
            <v>46161</v>
          </cell>
          <cell r="AB871" t="str">
            <v>Amit Iarochevsky May 19, 2026 4:08 PM</v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  <cell r="AG871" t="str">
            <v/>
          </cell>
          <cell r="AH871" t="str">
            <v/>
          </cell>
          <cell r="AI871" t="str">
            <v/>
          </cell>
        </row>
        <row r="872">
          <cell r="C872">
            <v>4500797699</v>
          </cell>
          <cell r="D872" t="str">
            <v/>
          </cell>
          <cell r="E872" t="str">
            <v/>
          </cell>
          <cell r="F872" t="str">
            <v>Windsor Final</v>
          </cell>
          <cell r="G872" t="str">
            <v>Invoice Sent</v>
          </cell>
          <cell r="H872" t="str">
            <v>No</v>
          </cell>
          <cell r="I872" t="str">
            <v>Alex</v>
          </cell>
          <cell r="J872" t="str">
            <v/>
          </cell>
          <cell r="K872" t="str">
            <v/>
          </cell>
          <cell r="L872" t="str">
            <v/>
          </cell>
          <cell r="M872" t="str">
            <v>Yes</v>
          </cell>
          <cell r="N872" t="str">
            <v>https://panda-windows-and-doors.monday.com/protected_static/21046287/resources/2879795807/4500797699 Deposit Invoice.pdf</v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>https://panda-windows-and-doors.monday.com/protected_static/21046287/resources/2879649378/Print data.PDF</v>
          </cell>
          <cell r="U872" t="str">
            <v/>
          </cell>
          <cell r="V872">
            <v>17444.009999999998</v>
          </cell>
          <cell r="W872" t="str">
            <v>Amit Iarochevsky May 21, 2026 10:11 AM</v>
          </cell>
          <cell r="X872" t="str">
            <v/>
          </cell>
          <cell r="Y872">
            <v>46118</v>
          </cell>
          <cell r="Z872" t="str">
            <v/>
          </cell>
          <cell r="AA872">
            <v>46118</v>
          </cell>
          <cell r="AB872" t="str">
            <v>Annalene Conde Apr 6, 2026 10:40 AM</v>
          </cell>
          <cell r="AC872">
            <v>46163</v>
          </cell>
          <cell r="AD872" t="str">
            <v/>
          </cell>
          <cell r="AE872" t="str">
            <v/>
          </cell>
          <cell r="AF872">
            <v>46163</v>
          </cell>
          <cell r="AG872" t="str">
            <v/>
          </cell>
          <cell r="AH872" t="str">
            <v/>
          </cell>
          <cell r="AI872" t="str">
            <v/>
          </cell>
        </row>
        <row r="873">
          <cell r="C873">
            <v>4500810822</v>
          </cell>
          <cell r="D873" t="str">
            <v/>
          </cell>
          <cell r="E873" t="str">
            <v/>
          </cell>
          <cell r="F873" t="str">
            <v>Windsor</v>
          </cell>
          <cell r="G873" t="str">
            <v>Invoice Sent</v>
          </cell>
          <cell r="H873" t="str">
            <v>No</v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>No</v>
          </cell>
          <cell r="N873" t="str">
            <v>https://panda-windows-and-doors.monday.com/protected_static/21046287/resources/2988737232/4500810822 Deposit Invoice.pdf</v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>https://panda-windows-and-doors.monday.com/protected_static/21046287/resources/2988482846/Print data.PDF</v>
          </cell>
          <cell r="U873" t="str">
            <v/>
          </cell>
          <cell r="V873">
            <v>63841.48</v>
          </cell>
          <cell r="W873" t="str">
            <v>Elizabet Lopez May 21, 2026 4:22 PM</v>
          </cell>
          <cell r="X873" t="str">
            <v/>
          </cell>
          <cell r="Y873">
            <v>46163</v>
          </cell>
          <cell r="Z873" t="str">
            <v/>
          </cell>
          <cell r="AA873">
            <v>46163</v>
          </cell>
          <cell r="AB873" t="str">
            <v>Amit Iarochevsky May 21, 2026 2:28 PM</v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  <cell r="AG873" t="str">
            <v/>
          </cell>
          <cell r="AH873" t="str">
            <v/>
          </cell>
          <cell r="AI873" t="str">
            <v/>
          </cell>
        </row>
        <row r="874">
          <cell r="C874">
            <v>4500799519</v>
          </cell>
          <cell r="D874" t="str">
            <v/>
          </cell>
          <cell r="E874" t="str">
            <v/>
          </cell>
          <cell r="F874" t="str">
            <v>Windsor Final</v>
          </cell>
          <cell r="G874" t="str">
            <v>Invoice Sent</v>
          </cell>
          <cell r="H874" t="str">
            <v>No</v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>No</v>
          </cell>
          <cell r="N874" t="str">
            <v>https://panda-windows-and-doors.monday.com/protected_static/21046287/resources/2893402500/4500799519 Deposit Invoice.pdf</v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>https://panda-windows-and-doors.monday.com/protected_static/21046287/resources/2893045708/Print data.PDF</v>
          </cell>
          <cell r="U874" t="str">
            <v/>
          </cell>
          <cell r="V874">
            <v>3712.28</v>
          </cell>
          <cell r="W874" t="str">
            <v>Amit Iarochevsky May 26, 2026 10:27 AM</v>
          </cell>
          <cell r="X874" t="str">
            <v/>
          </cell>
          <cell r="Y874">
            <v>46122</v>
          </cell>
          <cell r="Z874" t="str">
            <v/>
          </cell>
          <cell r="AA874">
            <v>46122</v>
          </cell>
          <cell r="AB874" t="str">
            <v>Annalene Conde Apr 10, 2026 1:01 PM</v>
          </cell>
          <cell r="AC874">
            <v>46168</v>
          </cell>
          <cell r="AD874" t="str">
            <v/>
          </cell>
          <cell r="AE874" t="str">
            <v/>
          </cell>
          <cell r="AF874">
            <v>46168</v>
          </cell>
          <cell r="AG874" t="str">
            <v/>
          </cell>
          <cell r="AH874" t="str">
            <v/>
          </cell>
          <cell r="AI874" t="str">
            <v/>
          </cell>
        </row>
        <row r="875">
          <cell r="C875">
            <v>500022</v>
          </cell>
          <cell r="D875" t="str">
            <v/>
          </cell>
          <cell r="E875" t="str">
            <v/>
          </cell>
          <cell r="F875" t="str">
            <v>Redstone</v>
          </cell>
          <cell r="G875" t="str">
            <v>Invoice Sent</v>
          </cell>
          <cell r="H875" t="str">
            <v>No</v>
          </cell>
          <cell r="I875" t="str">
            <v>Alex</v>
          </cell>
          <cell r="J875" t="str">
            <v/>
          </cell>
          <cell r="K875" t="str">
            <v/>
          </cell>
          <cell r="L875" t="str">
            <v/>
          </cell>
          <cell r="M875" t="str">
            <v>Yes</v>
          </cell>
          <cell r="N875" t="str">
            <v>https://panda-windows-and-doors.monday.com/protected_static/21046287/resources/3012579208/500022 deposit Invoice.pdf</v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>https://panda-windows-and-doors.monday.com/protected_static/21046287/resources/3011430376/500022.pdf</v>
          </cell>
          <cell r="U875" t="str">
            <v/>
          </cell>
          <cell r="V875">
            <v>9272</v>
          </cell>
          <cell r="W875" t="str">
            <v>Elizabet Lopez Jun 1, 2026 3:51 PM</v>
          </cell>
          <cell r="X875" t="str">
            <v/>
          </cell>
          <cell r="Y875">
            <v>46170</v>
          </cell>
          <cell r="Z875" t="str">
            <v/>
          </cell>
          <cell r="AA875">
            <v>46174</v>
          </cell>
          <cell r="AB875" t="str">
            <v>Amit Iarochevsky May 28, 2026 4:18 PM</v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  <cell r="AG875" t="str">
            <v/>
          </cell>
          <cell r="AH875" t="str">
            <v/>
          </cell>
          <cell r="AI875" t="str">
            <v/>
          </cell>
        </row>
        <row r="876">
          <cell r="C876">
            <v>4500799921</v>
          </cell>
          <cell r="D876" t="str">
            <v/>
          </cell>
          <cell r="E876" t="str">
            <v/>
          </cell>
          <cell r="F876" t="str">
            <v>Windsor Final</v>
          </cell>
          <cell r="G876" t="str">
            <v>Invoice Sent</v>
          </cell>
          <cell r="H876" t="str">
            <v>No</v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>No</v>
          </cell>
          <cell r="N876" t="str">
            <v>https://panda-windows-and-doors.monday.com/protected_static/21046287/resources/2900457444/4500799921 Deposit Invoice.pdf</v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>https://panda-windows-and-doors.monday.com/protected_static/21046287/resources/2899559215/Print data.PDF</v>
          </cell>
          <cell r="U876">
            <v>0</v>
          </cell>
          <cell r="V876">
            <v>25946.03</v>
          </cell>
          <cell r="W876" t="str">
            <v>Amit Iarochevsky Jun 2, 2026 2:35 PM</v>
          </cell>
          <cell r="X876" t="str">
            <v/>
          </cell>
          <cell r="Y876">
            <v>46125</v>
          </cell>
          <cell r="Z876" t="str">
            <v/>
          </cell>
          <cell r="AA876">
            <v>46126</v>
          </cell>
          <cell r="AB876" t="str">
            <v>Annalene Conde Apr 13, 2026 3:40 PM</v>
          </cell>
          <cell r="AC876">
            <v>46175</v>
          </cell>
          <cell r="AD876" t="str">
            <v/>
          </cell>
          <cell r="AE876" t="str">
            <v/>
          </cell>
          <cell r="AF876">
            <v>46175</v>
          </cell>
          <cell r="AG876" t="str">
            <v/>
          </cell>
          <cell r="AH876" t="str">
            <v/>
          </cell>
          <cell r="AI876" t="str">
            <v/>
          </cell>
        </row>
        <row r="877">
          <cell r="C877">
            <v>222574</v>
          </cell>
          <cell r="D877" t="str">
            <v/>
          </cell>
          <cell r="E877" t="str">
            <v/>
          </cell>
          <cell r="F877" t="str">
            <v>All Weather</v>
          </cell>
          <cell r="G877" t="str">
            <v>Invoice Sent</v>
          </cell>
          <cell r="H877" t="str">
            <v>No</v>
          </cell>
          <cell r="I877" t="str">
            <v>Alex</v>
          </cell>
          <cell r="J877" t="str">
            <v/>
          </cell>
          <cell r="K877" t="str">
            <v/>
          </cell>
          <cell r="L877" t="str">
            <v/>
          </cell>
          <cell r="M877" t="str">
            <v>Yes</v>
          </cell>
          <cell r="N877" t="str">
            <v>https://panda-windows-and-doors.monday.com/protected_static/21046287/resources/3020968254/222574 Deposit Invoice.pdf</v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>https://panda-windows-and-doors.monday.com/protected_static/21046287/resources/3019507247/2026-06-03 Purchase order - 222574 - (2026-06-03 31_33 AM).pdf</v>
          </cell>
          <cell r="U877" t="str">
            <v/>
          </cell>
          <cell r="V877">
            <v>12244</v>
          </cell>
          <cell r="W877" t="str">
            <v>Elizabet Lopez Jun 4, 2026 9:30 AM</v>
          </cell>
          <cell r="X877" t="str">
            <v/>
          </cell>
          <cell r="Y877">
            <v>46176</v>
          </cell>
          <cell r="Z877" t="str">
            <v/>
          </cell>
          <cell r="AA877">
            <v>46176</v>
          </cell>
          <cell r="AB877" t="str">
            <v>Amit Iarochevsky Jun 3, 2026 3:43 PM</v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  <cell r="AG877" t="str">
            <v/>
          </cell>
          <cell r="AH877" t="str">
            <v/>
          </cell>
          <cell r="AI877" t="str">
            <v/>
          </cell>
        </row>
        <row r="878">
          <cell r="C878">
            <v>4500814573</v>
          </cell>
          <cell r="D878" t="str">
            <v/>
          </cell>
          <cell r="E878" t="str">
            <v/>
          </cell>
          <cell r="F878" t="str">
            <v>Windsor</v>
          </cell>
          <cell r="G878" t="str">
            <v>Invoice Sent</v>
          </cell>
          <cell r="H878" t="str">
            <v>No</v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>No</v>
          </cell>
          <cell r="N878" t="str">
            <v>https://panda-windows-and-doors.monday.com/protected_static/21046287/resources/3023974035/4500814573 Deposit Invoice.pdf</v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>https://panda-windows-and-doors.monday.com/protected_static/21046287/resources/3022196980/Print data.PDF, https://panda-windows-and-doors.monday.com/protected_static/21046287/resources/3023940466/Print data.PDF</v>
          </cell>
          <cell r="U878" t="str">
            <v/>
          </cell>
          <cell r="V878">
            <v>7405.17</v>
          </cell>
          <cell r="W878" t="str">
            <v>Elizabet Lopez Jun 5, 2026 8:25 AM</v>
          </cell>
          <cell r="X878" t="str">
            <v/>
          </cell>
          <cell r="Y878">
            <v>46177</v>
          </cell>
          <cell r="Z878" t="str">
            <v/>
          </cell>
          <cell r="AA878">
            <v>46177</v>
          </cell>
          <cell r="AB878" t="str">
            <v>Amit Iarochevsky Jun 4, 2026 3:52 PM</v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  <cell r="AG878" t="str">
            <v/>
          </cell>
          <cell r="AH878" t="str">
            <v/>
          </cell>
          <cell r="AI878" t="str">
            <v/>
          </cell>
        </row>
        <row r="879">
          <cell r="C879">
            <v>222623</v>
          </cell>
          <cell r="D879" t="str">
            <v/>
          </cell>
          <cell r="E879" t="str">
            <v/>
          </cell>
          <cell r="F879" t="str">
            <v>All Weather</v>
          </cell>
          <cell r="G879" t="str">
            <v>Invoice Sent</v>
          </cell>
          <cell r="H879" t="str">
            <v>No</v>
          </cell>
          <cell r="I879" t="str">
            <v>Alex</v>
          </cell>
          <cell r="J879" t="str">
            <v/>
          </cell>
          <cell r="K879" t="str">
            <v/>
          </cell>
          <cell r="L879" t="str">
            <v/>
          </cell>
          <cell r="M879" t="str">
            <v>Yes</v>
          </cell>
          <cell r="N879" t="str">
            <v>https://panda-windows-and-doors.monday.com/protected_static/21046287/resources/3032096104/222623 Deposit Invoice.pdf</v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>https://panda-windows-and-doors.monday.com/protected_static/21046287/resources/3031530729/2026-06-09 Purchase order - 222623 - (2026-06-09 07_33 AM).pdf</v>
          </cell>
          <cell r="U879" t="str">
            <v/>
          </cell>
          <cell r="V879">
            <v>8645</v>
          </cell>
          <cell r="W879" t="str">
            <v>Sean Lopez Jun 9, 2026 2:35 PM</v>
          </cell>
          <cell r="X879" t="str">
            <v/>
          </cell>
          <cell r="Y879">
            <v>46182</v>
          </cell>
          <cell r="Z879" t="str">
            <v/>
          </cell>
          <cell r="AA879">
            <v>46182</v>
          </cell>
          <cell r="AB879" t="str">
            <v>Amit Iarochevsky Jun 9, 2026 11:21 AM</v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  <cell r="AG879" t="str">
            <v/>
          </cell>
          <cell r="AH879" t="str">
            <v/>
          </cell>
          <cell r="AI879" t="str">
            <v/>
          </cell>
        </row>
        <row r="880">
          <cell r="C880">
            <v>222622</v>
          </cell>
          <cell r="D880" t="str">
            <v/>
          </cell>
          <cell r="E880" t="str">
            <v/>
          </cell>
          <cell r="F880" t="str">
            <v>All Weather</v>
          </cell>
          <cell r="G880" t="str">
            <v>Invoice Sent</v>
          </cell>
          <cell r="H880" t="str">
            <v>No</v>
          </cell>
          <cell r="I880" t="str">
            <v>Alex</v>
          </cell>
          <cell r="J880" t="str">
            <v/>
          </cell>
          <cell r="K880" t="str">
            <v/>
          </cell>
          <cell r="L880" t="str">
            <v/>
          </cell>
          <cell r="M880" t="str">
            <v>Yes</v>
          </cell>
          <cell r="N880" t="str">
            <v>https://panda-windows-and-doors.monday.com/protected_static/21046287/resources/3032114468/222622 Deposit Invoice.pdf</v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>https://panda-windows-and-doors.monday.com/protected_static/21046287/resources/3031509551/2026-06-09 Purchase order - 222622 - (2026-06-09 02_06 AM).pdf</v>
          </cell>
          <cell r="U880" t="str">
            <v/>
          </cell>
          <cell r="V880">
            <v>19860</v>
          </cell>
          <cell r="W880" t="str">
            <v>Sean Lopez Jun 9, 2026 2:39 PM</v>
          </cell>
          <cell r="X880" t="str">
            <v/>
          </cell>
          <cell r="Y880">
            <v>46182</v>
          </cell>
          <cell r="Z880" t="str">
            <v/>
          </cell>
          <cell r="AA880">
            <v>46182</v>
          </cell>
          <cell r="AB880" t="str">
            <v>Amit Iarochevsky Jun 9, 2026 11:21 AM</v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  <cell r="AG880" t="str">
            <v/>
          </cell>
          <cell r="AH880" t="str">
            <v/>
          </cell>
          <cell r="AI880" t="str">
            <v/>
          </cell>
        </row>
        <row r="881">
          <cell r="C881">
            <v>4500802141</v>
          </cell>
          <cell r="D881" t="str">
            <v/>
          </cell>
          <cell r="E881" t="str">
            <v/>
          </cell>
          <cell r="F881" t="str">
            <v>Windsor Final</v>
          </cell>
          <cell r="G881" t="str">
            <v>Invoice Sent</v>
          </cell>
          <cell r="H881" t="str">
            <v>No</v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>No</v>
          </cell>
          <cell r="N881" t="str">
            <v>https://panda-windows-and-doors.monday.com/protected_static/21046287/resources/2916143838/4500802141 Deposit Invoice.pdf</v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>https://panda-windows-and-doors.monday.com/protected_static/21046287/resources/2915810071/Print data.PDF</v>
          </cell>
          <cell r="U881">
            <v>0</v>
          </cell>
          <cell r="V881">
            <v>6868.22</v>
          </cell>
          <cell r="W881" t="str">
            <v>Amit Iarochevsky Jun 10, 2026 9:05 AM</v>
          </cell>
          <cell r="X881" t="str">
            <v/>
          </cell>
          <cell r="Y881">
            <v>46133</v>
          </cell>
          <cell r="Z881" t="str">
            <v/>
          </cell>
          <cell r="AA881">
            <v>46133</v>
          </cell>
          <cell r="AB881" t="str">
            <v>Amit Iarochevsky Apr 21, 2026 8:26 AM</v>
          </cell>
          <cell r="AC881">
            <v>46183</v>
          </cell>
          <cell r="AD881" t="str">
            <v/>
          </cell>
          <cell r="AE881" t="str">
            <v/>
          </cell>
          <cell r="AF881">
            <v>46183</v>
          </cell>
          <cell r="AG881" t="str">
            <v/>
          </cell>
          <cell r="AH881" t="str">
            <v/>
          </cell>
          <cell r="AI881" t="str">
            <v/>
          </cell>
        </row>
        <row r="882">
          <cell r="C882">
            <v>4500805325</v>
          </cell>
          <cell r="D882" t="str">
            <v/>
          </cell>
          <cell r="E882" t="str">
            <v/>
          </cell>
          <cell r="F882" t="str">
            <v>Windsor Final</v>
          </cell>
          <cell r="G882" t="str">
            <v>Invoice Sent</v>
          </cell>
          <cell r="H882" t="str">
            <v>No</v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>No</v>
          </cell>
          <cell r="N882" t="str">
            <v>https://panda-windows-and-doors.monday.com/protected_static/21046287/resources/2941111798/4500805325 Deposit Invoice.pdf</v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>https://panda-windows-and-doors.monday.com/protected_static/21046287/resources/2941011271/Print data.PDF</v>
          </cell>
          <cell r="U882">
            <v>0</v>
          </cell>
          <cell r="V882">
            <v>15160</v>
          </cell>
          <cell r="W882" t="str">
            <v>Amit Iarochevsky Jun 15, 2026 8:46 AM</v>
          </cell>
          <cell r="X882" t="str">
            <v/>
          </cell>
          <cell r="Y882">
            <v>46143</v>
          </cell>
          <cell r="Z882" t="str">
            <v/>
          </cell>
          <cell r="AA882">
            <v>46143</v>
          </cell>
          <cell r="AB882" t="str">
            <v>Amit Iarochevsky May 1, 2026 8:41 AM</v>
          </cell>
          <cell r="AC882">
            <v>46188</v>
          </cell>
          <cell r="AD882" t="str">
            <v/>
          </cell>
          <cell r="AE882" t="str">
            <v/>
          </cell>
          <cell r="AF882">
            <v>46188</v>
          </cell>
          <cell r="AG882" t="str">
            <v/>
          </cell>
          <cell r="AH882" t="str">
            <v/>
          </cell>
          <cell r="AI882" t="str">
            <v/>
          </cell>
        </row>
        <row r="883">
          <cell r="C883">
            <v>84210</v>
          </cell>
          <cell r="D883">
            <v>45938</v>
          </cell>
          <cell r="E883" t="str">
            <v/>
          </cell>
          <cell r="F883" t="str">
            <v>Change Order</v>
          </cell>
          <cell r="G883" t="str">
            <v>Invoice Sent</v>
          </cell>
          <cell r="H883" t="str">
            <v>No</v>
          </cell>
          <cell r="I883" t="str">
            <v/>
          </cell>
          <cell r="J883" t="str">
            <v/>
          </cell>
          <cell r="K883" t="str">
            <v>https://panda-windows-and-doors.monday.com/protected_static/21046287/resources/2336946449/QQ#84210 Project 592 Aston Apts_250730 signed.pdf</v>
          </cell>
          <cell r="L883" t="str">
            <v>https://panda-windows-and-doors.monday.com/protected_static/21046287/resources/2336947313/Hoa.pdf</v>
          </cell>
          <cell r="M883" t="str">
            <v/>
          </cell>
          <cell r="N883" t="str">
            <v>https://panda-windows-and-doors.monday.com/protected_static/21046287/resources/2338856040/84210 Deposit Invoice.pdf, https://panda-windows-and-doors.monday.com/protected_static/21046287/resources/2472523980/84210 Deposit Invoice CO 1.pdf</v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>In Production</v>
          </cell>
          <cell r="T883" t="str">
            <v/>
          </cell>
          <cell r="U883">
            <v>31567</v>
          </cell>
          <cell r="V883">
            <v>53067.360000000001</v>
          </cell>
          <cell r="W883" t="str">
            <v>George Bails Jun 16, 2026 9:21 AM</v>
          </cell>
          <cell r="X883" t="str">
            <v>2025-08-06 00:00</v>
          </cell>
          <cell r="Y883">
            <v>45875</v>
          </cell>
          <cell r="Z883" t="str">
            <v/>
          </cell>
          <cell r="AA883">
            <v>45875</v>
          </cell>
          <cell r="AB883" t="str">
            <v>Jayme Truong Aug 6, 2025 3:15 PM</v>
          </cell>
          <cell r="AC883">
            <v>45876</v>
          </cell>
          <cell r="AD883">
            <v>45890</v>
          </cell>
          <cell r="AE883" t="str">
            <v/>
          </cell>
          <cell r="AF883" t="str">
            <v/>
          </cell>
          <cell r="AG883" t="str">
            <v/>
          </cell>
          <cell r="AH883" t="str">
            <v>Heart of America Aston LLC</v>
          </cell>
          <cell r="AI883">
            <v>45938</v>
          </cell>
        </row>
        <row r="884">
          <cell r="C884">
            <v>86656</v>
          </cell>
          <cell r="D884">
            <v>45975</v>
          </cell>
          <cell r="E884" t="str">
            <v/>
          </cell>
          <cell r="F884" t="str">
            <v>Change Order</v>
          </cell>
          <cell r="G884" t="str">
            <v>Invoice Sent</v>
          </cell>
          <cell r="H884" t="str">
            <v>No</v>
          </cell>
          <cell r="I884" t="str">
            <v>Trevor Benthagen, Efrain Zarate</v>
          </cell>
          <cell r="J884" t="str">
            <v/>
          </cell>
          <cell r="K884" t="str">
            <v>https://panda-windows-and-doors.monday.com/protected_static/21046287/resources/2341747792/Q#86656 SIGNED SALES ORDER.pdf</v>
          </cell>
          <cell r="L884" t="str">
            <v>https://panda-windows-and-doors.monday.com/protected_static/21046287/resources/2341747712/Q#86656 SIGNED BACKER.pdf</v>
          </cell>
          <cell r="M884" t="str">
            <v/>
          </cell>
          <cell r="N884" t="str">
            <v>https://panda-windows-and-doors.monday.com/protected_static/21046287/resources/2367951132/Invoice 15642.pdf, https://panda-windows-and-doors.monday.com/protected_static/21046287/resources/2367972978/Estimate 9956.pdf, https://panda-windows-and-doors.monday.com/protected_static/21046287/resources/2563659000/86656 deposit invoice CO 1.pdf</v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>Pending Deposit</v>
          </cell>
          <cell r="T884" t="str">
            <v/>
          </cell>
          <cell r="U884">
            <v>113144</v>
          </cell>
          <cell r="V884">
            <v>250775.82</v>
          </cell>
          <cell r="W884" t="str">
            <v>Sean Lopez Dec 9, 2025 12:53 PM</v>
          </cell>
          <cell r="X884" t="str">
            <v>2025-07-08 13:45</v>
          </cell>
          <cell r="Y884">
            <v>45877</v>
          </cell>
          <cell r="Z884" t="str">
            <v/>
          </cell>
          <cell r="AA884">
            <v>45877</v>
          </cell>
          <cell r="AB884" t="str">
            <v>Jayme Truong Aug 8, 2025 12:21 PM</v>
          </cell>
          <cell r="AC884">
            <v>45877</v>
          </cell>
          <cell r="AD884">
            <v>45960</v>
          </cell>
          <cell r="AE884" t="str">
            <v/>
          </cell>
          <cell r="AF884" t="str">
            <v/>
          </cell>
          <cell r="AG884" t="str">
            <v/>
          </cell>
          <cell r="AH884" t="str">
            <v>Kierstynn Salinger</v>
          </cell>
          <cell r="AI884">
            <v>45975</v>
          </cell>
        </row>
        <row r="885">
          <cell r="C885">
            <v>87599</v>
          </cell>
          <cell r="D885">
            <v>46044</v>
          </cell>
          <cell r="E885" t="str">
            <v/>
          </cell>
          <cell r="F885" t="str">
            <v>Change Order</v>
          </cell>
          <cell r="G885" t="str">
            <v>Invoice Sent</v>
          </cell>
          <cell r="H885" t="str">
            <v>No</v>
          </cell>
          <cell r="I885" t="str">
            <v>Efrain Zarate, Trevor Benthagen</v>
          </cell>
          <cell r="J885" t="str">
            <v/>
          </cell>
          <cell r="K885" t="str">
            <v>https://panda-windows-and-doors.monday.com/protected_static/21046287/resources/2532192836/BP-70M55_20251104_100553.pdf</v>
          </cell>
          <cell r="L885" t="str">
            <v>https://panda-windows-and-doors.monday.com/protected_static/21046287/resources/2532192437/BP-70M55_20251104_100603.pdf</v>
          </cell>
          <cell r="M885" t="str">
            <v/>
          </cell>
          <cell r="N885" t="str">
            <v>https://panda-windows-and-doors.monday.com/protected_static/21046287/resources/2532833406/87599 Deposit Invoice.pdf</v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>Pending Deposit</v>
          </cell>
          <cell r="T885" t="str">
            <v/>
          </cell>
          <cell r="U885">
            <v>60832</v>
          </cell>
          <cell r="V885">
            <v>71020.27</v>
          </cell>
          <cell r="W885" t="str">
            <v>George Bails Mar 4, 2026 9:16 AM</v>
          </cell>
          <cell r="X885" t="str">
            <v>2025-11-04 00:00</v>
          </cell>
          <cell r="Y885">
            <v>45965</v>
          </cell>
          <cell r="Z885" t="str">
            <v/>
          </cell>
          <cell r="AA885">
            <v>45965</v>
          </cell>
          <cell r="AB885" t="str">
            <v>Annalene Conde Nov 4, 2025 11:15 AM</v>
          </cell>
          <cell r="AC885">
            <v>45965</v>
          </cell>
          <cell r="AD885" t="str">
            <v/>
          </cell>
          <cell r="AE885" t="str">
            <v/>
          </cell>
          <cell r="AF885" t="str">
            <v/>
          </cell>
          <cell r="AG885" t="str">
            <v/>
          </cell>
          <cell r="AH885" t="str">
            <v>Sighlines</v>
          </cell>
          <cell r="AI885">
            <v>46044</v>
          </cell>
        </row>
        <row r="886">
          <cell r="C886">
            <v>88750</v>
          </cell>
          <cell r="D886">
            <v>46098</v>
          </cell>
          <cell r="E886" t="str">
            <v/>
          </cell>
          <cell r="F886" t="str">
            <v>Change Order</v>
          </cell>
          <cell r="G886" t="str">
            <v>Invoice Sent</v>
          </cell>
          <cell r="H886" t="str">
            <v>No</v>
          </cell>
          <cell r="I886" t="str">
            <v>Efrain Zarate</v>
          </cell>
          <cell r="J886" t="str">
            <v/>
          </cell>
          <cell r="K886" t="str">
            <v>https://panda-windows-and-doors.monday.com/protected_static/21046287/resources/2765767924/QQ#88750 Russell Dentistry 02162026.pdf</v>
          </cell>
          <cell r="L886" t="str">
            <v>https://panda-windows-and-doors.monday.com/protected_static/21046287/resources/2765773128/BP-70M55_20260217_084905.pdf</v>
          </cell>
          <cell r="M886" t="str">
            <v/>
          </cell>
          <cell r="N886" t="str">
            <v>https://panda-windows-and-doors.monday.com/protected_static/21046287/resources/2760333260/88750 Deposit Invoice.pdf, https://panda-windows-and-doors.monday.com/protected_static/21046287/resources/2766002166/88750 Deposit Invoice REVISED.pdf, https://panda-windows-and-doors.monday.com/protected_static/21046287/resources/2834890299/88750 Revised Depoist Invoice CO 1.pdf</v>
          </cell>
          <cell r="O886" t="str">
            <v/>
          </cell>
          <cell r="P886" t="str">
            <v/>
          </cell>
          <cell r="Q886" t="str">
            <v/>
          </cell>
          <cell r="R886" t="str">
            <v>https://panda-windows-and-doors.monday.com/protected_static/21046287/resources/2952074162/Q88750_TS30_TS68 BOM.pdf, https://panda-windows-and-doors.monday.com/protected_static/21046287/resources/2952074298/Q88750_TS30_TS68 CUT LIST.pdf, https://panda-windows-and-doors.monday.com/protected_static/21046287/resources/2952074219/Q88750_TS30_TS68 MAT LIST.pdf, https://panda-windows-and-doors.monday.com/protected_static/21046287/resources/2952074334/Q88750_TS30_TS68 OPT COMBINED.pdf</v>
          </cell>
          <cell r="S886" t="str">
            <v>In Production</v>
          </cell>
          <cell r="T886" t="str">
            <v/>
          </cell>
          <cell r="U886">
            <v>44798</v>
          </cell>
          <cell r="V886">
            <v>44798</v>
          </cell>
          <cell r="W886" t="str">
            <v>Noya Shoshan May 8, 2026 2:08 PM</v>
          </cell>
          <cell r="X886" t="str">
            <v>2026-01-22 00:00</v>
          </cell>
          <cell r="Y886">
            <v>46066</v>
          </cell>
          <cell r="Z886" t="str">
            <v/>
          </cell>
          <cell r="AA886">
            <v>46066</v>
          </cell>
          <cell r="AB886" t="str">
            <v>Annalene Conde Feb 13, 2026 10:56 AM</v>
          </cell>
          <cell r="AC886">
            <v>46066</v>
          </cell>
          <cell r="AD886">
            <v>46093</v>
          </cell>
          <cell r="AE886" t="str">
            <v/>
          </cell>
          <cell r="AF886" t="str">
            <v/>
          </cell>
          <cell r="AG886" t="str">
            <v/>
          </cell>
          <cell r="AH886" t="str">
            <v>Sargent Contruction</v>
          </cell>
          <cell r="AI886">
            <v>46098</v>
          </cell>
        </row>
        <row r="887">
          <cell r="C887">
            <v>87145</v>
          </cell>
          <cell r="D887">
            <v>46063</v>
          </cell>
          <cell r="E887" t="str">
            <v/>
          </cell>
          <cell r="F887" t="str">
            <v>Change Order</v>
          </cell>
          <cell r="G887" t="str">
            <v>Invoice Sent</v>
          </cell>
          <cell r="H887" t="str">
            <v>No</v>
          </cell>
          <cell r="I887" t="str">
            <v>Sean Torre</v>
          </cell>
          <cell r="J887" t="str">
            <v/>
          </cell>
          <cell r="K887" t="str">
            <v>https://panda-windows-and-doors.monday.com/protected_static/21046287/resources/2528892136/2025-11-03_McKnight Dr 102_QQ#87145 102 McKnight Dr_Panda Phase 1_X.pdf</v>
          </cell>
          <cell r="L887" t="str">
            <v>https://panda-windows-and-doors.monday.com/protected_static/21046287/resources/2528891345/Q#87145 - 102 McKnight Dr - Phase One.pdf</v>
          </cell>
          <cell r="M887" t="str">
            <v/>
          </cell>
          <cell r="N887" t="str">
            <v>https://panda-windows-and-doors.monday.com/protected_static/21046287/resources/2534957936/87145 Deposit Invoice.pdf, https://panda-windows-and-doors.monday.com/protected_static/21046287/resources/2858186782/87145 Deposit Invoice CO 1.pdf</v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>In Production</v>
          </cell>
          <cell r="T887" t="str">
            <v/>
          </cell>
          <cell r="U887">
            <v>100990</v>
          </cell>
          <cell r="V887">
            <v>100990</v>
          </cell>
          <cell r="W887" t="str">
            <v>Elizabet Lopez Mar 26, 2026 2:48 PM</v>
          </cell>
          <cell r="X887" t="str">
            <v>2025-11-03 00:00</v>
          </cell>
          <cell r="Y887">
            <v>45964</v>
          </cell>
          <cell r="Z887" t="str">
            <v/>
          </cell>
          <cell r="AA887">
            <v>45964</v>
          </cell>
          <cell r="AB887" t="str">
            <v>Annalene Conde Nov 3, 2025 11:00 AM</v>
          </cell>
          <cell r="AC887">
            <v>45966</v>
          </cell>
          <cell r="AD887">
            <v>45982</v>
          </cell>
          <cell r="AE887" t="str">
            <v/>
          </cell>
          <cell r="AF887" t="str">
            <v/>
          </cell>
          <cell r="AG887" t="str">
            <v/>
          </cell>
          <cell r="AH887" t="str">
            <v>102 McKnight Dr - Phase One</v>
          </cell>
          <cell r="AI887">
            <v>46063</v>
          </cell>
        </row>
        <row r="888">
          <cell r="C888">
            <v>89296</v>
          </cell>
          <cell r="D888">
            <v>46140</v>
          </cell>
          <cell r="E888" t="str">
            <v/>
          </cell>
          <cell r="F888" t="str">
            <v>Change Order</v>
          </cell>
          <cell r="G888" t="str">
            <v>Invoice Sent</v>
          </cell>
          <cell r="H888" t="str">
            <v>No</v>
          </cell>
          <cell r="I888" t="str">
            <v>Sean Torre</v>
          </cell>
          <cell r="J888" t="str">
            <v/>
          </cell>
          <cell r="K888" t="str">
            <v>https://panda-windows-and-doors.monday.com/protected_static/21046287/resources/2834810361/QQ #89296 - Shueck Pool House - 03132026 (1) (2).pdf</v>
          </cell>
          <cell r="L888" t="str">
            <v>https://panda-windows-and-doors.monday.com/protected_static/21046287/resources/2834810258/CamScanner 3-17-26 08.05.pdf</v>
          </cell>
          <cell r="M888" t="str">
            <v/>
          </cell>
          <cell r="N888" t="str">
            <v>https://panda-windows-and-doors.monday.com/protected_static/21046287/resources/2836438304/89296 Deposit Payment.pdf, https://panda-windows-and-doors.monday.com/protected_static/21046287/resources/2936080264/89296 Deposit Invoice CO 1.pdf</v>
          </cell>
          <cell r="O888" t="str">
            <v/>
          </cell>
          <cell r="P888" t="str">
            <v/>
          </cell>
          <cell r="Q888" t="str">
            <v/>
          </cell>
          <cell r="R888" t="str">
            <v>https://panda-windows-and-doors.monday.com/protected_static/21046287/resources/2980639527/MF 5319 Q89296 SHUECK POOL HOUSE - B.O.M.pdf, https://panda-windows-and-doors.monday.com/protected_static/21046287/resources/2980639576/MF 5319 Q89296 SHUECK POOL HOUSE - CUTLIST (GINERI).pdf, https://panda-windows-and-doors.monday.com/protected_static/21046287/resources/2980639581/MF 5319 Q89296 SHUECK POOL HOUSE - CUTLIST (MANUAL).pdf, https://panda-windows-and-doors.monday.com/protected_static/21046287/resources/2980639701/MF 5319 Q89296 SHUECK POOL HOUSE - OPT.pdf</v>
          </cell>
          <cell r="S888" t="str">
            <v>In Production</v>
          </cell>
          <cell r="T888" t="str">
            <v/>
          </cell>
          <cell r="U888">
            <v>109253</v>
          </cell>
          <cell r="V888">
            <v>115733</v>
          </cell>
          <cell r="W888" t="str">
            <v>Elizabet Lopez May 12, 2026 11:04 AM</v>
          </cell>
          <cell r="X888" t="str">
            <v>2026-03-17 00:00</v>
          </cell>
          <cell r="Y888">
            <v>46098</v>
          </cell>
          <cell r="Z888" t="str">
            <v/>
          </cell>
          <cell r="AA888">
            <v>46098</v>
          </cell>
          <cell r="AB888" t="str">
            <v>Annalene Conde Mar 17, 2026 9:07 AM</v>
          </cell>
          <cell r="AC888">
            <v>46098</v>
          </cell>
          <cell r="AD888">
            <v>46101</v>
          </cell>
          <cell r="AE888" t="str">
            <v/>
          </cell>
          <cell r="AF888" t="str">
            <v/>
          </cell>
          <cell r="AG888" t="str">
            <v/>
          </cell>
          <cell r="AH888" t="str">
            <v>Shueck Pool House</v>
          </cell>
          <cell r="AI888">
            <v>46140</v>
          </cell>
        </row>
        <row r="889">
          <cell r="C889">
            <v>88012</v>
          </cell>
          <cell r="D889">
            <v>46154</v>
          </cell>
          <cell r="E889" t="str">
            <v/>
          </cell>
          <cell r="F889" t="str">
            <v>Change Order</v>
          </cell>
          <cell r="G889" t="str">
            <v>Invoice Sent</v>
          </cell>
          <cell r="H889" t="str">
            <v>No</v>
          </cell>
          <cell r="I889" t="str">
            <v>Jameson Dahn</v>
          </cell>
          <cell r="J889" t="str">
            <v/>
          </cell>
          <cell r="K889" t="str">
            <v>https://panda-windows-and-doors.monday.com/protected_static/21046287/resources/2800451846/Signed - QQ #88012 - 2100 Crystal.pdf</v>
          </cell>
          <cell r="L889" t="str">
            <v>https://panda-windows-and-doors.monday.com/protected_static/21046287/resources/2800384368/signed backer Q88012 - 2100 crystal.pdf</v>
          </cell>
          <cell r="M889" t="str">
            <v/>
          </cell>
          <cell r="N889" t="str">
            <v>https://panda-windows-and-doors.monday.com/protected_static/21046287/resources/2965767764/88012 Deposit Invoice.pdf, https://panda-windows-and-doors.monday.com/protected_static/21046287/resources/2967919087/88012 Deposit Invoice CO 1.pdf</v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>Pending Deposit</v>
          </cell>
          <cell r="T889" t="str">
            <v/>
          </cell>
          <cell r="U889">
            <v>25461</v>
          </cell>
          <cell r="V889" t="str">
            <v/>
          </cell>
          <cell r="W889" t="str">
            <v>Sean Lopez Jun 2, 2026 11:28 AM</v>
          </cell>
          <cell r="X889" t="str">
            <v>2025-10-31 08:29</v>
          </cell>
          <cell r="Y889">
            <v>46154</v>
          </cell>
          <cell r="Z889" t="str">
            <v/>
          </cell>
          <cell r="AA889">
            <v>46154</v>
          </cell>
          <cell r="AB889" t="str">
            <v>Amit Iarochevsky May 12, 2026 1:59 PM</v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  <cell r="AG889" t="str">
            <v/>
          </cell>
          <cell r="AH889" t="str">
            <v>Glass &amp; Metals</v>
          </cell>
          <cell r="AI889">
            <v>46154</v>
          </cell>
        </row>
        <row r="890">
          <cell r="C890">
            <v>86960</v>
          </cell>
          <cell r="D890">
            <v>46162</v>
          </cell>
          <cell r="E890" t="str">
            <v/>
          </cell>
          <cell r="F890" t="str">
            <v>Change Order</v>
          </cell>
          <cell r="G890" t="str">
            <v>Invoice Sent</v>
          </cell>
          <cell r="H890" t="str">
            <v>No</v>
          </cell>
          <cell r="I890" t="str">
            <v>Trevor Benthagen, Efrain Zarate</v>
          </cell>
          <cell r="J890" t="str">
            <v/>
          </cell>
          <cell r="K890" t="str">
            <v>https://panda-windows-and-doors.monday.com/protected_static/21046287/resources/2515189092/smtp.office365.com_20251027_140631.pdf</v>
          </cell>
          <cell r="L890" t="str">
            <v>https://panda-windows-and-doors.monday.com/protected_static/21046287/resources/2515189262/smtp.office365.com_20251027_140618.pdf</v>
          </cell>
          <cell r="M890" t="str">
            <v/>
          </cell>
          <cell r="N890" t="str">
            <v>https://panda-windows-and-doors.monday.com/protected_static/21046287/resources/2515830029/86960 Deposit invoice.pdf, https://panda-windows-and-doors.monday.com/protected_static/21046287/resources/2985073408/86960 Deposit Invoice CO 1.pdf</v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>Sent to Engineering</v>
          </cell>
          <cell r="T890" t="str">
            <v/>
          </cell>
          <cell r="U890">
            <v>17384</v>
          </cell>
          <cell r="V890">
            <v>21718</v>
          </cell>
          <cell r="W890" t="str">
            <v>Elizabet Lopez May 20, 2026 12:59 PM</v>
          </cell>
          <cell r="X890" t="str">
            <v>2025-10-27 00:00</v>
          </cell>
          <cell r="Y890">
            <v>45957</v>
          </cell>
          <cell r="Z890" t="str">
            <v/>
          </cell>
          <cell r="AA890">
            <v>45958</v>
          </cell>
          <cell r="AB890" t="str">
            <v>Annalene Conde Oct 27, 2025 4:25 PM</v>
          </cell>
          <cell r="AC890">
            <v>45958</v>
          </cell>
          <cell r="AD890" t="str">
            <v/>
          </cell>
          <cell r="AE890" t="str">
            <v/>
          </cell>
          <cell r="AF890" t="str">
            <v/>
          </cell>
          <cell r="AG890" t="str">
            <v/>
          </cell>
          <cell r="AH890" t="str">
            <v>Element 13</v>
          </cell>
          <cell r="AI890">
            <v>46162</v>
          </cell>
        </row>
        <row r="891">
          <cell r="C891">
            <v>88415</v>
          </cell>
          <cell r="D891">
            <v>46176</v>
          </cell>
          <cell r="E891" t="str">
            <v/>
          </cell>
          <cell r="F891" t="str">
            <v>Change Order</v>
          </cell>
          <cell r="G891" t="str">
            <v>Invoice Sent</v>
          </cell>
          <cell r="H891" t="str">
            <v>No</v>
          </cell>
          <cell r="I891" t="str">
            <v>Efrain Zarate</v>
          </cell>
          <cell r="J891" t="str">
            <v/>
          </cell>
          <cell r="K891" t="str">
            <v>https://panda-windows-and-doors.monday.com/protected_static/21046287/resources/2854925494/Signed Panda Doors Proposal - Lake Chelan EMS.PDF</v>
          </cell>
          <cell r="L891" t="str">
            <v>https://panda-windows-and-doors.monday.com/protected_static/21046287/resources/2854926922/BP-70M55_20260325_132206.pdf</v>
          </cell>
          <cell r="M891" t="str">
            <v/>
          </cell>
          <cell r="N891" t="str">
            <v>https://panda-windows-and-doors.monday.com/protected_static/21046287/resources/2855196332/88415 Deposit INvoice 25%.pdf</v>
          </cell>
          <cell r="O891" t="str">
            <v/>
          </cell>
          <cell r="P891" t="str">
            <v/>
          </cell>
          <cell r="Q891" t="str">
            <v/>
          </cell>
          <cell r="R891" t="str">
            <v>https://panda-windows-and-doors.monday.com/protected_static/21046287/resources/2961697922/Q88415_LTS30 BOM.pdf, https://panda-windows-and-doors.monday.com/protected_static/21046287/resources/2961697944/Q88415_LTS30 CUT LIST.pdf, https://panda-windows-and-doors.monday.com/protected_static/21046287/resources/2961697948/Q88415_LTS30 MAT LIST.pdf, https://panda-windows-and-doors.monday.com/protected_static/21046287/resources/2961697935/Q88415_LTS30 OPT MANUAL.pdf, https://panda-windows-and-doors.monday.com/protected_static/21046287/resources/2961697972/Q88415_LTS30 OPT.pdf</v>
          </cell>
          <cell r="S891" t="str">
            <v>In Production</v>
          </cell>
          <cell r="T891" t="str">
            <v/>
          </cell>
          <cell r="U891">
            <v>64984</v>
          </cell>
          <cell r="V891">
            <v>66498</v>
          </cell>
          <cell r="W891" t="str">
            <v>Sean Lopez Jun 5, 2026 12:25 PM</v>
          </cell>
          <cell r="X891" t="str">
            <v>2026-02-10 15:46</v>
          </cell>
          <cell r="Y891">
            <v>46106</v>
          </cell>
          <cell r="Z891" t="str">
            <v/>
          </cell>
          <cell r="AA891">
            <v>46106</v>
          </cell>
          <cell r="AB891" t="str">
            <v>Annalene Conde Mar 25, 2026 3:17 PM</v>
          </cell>
          <cell r="AC891">
            <v>46106</v>
          </cell>
          <cell r="AD891">
            <v>46112</v>
          </cell>
          <cell r="AE891" t="str">
            <v/>
          </cell>
          <cell r="AF891" t="str">
            <v/>
          </cell>
          <cell r="AG891" t="str">
            <v/>
          </cell>
          <cell r="AH891" t="str">
            <v>Roxie Glass</v>
          </cell>
          <cell r="AI891">
            <v>46176</v>
          </cell>
        </row>
        <row r="892">
          <cell r="C892">
            <v>88206</v>
          </cell>
          <cell r="D892">
            <v>46182</v>
          </cell>
          <cell r="E892" t="str">
            <v/>
          </cell>
          <cell r="F892" t="str">
            <v>Change Order</v>
          </cell>
          <cell r="G892" t="str">
            <v>Invoice Sent</v>
          </cell>
          <cell r="H892" t="str">
            <v>No</v>
          </cell>
          <cell r="I892" t="str">
            <v>Derrick McCall</v>
          </cell>
          <cell r="J892" t="str">
            <v/>
          </cell>
          <cell r="K892" t="str">
            <v>https://panda-windows-and-doors.monday.com/protected_static/21046287/resources/2675158436/Panda QQ#88206 Racquet Club 12092025_Signed.pdf</v>
          </cell>
          <cell r="L892" t="str">
            <v>https://panda-windows-and-doors.monday.com/protected_static/21046287/resources/2675156398/BP-70M55_20260112_090222.pdf</v>
          </cell>
          <cell r="M892" t="str">
            <v/>
          </cell>
          <cell r="N892" t="str">
            <v>https://panda-windows-and-doors.monday.com/protected_static/21046287/resources/2676008506/88206 Deposit Invoice.pdf, https://panda-windows-and-doors.monday.com/protected_static/21046287/resources/3032282891/88206 Deposit Invoice CO 1.pdf</v>
          </cell>
          <cell r="O892" t="str">
            <v/>
          </cell>
          <cell r="P892" t="str">
            <v/>
          </cell>
          <cell r="Q892" t="str">
            <v/>
          </cell>
          <cell r="R892" t="str">
            <v>https://panda-windows-and-doors.monday.com/protected_static/21046287/resources/3029237364/Q88206 RACQUET CLUB - B.O.M.pdf, https://panda-windows-and-doors.monday.com/protected_static/21046287/resources/3029237548/Q88206 RACQUET CLUB - CUTLIST (MANUAL).pdf</v>
          </cell>
          <cell r="S892" t="str">
            <v>In Production</v>
          </cell>
          <cell r="T892" t="str">
            <v/>
          </cell>
          <cell r="U892">
            <v>42008</v>
          </cell>
          <cell r="V892">
            <v>49123.07</v>
          </cell>
          <cell r="W892" t="str">
            <v>Elizabet Lopez Jun 9, 2026 3:44 PM</v>
          </cell>
          <cell r="X892" t="str">
            <v>2025-11-14 00:00</v>
          </cell>
          <cell r="Y892">
            <v>46034</v>
          </cell>
          <cell r="Z892" t="str">
            <v/>
          </cell>
          <cell r="AA892">
            <v>46034</v>
          </cell>
          <cell r="AB892" t="str">
            <v>Annalene Conde Jan 12, 2026 10:03 AM</v>
          </cell>
          <cell r="AC892">
            <v>46034</v>
          </cell>
          <cell r="AD892">
            <v>46050</v>
          </cell>
          <cell r="AE892" t="str">
            <v/>
          </cell>
          <cell r="AF892" t="str">
            <v/>
          </cell>
          <cell r="AG892" t="str">
            <v/>
          </cell>
          <cell r="AH892" t="str">
            <v>SoCal Glass</v>
          </cell>
          <cell r="AI892">
            <v>46182</v>
          </cell>
        </row>
        <row r="893">
          <cell r="C893">
            <v>83550</v>
          </cell>
          <cell r="D893">
            <v>46183</v>
          </cell>
          <cell r="E893" t="str">
            <v/>
          </cell>
          <cell r="F893" t="str">
            <v>Change Order</v>
          </cell>
          <cell r="G893" t="str">
            <v>Invoice Sent</v>
          </cell>
          <cell r="H893" t="str">
            <v>No</v>
          </cell>
          <cell r="I893" t="str">
            <v>Derrick McCall</v>
          </cell>
          <cell r="J893" t="str">
            <v/>
          </cell>
          <cell r="K893" t="str">
            <v>https://panda-windows-and-doors.monday.com/protected_static/21046287/resources/2803887104/Signed saless order.pdf</v>
          </cell>
          <cell r="L893" t="str">
            <v>https://panda-windows-and-doors.monday.com/protected_static/21046287/resources/2803885713/BP-70M55_20260304_142411.pdf</v>
          </cell>
          <cell r="M893" t="str">
            <v/>
          </cell>
          <cell r="N893" t="str">
            <v>https://panda-windows-and-doors.monday.com/protected_static/21046287/resources/2804035070/83550 - Deposit Invoice.pdf, https://panda-windows-and-doors.monday.com/protected_static/21046287/resources/2806480580/83550 - Deposit Invoice (Updated SO).pdf, https://panda-windows-and-doors.monday.com/protected_static/21046287/resources/3035159825/83550 Deposit Invoice CO 1.pdf</v>
          </cell>
          <cell r="O893" t="str">
            <v/>
          </cell>
          <cell r="P893" t="str">
            <v/>
          </cell>
          <cell r="Q893" t="str">
            <v/>
          </cell>
          <cell r="R893" t="str">
            <v>https://panda-windows-and-doors.monday.com/protected_static/21046287/resources/3020836946/Q83550 HAPUNA VILLA - B.O.M.pdf, https://panda-windows-and-doors.monday.com/protected_static/21046287/resources/3020837223/Q83550 HAPUNA VILLA - CUTLIST (MANUAL).pdf</v>
          </cell>
          <cell r="S893" t="str">
            <v>In Production</v>
          </cell>
          <cell r="T893" t="str">
            <v/>
          </cell>
          <cell r="U893">
            <v>17904</v>
          </cell>
          <cell r="V893">
            <v>22194</v>
          </cell>
          <cell r="W893" t="str">
            <v>Elizabet Lopez Jun 10, 2026 3:48 PM</v>
          </cell>
          <cell r="X893" t="str">
            <v>2025-01-21 17:03</v>
          </cell>
          <cell r="Y893">
            <v>46085</v>
          </cell>
          <cell r="Z893" t="str">
            <v/>
          </cell>
          <cell r="AA893">
            <v>46085</v>
          </cell>
          <cell r="AB893" t="str">
            <v>Annalene Conde Mar 4, 2026 3:25 PM</v>
          </cell>
          <cell r="AC893">
            <v>46085</v>
          </cell>
          <cell r="AD893">
            <v>46100</v>
          </cell>
          <cell r="AE893" t="str">
            <v/>
          </cell>
          <cell r="AF893" t="str">
            <v/>
          </cell>
          <cell r="AG893" t="str">
            <v/>
          </cell>
          <cell r="AH893" t="str">
            <v>Maryl Construction</v>
          </cell>
          <cell r="AI893">
            <v>46183</v>
          </cell>
        </row>
        <row r="894">
          <cell r="C894" t="str">
            <v>82577-R</v>
          </cell>
          <cell r="D894" t="str">
            <v/>
          </cell>
          <cell r="E894" t="str">
            <v/>
          </cell>
          <cell r="F894" t="str">
            <v>Lowe's Pending</v>
          </cell>
          <cell r="G894" t="str">
            <v>Lowe's Pending Shipment</v>
          </cell>
          <cell r="H894" t="str">
            <v>No</v>
          </cell>
          <cell r="I894" t="str">
            <v>Spencer Anderson</v>
          </cell>
          <cell r="J894" t="str">
            <v/>
          </cell>
          <cell r="K894" t="str">
            <v>https://panda-windows-and-doors.monday.com/protected_static/21046287/resources/1886162743/82577 sales order.pdf, https://panda-windows-and-doors.monday.com/protected_static/21046287/resources/2228071125/82577 sales order.pdf, https://panda-windows-and-doors.monday.com/protected_static/21046287/resources/2678582038/82577 sales order.pdf</v>
          </cell>
          <cell r="L894" t="str">
            <v>https://panda-windows-and-doors.monday.com/protected_static/21046287/resources/2111702597/Copy of Lowes #0792_Folding  French Doors CRATING  SHIPPING - 02182025.pdf, https://panda-windows-and-doors.monday.com/protected_static/21046287/resources/2228071163/Copy of Lowes #0792_Folding  French Doors CRATING  SHIPPING - 02182025.pdf, https://panda-windows-and-doors.monday.com/protected_static/21046287/resources/2678582076/Copy of Lowes #0792_Folding  French Doors CRATING  SHIPPING - 02182025.pdf</v>
          </cell>
          <cell r="M894" t="str">
            <v/>
          </cell>
          <cell r="N894" t="str">
            <v>https://panda-windows-and-doors.monday.com/protected_static/21046287/resources/1896330638/82577 DEPOSIT INVOICE.pdf</v>
          </cell>
          <cell r="O894" t="str">
            <v>Jason Ridge</v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>
            <v>0</v>
          </cell>
          <cell r="V894">
            <v>49327</v>
          </cell>
          <cell r="W894" t="str">
            <v>Jayme Truong Aug 5, 2025 5:26 PM</v>
          </cell>
          <cell r="X894" t="str">
            <v/>
          </cell>
          <cell r="Y894">
            <v>45674</v>
          </cell>
          <cell r="Z894" t="str">
            <v/>
          </cell>
          <cell r="AA894">
            <v>45775</v>
          </cell>
          <cell r="AB894" t="str">
            <v>Jayme Truong Jan 9, 2025 9:53 AM</v>
          </cell>
          <cell r="AC894">
            <v>45775</v>
          </cell>
          <cell r="AD894" t="str">
            <v/>
          </cell>
          <cell r="AE894" t="str">
            <v/>
          </cell>
          <cell r="AF894" t="str">
            <v/>
          </cell>
          <cell r="AG894" t="str">
            <v/>
          </cell>
          <cell r="AH894" t="str">
            <v>Jason Ridge, Jason Ridge, Jason Ridge</v>
          </cell>
          <cell r="AI894" t="str">
            <v/>
          </cell>
        </row>
        <row r="895">
          <cell r="C895">
            <v>81492</v>
          </cell>
          <cell r="D895" t="str">
            <v/>
          </cell>
          <cell r="E895" t="str">
            <v/>
          </cell>
          <cell r="F895" t="str">
            <v>Deposit</v>
          </cell>
          <cell r="G895" t="str">
            <v>25% Received</v>
          </cell>
          <cell r="H895" t="str">
            <v>No</v>
          </cell>
          <cell r="I895" t="str">
            <v>Troy Kite</v>
          </cell>
          <cell r="J895" t="str">
            <v/>
          </cell>
          <cell r="K895" t="str">
            <v>https://panda-windows-and-doors.monday.com/protected_static/21046287/resources/2205008397/81492 Mitchell Elementary Signed Proposal.pdf</v>
          </cell>
          <cell r="L895" t="str">
            <v>https://panda-windows-and-doors.monday.com/protected_static/21046287/resources/2205008832/81492 Signed Backer  Mitchell Elementray.pdf</v>
          </cell>
          <cell r="M895" t="str">
            <v/>
          </cell>
          <cell r="N895" t="str">
            <v>https://panda-windows-and-doors.monday.com/protected_static/21046287/resources/2322420937/81492-Deposit Invoice.pdf</v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>
            <v>114974</v>
          </cell>
          <cell r="V895">
            <v>128580.82</v>
          </cell>
          <cell r="W895" t="str">
            <v>Annalene Conde Oct 8, 2025 8:28 AM</v>
          </cell>
          <cell r="X895" t="str">
            <v>2024-08-16 00:00</v>
          </cell>
          <cell r="Y895">
            <v>45821</v>
          </cell>
          <cell r="Z895" t="str">
            <v/>
          </cell>
          <cell r="AA895">
            <v>45821</v>
          </cell>
          <cell r="AB895" t="str">
            <v>Jayme Truong Jun 13, 2025 11:17 AM</v>
          </cell>
          <cell r="AC895">
            <v>45821</v>
          </cell>
          <cell r="AD895" t="str">
            <v/>
          </cell>
          <cell r="AE895" t="str">
            <v/>
          </cell>
          <cell r="AF895" t="str">
            <v/>
          </cell>
          <cell r="AG895" t="str">
            <v/>
          </cell>
          <cell r="AH895" t="str">
            <v>Environmental Glass Inc.</v>
          </cell>
          <cell r="AI895" t="str">
            <v/>
          </cell>
        </row>
        <row r="896">
          <cell r="C896">
            <v>84161</v>
          </cell>
          <cell r="D896" t="str">
            <v/>
          </cell>
          <cell r="E896" t="str">
            <v/>
          </cell>
          <cell r="F896" t="str">
            <v>Deposit</v>
          </cell>
          <cell r="G896" t="str">
            <v>10% Received</v>
          </cell>
          <cell r="H896" t="str">
            <v>No</v>
          </cell>
          <cell r="I896" t="str">
            <v>Troy Kite, Stefan Monetta</v>
          </cell>
          <cell r="J896" t="str">
            <v/>
          </cell>
          <cell r="K896" t="str">
            <v>https://panda-windows-and-doors.monday.com/protected_static/21046287/resources/2457785772/QQ#84161 Ann Arbor Thurston 10-1-2025 - EGI Signed.pdf</v>
          </cell>
          <cell r="L896" t="str">
            <v>https://panda-windows-and-doors.monday.com/protected_static/21046287/resources/2457784763/smtp.office365.com_20251001_115826.pdf</v>
          </cell>
          <cell r="M896" t="str">
            <v/>
          </cell>
          <cell r="N896" t="str">
            <v>https://panda-windows-and-doors.monday.com/protected_static/21046287/resources/2459671105/84161 Deposit Invoice.pdf</v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>Sent to Engineering</v>
          </cell>
          <cell r="T896" t="str">
            <v/>
          </cell>
          <cell r="U896">
            <v>88344</v>
          </cell>
          <cell r="V896">
            <v>286231.38</v>
          </cell>
          <cell r="W896" t="str">
            <v>Elizabet Lopez Jun 2, 2026 10:03 AM</v>
          </cell>
          <cell r="X896" t="str">
            <v>2024-09-24 00:00</v>
          </cell>
          <cell r="Y896">
            <v>45931</v>
          </cell>
          <cell r="Z896" t="str">
            <v/>
          </cell>
          <cell r="AA896">
            <v>45931</v>
          </cell>
          <cell r="AB896" t="str">
            <v>Annalene Conde Oct 1, 2025 2:59 PM</v>
          </cell>
          <cell r="AC896">
            <v>45932</v>
          </cell>
          <cell r="AD896" t="str">
            <v/>
          </cell>
          <cell r="AE896" t="str">
            <v/>
          </cell>
          <cell r="AF896" t="str">
            <v/>
          </cell>
          <cell r="AG896" t="str">
            <v/>
          </cell>
          <cell r="AH896" t="str">
            <v>Ryan Snabes</v>
          </cell>
          <cell r="AI896" t="str">
            <v/>
          </cell>
        </row>
        <row r="897">
          <cell r="C897">
            <v>88397</v>
          </cell>
          <cell r="D897" t="str">
            <v/>
          </cell>
          <cell r="E897" t="str">
            <v/>
          </cell>
          <cell r="F897" t="str">
            <v>Deposit</v>
          </cell>
          <cell r="G897" t="str">
            <v>25% Received</v>
          </cell>
          <cell r="H897" t="str">
            <v>No</v>
          </cell>
          <cell r="I897" t="str">
            <v>Stefan Monetta</v>
          </cell>
          <cell r="J897" t="str">
            <v/>
          </cell>
          <cell r="K897" t="str">
            <v>https://panda-windows-and-doors.monday.com/protected_static/21046287/resources/2753972832/QQ#88397 Bayshore Lane Caplow Signed Cost2.pdf</v>
          </cell>
          <cell r="L897" t="str">
            <v>https://panda-windows-and-doors.monday.com/protected_static/21046287/resources/2757277496/BP-70M55_20260212_144843.pdf</v>
          </cell>
          <cell r="M897" t="str">
            <v/>
          </cell>
          <cell r="N897" t="str">
            <v>https://panda-windows-and-doors.monday.com/protected_static/21046287/resources/2756938674/883979 Deposit Invoice REVISED.pdf</v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>Sent to Engineering</v>
          </cell>
          <cell r="T897" t="str">
            <v/>
          </cell>
          <cell r="U897">
            <v>118308.5</v>
          </cell>
          <cell r="V897">
            <v>120333</v>
          </cell>
          <cell r="W897" t="str">
            <v>Sean Lopez Feb 12, 2026 2:15 PM</v>
          </cell>
          <cell r="X897" t="str">
            <v>2026-02-05 00:00</v>
          </cell>
          <cell r="Y897">
            <v>46058</v>
          </cell>
          <cell r="Z897" t="str">
            <v/>
          </cell>
          <cell r="AA897">
            <v>46058</v>
          </cell>
          <cell r="AB897" t="str">
            <v>Annalene Conde Feb 5, 2026 1:35 PM</v>
          </cell>
          <cell r="AC897">
            <v>46065</v>
          </cell>
          <cell r="AD897" t="str">
            <v/>
          </cell>
          <cell r="AE897" t="str">
            <v/>
          </cell>
          <cell r="AF897" t="str">
            <v/>
          </cell>
          <cell r="AG897" t="str">
            <v/>
          </cell>
          <cell r="AH897" t="str">
            <v>Trendex Corp</v>
          </cell>
          <cell r="AI897" t="str">
            <v/>
          </cell>
        </row>
        <row r="898">
          <cell r="C898">
            <v>87450</v>
          </cell>
          <cell r="D898" t="str">
            <v/>
          </cell>
          <cell r="E898" t="str">
            <v/>
          </cell>
          <cell r="F898" t="str">
            <v>Deposit</v>
          </cell>
          <cell r="G898" t="str">
            <v>25% Received</v>
          </cell>
          <cell r="H898" t="str">
            <v>No</v>
          </cell>
          <cell r="I898" t="str">
            <v>Efrain Zarate, Luke Valles</v>
          </cell>
          <cell r="J898" t="str">
            <v/>
          </cell>
          <cell r="K898" t="str">
            <v>https://panda-windows-and-doors.monday.com/protected_static/21046287/resources/2759146036/2026 - 01.28 - Gal - Panda Sales Order - JFW APPROVED.pdf</v>
          </cell>
          <cell r="L898" t="str">
            <v>https://panda-windows-and-doors.monday.com/protected_static/21046287/resources/2759145216/BP-70M55_20260213_080616.pdf</v>
          </cell>
          <cell r="M898" t="str">
            <v/>
          </cell>
          <cell r="N898" t="str">
            <v>https://panda-windows-and-doors.monday.com/protected_static/21046287/resources/2760354774/87450 Deposit Invoice.pdf</v>
          </cell>
          <cell r="O898" t="str">
            <v/>
          </cell>
          <cell r="P898" t="str">
            <v/>
          </cell>
          <cell r="Q898" t="str">
            <v/>
          </cell>
          <cell r="R898" t="str">
            <v>https://panda-windows-and-doors.monday.com/protected_static/21046287/resources/2292056658/Turkel Design LLC. - Sales Tax Resale Certificate 2019 - MA.pdf, https://panda-windows-and-doors.monday.com/protected_static/21046287/resources/2292056662/Turkel Systems - Sales and use tax registracion cetificate effective 12-15-2023 - MA.pdf, https://panda-windows-and-doors.monday.com/protected_static/21046287/resources/2292056673/Turkel Design LLC - Resale Tax Certificate  2-17-2021 - MA.pdf, https://panda-windows-and-doors.monday.com/protected_static/21046287/resources/2292056663/Turkel Systems - Sales and use tax registracion cetificate effective 1-15-2021 - MA.pdf</v>
          </cell>
          <cell r="S898" t="str">
            <v>Sent to Engineering</v>
          </cell>
          <cell r="T898" t="str">
            <v/>
          </cell>
          <cell r="U898">
            <v>19796</v>
          </cell>
          <cell r="V898">
            <v>19795</v>
          </cell>
          <cell r="W898" t="str">
            <v>Trevor Benthagen Apr 7, 2026 3:36 PM</v>
          </cell>
          <cell r="X898" t="str">
            <v>2025-09-23 00:00</v>
          </cell>
          <cell r="Y898">
            <v>46066</v>
          </cell>
          <cell r="Z898" t="str">
            <v/>
          </cell>
          <cell r="AA898">
            <v>46066</v>
          </cell>
          <cell r="AB898" t="str">
            <v>Annalene Conde Feb 13, 2026 9:09 AM</v>
          </cell>
          <cell r="AC898">
            <v>46066</v>
          </cell>
          <cell r="AD898" t="str">
            <v/>
          </cell>
          <cell r="AE898" t="str">
            <v/>
          </cell>
          <cell r="AF898" t="str">
            <v/>
          </cell>
          <cell r="AG898" t="str">
            <v/>
          </cell>
          <cell r="AH898" t="str">
            <v>Turkel Design</v>
          </cell>
          <cell r="AI898" t="str">
            <v/>
          </cell>
        </row>
        <row r="899">
          <cell r="C899">
            <v>85777</v>
          </cell>
          <cell r="D899" t="str">
            <v/>
          </cell>
          <cell r="E899" t="str">
            <v/>
          </cell>
          <cell r="F899" t="str">
            <v>Deposit</v>
          </cell>
          <cell r="G899" t="str">
            <v>10% Received</v>
          </cell>
          <cell r="H899" t="str">
            <v>No</v>
          </cell>
          <cell r="I899" t="str">
            <v>Luke Valles, Jameson Dahn</v>
          </cell>
          <cell r="J899" t="str">
            <v/>
          </cell>
          <cell r="K899" t="str">
            <v>https://panda-windows-and-doors.monday.com/protected_static/21046287/resources/2795758157/85777 signed sales order.pdf</v>
          </cell>
          <cell r="L899" t="str">
            <v>https://panda-windows-and-doors.monday.com/protected_static/21046287/resources/2795769207/Adobe Scan Mar 2, 2026.pdf</v>
          </cell>
          <cell r="M899" t="str">
            <v/>
          </cell>
          <cell r="N899" t="str">
            <v>https://panda-windows-and-doors.monday.com/protected_static/21046287/resources/2799956459/85777 Deposit Invoice.pdf</v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>Sent to Engineering</v>
          </cell>
          <cell r="T899" t="str">
            <v/>
          </cell>
          <cell r="U899">
            <v>88845</v>
          </cell>
          <cell r="V899">
            <v>88844</v>
          </cell>
          <cell r="W899" t="str">
            <v>Luke Valles Mar 17, 2026 1:43 PM</v>
          </cell>
          <cell r="X899" t="str">
            <v>2026-03-02 00:00</v>
          </cell>
          <cell r="Y899">
            <v>46083</v>
          </cell>
          <cell r="Z899" t="str">
            <v/>
          </cell>
          <cell r="AA899">
            <v>46083</v>
          </cell>
          <cell r="AB899" t="str">
            <v>Annalene Conde Mar 2, 2026 9:57 AM</v>
          </cell>
          <cell r="AC899">
            <v>46084</v>
          </cell>
          <cell r="AD899" t="str">
            <v/>
          </cell>
          <cell r="AE899" t="str">
            <v/>
          </cell>
          <cell r="AF899" t="str">
            <v/>
          </cell>
          <cell r="AG899" t="str">
            <v/>
          </cell>
          <cell r="AH899" t="str">
            <v>Dan and Molly Dirscherl</v>
          </cell>
          <cell r="AI899" t="str">
            <v/>
          </cell>
        </row>
        <row r="900">
          <cell r="C900">
            <v>86112</v>
          </cell>
          <cell r="D900" t="str">
            <v/>
          </cell>
          <cell r="E900" t="str">
            <v/>
          </cell>
          <cell r="F900" t="str">
            <v>Lowe's Final</v>
          </cell>
          <cell r="G900" t="str">
            <v>Lowe's Collected</v>
          </cell>
          <cell r="H900" t="str">
            <v>No</v>
          </cell>
          <cell r="I900" t="str">
            <v>Spencer Anderson</v>
          </cell>
          <cell r="J900" t="str">
            <v/>
          </cell>
          <cell r="K900" t="str">
            <v>https://panda-windows-and-doors.monday.com/protected_static/21046287/resources/2331525938/Scanned_from_a_Lexmark_Multifunction_Product08-04-2025-123819.pdf, https://panda-windows-and-doors.monday.com/protected_static/21046287/resources/2678582072/Scanned_from_a_Lexmark_Multifunction_Product08-04-2025-123819.pdf</v>
          </cell>
          <cell r="L900" t="str">
            <v>https://panda-windows-and-doors.monday.com/protected_static/21046287/resources/2333540197/2Spencer.pdf, https://panda-windows-and-doors.monday.com/protected_static/21046287/resources/2678582122/2Spencer.pdf</v>
          </cell>
          <cell r="M900" t="str">
            <v/>
          </cell>
          <cell r="N900" t="str">
            <v>https://panda-windows-and-doors.monday.com/protected_static/21046287/resources/2528709030/86112 Deposit Invoice.pdf</v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>Completed - Closed Out</v>
          </cell>
          <cell r="T900" t="str">
            <v/>
          </cell>
          <cell r="U900">
            <v>0</v>
          </cell>
          <cell r="V900">
            <v>34976</v>
          </cell>
          <cell r="W900" t="str">
            <v>George Bails Nov 12, 2025 5:23 PM</v>
          </cell>
          <cell r="X900" t="str">
            <v/>
          </cell>
          <cell r="Y900">
            <v>45873</v>
          </cell>
          <cell r="Z900" t="str">
            <v/>
          </cell>
          <cell r="AA900">
            <v>45874</v>
          </cell>
          <cell r="AB900" t="str">
            <v>Jayme Truong Aug 4, 2025 3:57 PM</v>
          </cell>
          <cell r="AC900">
            <v>45964</v>
          </cell>
          <cell r="AD900" t="str">
            <v/>
          </cell>
          <cell r="AE900" t="str">
            <v/>
          </cell>
          <cell r="AF900">
            <v>45964</v>
          </cell>
          <cell r="AG900" t="str">
            <v/>
          </cell>
          <cell r="AH900" t="str">
            <v>Andy Sheputa, Andy Sheputa</v>
          </cell>
          <cell r="AI900" t="str">
            <v/>
          </cell>
        </row>
        <row r="901">
          <cell r="C901">
            <v>87164</v>
          </cell>
          <cell r="D901" t="str">
            <v/>
          </cell>
          <cell r="E901" t="str">
            <v/>
          </cell>
          <cell r="F901" t="str">
            <v>Lowe's Final</v>
          </cell>
          <cell r="G901" t="str">
            <v>Lowe's Collected</v>
          </cell>
          <cell r="H901" t="str">
            <v>No</v>
          </cell>
          <cell r="I901" t="str">
            <v>Spencer Anderson</v>
          </cell>
          <cell r="J901" t="str">
            <v/>
          </cell>
          <cell r="K901" t="str">
            <v>https://panda-windows-and-doors.monday.com/protected_static/21046287/resources/2457039258/Scanned_from_a_Lexmark_Multifunction_Product10-01-2025-113608.pdf, https://panda-windows-and-doors.monday.com/protected_static/21046287/resources/2678582081/Scanned_from_a_Lexmark_Multifunction_Product10-01-2025-113608.pdf</v>
          </cell>
          <cell r="L901" t="str">
            <v>https://panda-windows-and-doors.monday.com/protected_static/21046287/resources/2457055237/smtp.office365.com_20251001_083535.pdf, https://panda-windows-and-doors.monday.com/protected_static/21046287/resources/2678582121/smtp.office365.com_20251001_083535.pdf</v>
          </cell>
          <cell r="M901" t="str">
            <v/>
          </cell>
          <cell r="N901" t="str">
            <v>https://panda-windows-and-doors.monday.com/protected_static/21046287/resources/2462188453/87164 Deposit Invoice.pdf</v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>Completed - Closed Out</v>
          </cell>
          <cell r="T901" t="str">
            <v/>
          </cell>
          <cell r="U901" t="str">
            <v/>
          </cell>
          <cell r="V901">
            <v>4095</v>
          </cell>
          <cell r="W901" t="str">
            <v>George Bails Dec 31, 2025 4:19 PM</v>
          </cell>
          <cell r="X901" t="str">
            <v/>
          </cell>
          <cell r="Y901">
            <v>45931</v>
          </cell>
          <cell r="Z901" t="str">
            <v/>
          </cell>
          <cell r="AA901">
            <v>45931</v>
          </cell>
          <cell r="AB901" t="str">
            <v>Jayme Truong Oct 1, 2025 11:01 AM</v>
          </cell>
          <cell r="AC901">
            <v>46006</v>
          </cell>
          <cell r="AD901" t="str">
            <v/>
          </cell>
          <cell r="AE901" t="str">
            <v/>
          </cell>
          <cell r="AF901">
            <v>46006</v>
          </cell>
          <cell r="AG901" t="str">
            <v/>
          </cell>
          <cell r="AH901" t="str">
            <v>Christopher McKenzie, Christopher McKenzie</v>
          </cell>
          <cell r="AI901" t="str">
            <v/>
          </cell>
        </row>
        <row r="902">
          <cell r="C902">
            <v>87967</v>
          </cell>
          <cell r="D902" t="str">
            <v/>
          </cell>
          <cell r="E902" t="str">
            <v/>
          </cell>
          <cell r="F902" t="str">
            <v>Final</v>
          </cell>
          <cell r="G902" t="str">
            <v>Lowe's Collected</v>
          </cell>
          <cell r="H902" t="str">
            <v>No</v>
          </cell>
          <cell r="I902" t="str">
            <v>Spencer Anderson</v>
          </cell>
          <cell r="J902" t="str">
            <v/>
          </cell>
          <cell r="K902" t="str">
            <v>https://panda-windows-and-doors.monday.com/protected_static/21046287/resources/2568375229/Scanned_from_a_Lexmark_Multifunction_Product11-20-2025-101635.pdf, https://panda-windows-and-doors.monday.com/protected_static/21046287/resources/2678582123/Scanned_from_a_Lexmark_Multifunction_Product11-20-2025-101635.pdf</v>
          </cell>
          <cell r="L902" t="str">
            <v>https://panda-windows-and-doors.monday.com/protected_static/21046287/resources/2568374743/BP-70M55_20251120_082357.pdf, https://panda-windows-and-doors.monday.com/protected_static/21046287/resources/2602059609/Lowes #1948_Pocket Multi-Sliders S&amp;C breakdown - 11182025.xlsx, https://panda-windows-and-doors.monday.com/protected_static/21046287/resources/2678582171/BP-70M55_20251120_082357.pdf, https://panda-windows-and-doors.monday.com/protected_static/21046287/resources/2678582178/Lowes #1948_Pocket Multi-Sliders S&amp;C breakdown - 11182025.xlsx</v>
          </cell>
          <cell r="M902" t="str">
            <v/>
          </cell>
          <cell r="N902" t="str">
            <v>https://panda-windows-and-doors.monday.com/protected_static/21046287/resources/2592314959/87967 Deposit Invoice.pdf</v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>Completed - Closed Out</v>
          </cell>
          <cell r="T902" t="str">
            <v/>
          </cell>
          <cell r="U902" t="str">
            <v/>
          </cell>
          <cell r="V902">
            <v>27297</v>
          </cell>
          <cell r="W902" t="str">
            <v>George Bails Feb 20, 2026 9:32 AM</v>
          </cell>
          <cell r="X902" t="str">
            <v/>
          </cell>
          <cell r="Y902">
            <v>45981</v>
          </cell>
          <cell r="Z902" t="str">
            <v/>
          </cell>
          <cell r="AA902">
            <v>45985</v>
          </cell>
          <cell r="AB902" t="str">
            <v>Jayme Truong Nov 20, 2025 9:27 AM</v>
          </cell>
          <cell r="AC902">
            <v>45993</v>
          </cell>
          <cell r="AD902" t="str">
            <v/>
          </cell>
          <cell r="AE902">
            <v>46064</v>
          </cell>
          <cell r="AF902">
            <v>46065</v>
          </cell>
          <cell r="AG902" t="str">
            <v/>
          </cell>
          <cell r="AH902" t="str">
            <v>David Pickens, David Pickens</v>
          </cell>
          <cell r="AI902" t="str">
            <v/>
          </cell>
        </row>
        <row r="903">
          <cell r="C903">
            <v>85014</v>
          </cell>
          <cell r="D903" t="str">
            <v/>
          </cell>
          <cell r="E903" t="str">
            <v/>
          </cell>
          <cell r="F903" t="str">
            <v>Final</v>
          </cell>
          <cell r="G903" t="str">
            <v>Lowe's Collected</v>
          </cell>
          <cell r="H903" t="str">
            <v>No</v>
          </cell>
          <cell r="I903" t="str">
            <v>Spencer Anderson</v>
          </cell>
          <cell r="J903" t="str">
            <v/>
          </cell>
          <cell r="K903" t="str">
            <v>https://panda-windows-and-doors.monday.com/protected_static/21046287/resources/2369406275/Q 85014 Signed.pdf, https://panda-windows-and-doors.monday.com/protected_static/21046287/resources/2678582092/Q 85014 Signed.pdf</v>
          </cell>
          <cell r="L903" t="str">
            <v>https://panda-windows-and-doors.monday.com/protected_static/21046287/resources/2370538727/2 Spencer.pdf, https://panda-windows-and-doors.monday.com/protected_static/21046287/resources/2489063085/Signed Backer.pdf, https://panda-windows-and-doors.monday.com/protected_static/21046287/resources/2678582136/2 Spencer.pdf, https://panda-windows-and-doors.monday.com/protected_static/21046287/resources/2678582140/Signed Backer.pdf</v>
          </cell>
          <cell r="M903" t="str">
            <v/>
          </cell>
          <cell r="N903" t="str">
            <v>https://panda-windows-and-doors.monday.com/protected_static/21046287/resources/2107025840/85014 Final Invoice.pdf, https://panda-windows-and-doors.monday.com/protected_static/21046287/resources/2377506215/85014 Deposit Invoice.pdf</v>
          </cell>
          <cell r="O903" t="str">
            <v>Christopher McKenzie</v>
          </cell>
          <cell r="P903" t="str">
            <v/>
          </cell>
          <cell r="Q903" t="str">
            <v/>
          </cell>
          <cell r="R903" t="str">
            <v/>
          </cell>
          <cell r="S903" t="str">
            <v>Completed - Closed Out</v>
          </cell>
          <cell r="T903" t="str">
            <v/>
          </cell>
          <cell r="U903">
            <v>0</v>
          </cell>
          <cell r="V903">
            <v>40713</v>
          </cell>
          <cell r="W903" t="str">
            <v>George Bails Mar 16, 2026 2:50 PM</v>
          </cell>
          <cell r="X903" t="str">
            <v/>
          </cell>
          <cell r="Y903">
            <v>45771</v>
          </cell>
          <cell r="Z903" t="str">
            <v/>
          </cell>
          <cell r="AA903">
            <v>45775</v>
          </cell>
          <cell r="AB903" t="str">
            <v>Jayme Truong Apr 24, 2025 2:33 PM</v>
          </cell>
          <cell r="AC903">
            <v>45775</v>
          </cell>
          <cell r="AD903" t="str">
            <v/>
          </cell>
          <cell r="AE903">
            <v>45889</v>
          </cell>
          <cell r="AF903">
            <v>45895</v>
          </cell>
          <cell r="AG903" t="str">
            <v/>
          </cell>
          <cell r="AH903" t="str">
            <v>Christopher McKenzie, Christopher McKenzie</v>
          </cell>
          <cell r="AI903" t="str">
            <v/>
          </cell>
        </row>
        <row r="904">
          <cell r="C904" t="str">
            <v>Q70822</v>
          </cell>
          <cell r="D904" t="str">
            <v/>
          </cell>
          <cell r="E904" t="str">
            <v/>
          </cell>
          <cell r="F904" t="str">
            <v>Service</v>
          </cell>
          <cell r="G904" t="str">
            <v>Service Collected</v>
          </cell>
          <cell r="H904" t="str">
            <v>No</v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>https://panda-windows-and-doors.monday.com/protected_static/21046287/resources/1952363988/9328 Pacific Glass Work.pdf</v>
          </cell>
          <cell r="O904" t="str">
            <v/>
          </cell>
          <cell r="P904" t="str">
            <v/>
          </cell>
          <cell r="Q904" t="str">
            <v>https://panda-windows-and-doors.monday.com/protected_static/21046287/resources/1973264574/Service Form (1).pdf</v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>
            <v>855</v>
          </cell>
          <cell r="W904" t="str">
            <v>Elizabet Lopez Mar 24, 2025 9:59 AM</v>
          </cell>
          <cell r="X904" t="str">
            <v/>
          </cell>
          <cell r="Y904">
            <v>45699</v>
          </cell>
          <cell r="Z904" t="str">
            <v/>
          </cell>
          <cell r="AA904">
            <v>45699</v>
          </cell>
          <cell r="AB904" t="str">
            <v>Jayme Truong Feb 11, 2025 8:37 AM</v>
          </cell>
          <cell r="AC904">
            <v>45699</v>
          </cell>
          <cell r="AD904">
            <v>45701</v>
          </cell>
          <cell r="AE904" t="str">
            <v/>
          </cell>
          <cell r="AF904" t="str">
            <v/>
          </cell>
          <cell r="AG904" t="str">
            <v/>
          </cell>
          <cell r="AH904" t="str">
            <v/>
          </cell>
          <cell r="AI904" t="str">
            <v/>
          </cell>
        </row>
        <row r="905">
          <cell r="C905" t="str">
            <v>Q80422</v>
          </cell>
          <cell r="D905" t="str">
            <v/>
          </cell>
          <cell r="E905" t="str">
            <v/>
          </cell>
          <cell r="F905" t="str">
            <v>Service</v>
          </cell>
          <cell r="G905" t="str">
            <v>Service Collected</v>
          </cell>
          <cell r="H905" t="str">
            <v>No</v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>https://panda-windows-and-doors.monday.com/protected_static/21046287/resources/1963013841/9356 Sierra Pacific.pdf</v>
          </cell>
          <cell r="O905" t="str">
            <v/>
          </cell>
          <cell r="P905" t="str">
            <v/>
          </cell>
          <cell r="Q905" t="str">
            <v>https://panda-windows-and-doors.monday.com/protected_static/21046287/resources/1960438805/Service Invoice Form (1)_SPW.pdf</v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>
            <v>3500</v>
          </cell>
          <cell r="W905" t="str">
            <v>Jayme Truong Mar 28, 2025 9:48 AM</v>
          </cell>
          <cell r="X905" t="str">
            <v/>
          </cell>
          <cell r="Y905">
            <v>45702</v>
          </cell>
          <cell r="Z905" t="str">
            <v/>
          </cell>
          <cell r="AA905">
            <v>45702</v>
          </cell>
          <cell r="AB905" t="str">
            <v>Jayme Truong Feb 14, 2025 2:42 PM</v>
          </cell>
          <cell r="AC905">
            <v>45705</v>
          </cell>
          <cell r="AD905" t="str">
            <v/>
          </cell>
          <cell r="AE905" t="str">
            <v/>
          </cell>
          <cell r="AF905" t="str">
            <v/>
          </cell>
          <cell r="AG905" t="str">
            <v/>
          </cell>
          <cell r="AH905" t="str">
            <v>Lyle Belap</v>
          </cell>
          <cell r="AI905" t="str">
            <v/>
          </cell>
        </row>
        <row r="906">
          <cell r="C906">
            <v>70822.100000000006</v>
          </cell>
          <cell r="D906" t="str">
            <v/>
          </cell>
          <cell r="E906" t="str">
            <v/>
          </cell>
          <cell r="F906" t="str">
            <v>Service</v>
          </cell>
          <cell r="G906" t="str">
            <v>Service Collected</v>
          </cell>
          <cell r="H906" t="str">
            <v>No</v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>https://panda-windows-and-doors.monday.com/protected_static/21046287/resources/1974135807/9386 Pacific Glass Works.pdf</v>
          </cell>
          <cell r="O906" t="str">
            <v/>
          </cell>
          <cell r="P906" t="str">
            <v/>
          </cell>
          <cell r="Q906" t="str">
            <v>https://panda-windows-and-doors.monday.com/protected_static/21046287/resources/1973264574/Service Form (1).pdf</v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>
            <v>193.2</v>
          </cell>
          <cell r="W906" t="str">
            <v>Elizabet Lopez Feb 25, 2025 11:48 AM</v>
          </cell>
          <cell r="X906" t="str">
            <v/>
          </cell>
          <cell r="Y906">
            <v>45709</v>
          </cell>
          <cell r="Z906" t="str">
            <v/>
          </cell>
          <cell r="AA906">
            <v>45709</v>
          </cell>
          <cell r="AB906" t="str">
            <v>Jayme Truong Feb 21, 2025 9:29 AM</v>
          </cell>
          <cell r="AC906">
            <v>45709</v>
          </cell>
          <cell r="AD906">
            <v>45713</v>
          </cell>
          <cell r="AE906" t="str">
            <v/>
          </cell>
          <cell r="AF906" t="str">
            <v/>
          </cell>
          <cell r="AG906" t="str">
            <v/>
          </cell>
          <cell r="AH906" t="str">
            <v/>
          </cell>
          <cell r="AI906" t="str">
            <v/>
          </cell>
        </row>
        <row r="907">
          <cell r="C907">
            <v>22232</v>
          </cell>
          <cell r="D907" t="str">
            <v/>
          </cell>
          <cell r="E907" t="str">
            <v/>
          </cell>
          <cell r="F907" t="str">
            <v>Service</v>
          </cell>
          <cell r="G907" t="str">
            <v>Service Collected</v>
          </cell>
          <cell r="H907" t="str">
            <v>No</v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>https://panda-windows-and-doors.monday.com/protected_static/21046287/resources/2066011250/9382 Tom Cray.pdf</v>
          </cell>
          <cell r="O907" t="str">
            <v/>
          </cell>
          <cell r="P907" t="str">
            <v/>
          </cell>
          <cell r="Q907" t="str">
            <v>https://panda-windows-and-doors.monday.com/protected_static/21046287/resources/1968436551/Service Invoice Form (7).pdf, https://panda-windows-and-doors.monday.com/protected_static/21046287/resources/1971826272/9382 Tom Cray.pdf</v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>
            <v>46.4</v>
          </cell>
          <cell r="W907" t="str">
            <v>Elizabet Lopez Apr 7, 2025 11:47 AM</v>
          </cell>
          <cell r="X907" t="str">
            <v/>
          </cell>
          <cell r="Y907">
            <v>45707</v>
          </cell>
          <cell r="Z907" t="str">
            <v/>
          </cell>
          <cell r="AA907">
            <v>45708</v>
          </cell>
          <cell r="AB907" t="str">
            <v>Jayme Truong Feb 19, 2025 11:46 AM</v>
          </cell>
          <cell r="AC907">
            <v>45708</v>
          </cell>
          <cell r="AD907" t="str">
            <v/>
          </cell>
          <cell r="AE907" t="str">
            <v/>
          </cell>
          <cell r="AF907" t="str">
            <v/>
          </cell>
          <cell r="AG907">
            <v>45714</v>
          </cell>
          <cell r="AH907" t="str">
            <v/>
          </cell>
          <cell r="AI907" t="str">
            <v/>
          </cell>
        </row>
        <row r="908">
          <cell r="C908" t="str">
            <v>Eduardo Vazquez</v>
          </cell>
          <cell r="D908" t="str">
            <v/>
          </cell>
          <cell r="E908" t="str">
            <v/>
          </cell>
          <cell r="F908" t="str">
            <v>Service</v>
          </cell>
          <cell r="G908" t="str">
            <v>Service Collected</v>
          </cell>
          <cell r="H908" t="str">
            <v>No</v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>https://panda-windows-and-doors.monday.com/protected_static/21046287/resources/2065991881/9385 Eduardo Vazquez.pdf</v>
          </cell>
          <cell r="O908" t="str">
            <v/>
          </cell>
          <cell r="P908" t="str">
            <v/>
          </cell>
          <cell r="Q908" t="str">
            <v>https://panda-windows-and-doors.monday.com/protected_static/21046287/resources/1973276287/Service Form (2).pdf</v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>
            <v>545</v>
          </cell>
          <cell r="W908" t="str">
            <v>Elizabet Lopez Apr 7, 2025 11:46 AM</v>
          </cell>
          <cell r="X908" t="str">
            <v/>
          </cell>
          <cell r="Y908">
            <v>45708</v>
          </cell>
          <cell r="Z908" t="str">
            <v/>
          </cell>
          <cell r="AA908">
            <v>45709</v>
          </cell>
          <cell r="AB908" t="str">
            <v>Jayme Truong Feb 20, 2025 2:13 PM</v>
          </cell>
          <cell r="AC908">
            <v>45709</v>
          </cell>
          <cell r="AD908" t="str">
            <v/>
          </cell>
          <cell r="AE908" t="str">
            <v/>
          </cell>
          <cell r="AF908" t="str">
            <v/>
          </cell>
          <cell r="AG908">
            <v>45716</v>
          </cell>
          <cell r="AH908" t="str">
            <v/>
          </cell>
          <cell r="AI908" t="str">
            <v/>
          </cell>
        </row>
        <row r="909">
          <cell r="C909">
            <v>75519</v>
          </cell>
          <cell r="D909" t="str">
            <v/>
          </cell>
          <cell r="E909" t="str">
            <v/>
          </cell>
          <cell r="F909" t="str">
            <v>Service</v>
          </cell>
          <cell r="G909" t="str">
            <v>Service Collected</v>
          </cell>
          <cell r="H909" t="str">
            <v>No</v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>https://panda-windows-and-doors.monday.com/protected_static/21046287/resources/1980535452/9394 Eugene Graner.pdf</v>
          </cell>
          <cell r="O909" t="str">
            <v/>
          </cell>
          <cell r="P909" t="str">
            <v/>
          </cell>
          <cell r="Q909" t="str">
            <v>https://panda-windows-and-doors.monday.com/protected_static/21046287/resources/1977731945/Service Form.pdf</v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>
            <v>293</v>
          </cell>
          <cell r="W909" t="str">
            <v>Jayme Truong Mar 3, 2025 11:57 AM</v>
          </cell>
          <cell r="X909" t="str">
            <v/>
          </cell>
          <cell r="Y909">
            <v>45712</v>
          </cell>
          <cell r="Z909" t="str">
            <v/>
          </cell>
          <cell r="AA909">
            <v>45712</v>
          </cell>
          <cell r="AB909" t="str">
            <v>Jayme Truong Feb 24, 2025 2:43 PM</v>
          </cell>
          <cell r="AC909">
            <v>45713</v>
          </cell>
          <cell r="AD909" t="str">
            <v/>
          </cell>
          <cell r="AE909" t="str">
            <v/>
          </cell>
          <cell r="AF909" t="str">
            <v/>
          </cell>
          <cell r="AG909">
            <v>45719</v>
          </cell>
          <cell r="AH909" t="str">
            <v/>
          </cell>
          <cell r="AI909" t="str">
            <v/>
          </cell>
        </row>
        <row r="910">
          <cell r="C910" t="str">
            <v>QQ7169</v>
          </cell>
          <cell r="D910" t="str">
            <v/>
          </cell>
          <cell r="E910" t="str">
            <v/>
          </cell>
          <cell r="F910" t="str">
            <v>Service</v>
          </cell>
          <cell r="G910" t="str">
            <v>Service Collected</v>
          </cell>
          <cell r="H910" t="str">
            <v>No</v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>https://panda-windows-and-doors.monday.com/protected_static/21046287/resources/1958299451/9335 Trupti Patel.pdf</v>
          </cell>
          <cell r="O910" t="str">
            <v/>
          </cell>
          <cell r="P910" t="str">
            <v/>
          </cell>
          <cell r="Q910" t="str">
            <v>https://panda-windows-and-doors.monday.com/protected_static/21046287/resources/1958144876/Service Invoice Form.pdf</v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>
            <v>267.75</v>
          </cell>
          <cell r="W910" t="str">
            <v>Sean Lopez Mar 3, 2025 12:53 PM</v>
          </cell>
          <cell r="X910" t="str">
            <v/>
          </cell>
          <cell r="Y910">
            <v>45701</v>
          </cell>
          <cell r="Z910" t="str">
            <v/>
          </cell>
          <cell r="AA910">
            <v>45701</v>
          </cell>
          <cell r="AB910" t="str">
            <v>Jayme Truong Feb 13, 2025 8:19 AM</v>
          </cell>
          <cell r="AC910">
            <v>45701</v>
          </cell>
          <cell r="AD910" t="str">
            <v/>
          </cell>
          <cell r="AE910" t="str">
            <v/>
          </cell>
          <cell r="AF910" t="str">
            <v/>
          </cell>
          <cell r="AG910">
            <v>45719</v>
          </cell>
          <cell r="AH910" t="str">
            <v/>
          </cell>
          <cell r="AI910" t="str">
            <v/>
          </cell>
        </row>
        <row r="911">
          <cell r="C911" t="str">
            <v>Q55352</v>
          </cell>
          <cell r="D911" t="str">
            <v/>
          </cell>
          <cell r="E911" t="str">
            <v/>
          </cell>
          <cell r="F911" t="str">
            <v>Service</v>
          </cell>
          <cell r="G911" t="str">
            <v>Service Collected</v>
          </cell>
          <cell r="H911" t="str">
            <v>No</v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>https://panda-windows-and-doors.monday.com/protected_static/21046287/resources/1988462189/9357 Refelction glass.pdf</v>
          </cell>
          <cell r="O911" t="str">
            <v/>
          </cell>
          <cell r="P911" t="str">
            <v/>
          </cell>
          <cell r="Q911" t="str">
            <v>https://panda-windows-and-doors.monday.com/protected_static/21046287/resources/1965364812/SalesOrd_9357_from_PANDA_WINDOWS__DOORS_OPERATIONS_LLC_19712.pdf, https://panda-windows-and-doors.monday.com/protected_static/21046287/resources/2982106213/SO Hapuna4.pdf</v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>
            <v>4989.8999999999996</v>
          </cell>
          <cell r="W911" t="str">
            <v>Annalene Conde Jun 19, 2025 8:53 AM</v>
          </cell>
          <cell r="X911" t="str">
            <v/>
          </cell>
          <cell r="Y911">
            <v>45705</v>
          </cell>
          <cell r="Z911" t="str">
            <v/>
          </cell>
          <cell r="AA911">
            <v>45705</v>
          </cell>
          <cell r="AB911" t="str">
            <v>Jayme Truong Feb 17, 2025 11:55 AM</v>
          </cell>
          <cell r="AC911">
            <v>45705</v>
          </cell>
          <cell r="AD911" t="str">
            <v/>
          </cell>
          <cell r="AE911" t="str">
            <v/>
          </cell>
          <cell r="AF911" t="str">
            <v/>
          </cell>
          <cell r="AG911">
            <v>45720</v>
          </cell>
          <cell r="AH911" t="str">
            <v/>
          </cell>
          <cell r="AI911" t="str">
            <v/>
          </cell>
        </row>
        <row r="912">
          <cell r="C912">
            <v>66926</v>
          </cell>
          <cell r="D912" t="str">
            <v/>
          </cell>
          <cell r="E912" t="str">
            <v/>
          </cell>
          <cell r="F912" t="str">
            <v>Service</v>
          </cell>
          <cell r="G912" t="str">
            <v>Service Collected</v>
          </cell>
          <cell r="H912" t="str">
            <v>No</v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>https://panda-windows-and-doors.monday.com/protected_static/21046287/resources/1977355691/9390 Lawrence Doors.pdf</v>
          </cell>
          <cell r="O912" t="str">
            <v/>
          </cell>
          <cell r="P912" t="str">
            <v/>
          </cell>
          <cell r="Q912" t="str">
            <v>https://panda-windows-and-doors.monday.com/protected_static/21046287/resources/1976798174/Service Form.pdf</v>
          </cell>
          <cell r="R912" t="str">
            <v/>
          </cell>
          <cell r="S912" t="str">
            <v/>
          </cell>
          <cell r="T912" t="str">
            <v/>
          </cell>
          <cell r="U912">
            <v>0</v>
          </cell>
          <cell r="V912">
            <v>1850.33</v>
          </cell>
          <cell r="W912" t="str">
            <v>Jayme Truong Mar 4, 2025 2:20 PM</v>
          </cell>
          <cell r="X912" t="str">
            <v/>
          </cell>
          <cell r="Y912">
            <v>45712</v>
          </cell>
          <cell r="Z912" t="str">
            <v/>
          </cell>
          <cell r="AA912">
            <v>45712</v>
          </cell>
          <cell r="AB912" t="str">
            <v>Jayme Truong Feb 24, 2025 10:01 AM</v>
          </cell>
          <cell r="AC912">
            <v>45712</v>
          </cell>
          <cell r="AD912" t="str">
            <v/>
          </cell>
          <cell r="AE912" t="str">
            <v/>
          </cell>
          <cell r="AF912" t="str">
            <v/>
          </cell>
          <cell r="AG912">
            <v>45720</v>
          </cell>
          <cell r="AH912" t="str">
            <v/>
          </cell>
          <cell r="AI912" t="str">
            <v/>
          </cell>
        </row>
        <row r="913">
          <cell r="C913">
            <v>70125</v>
          </cell>
          <cell r="D913" t="str">
            <v/>
          </cell>
          <cell r="E913" t="str">
            <v/>
          </cell>
          <cell r="F913" t="str">
            <v>Service</v>
          </cell>
          <cell r="G913" t="str">
            <v>Service Collected</v>
          </cell>
          <cell r="H913" t="str">
            <v>No</v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>https://panda-windows-and-doors.monday.com/protected_static/21046287/resources/2066038018/9393 WALTERS &amp; WOLF.pdf</v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>
            <v>327.75</v>
          </cell>
          <cell r="W913" t="str">
            <v>Annalene Conde Jun 19, 2025 8:52 AM</v>
          </cell>
          <cell r="X913" t="str">
            <v/>
          </cell>
          <cell r="Y913">
            <v>45713</v>
          </cell>
          <cell r="Z913" t="str">
            <v/>
          </cell>
          <cell r="AA913">
            <v>45713</v>
          </cell>
          <cell r="AB913" t="str">
            <v>Jayme Truong Feb 25, 2025 11:35 AM</v>
          </cell>
          <cell r="AC913">
            <v>45713</v>
          </cell>
          <cell r="AD913" t="str">
            <v/>
          </cell>
          <cell r="AE913" t="str">
            <v/>
          </cell>
          <cell r="AF913" t="str">
            <v/>
          </cell>
          <cell r="AG913">
            <v>45721</v>
          </cell>
          <cell r="AH913" t="str">
            <v/>
          </cell>
          <cell r="AI913" t="str">
            <v/>
          </cell>
        </row>
        <row r="914">
          <cell r="C914">
            <v>69125</v>
          </cell>
          <cell r="D914" t="str">
            <v/>
          </cell>
          <cell r="E914" t="str">
            <v/>
          </cell>
          <cell r="F914" t="str">
            <v>Service</v>
          </cell>
          <cell r="G914" t="str">
            <v>Service Collected</v>
          </cell>
          <cell r="H914" t="str">
            <v>No</v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>https://panda-windows-and-doors.monday.com/protected_static/21046287/resources/2066081265/9404 Kody Daley.pdf</v>
          </cell>
          <cell r="O914" t="str">
            <v/>
          </cell>
          <cell r="P914" t="str">
            <v/>
          </cell>
          <cell r="Q914" t="str">
            <v>https://panda-windows-and-doors.monday.com/protected_static/21046287/resources/1988755309/69125.pdf, https://panda-windows-and-doors.monday.com/protected_static/21046287/resources/1991380895/9404 Kody Daley.pdf</v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>
            <v>492.45</v>
          </cell>
          <cell r="W914" t="str">
            <v>Elizabet Lopez Apr 7, 2025 11:53 AM</v>
          </cell>
          <cell r="X914" t="str">
            <v/>
          </cell>
          <cell r="Y914">
            <v>45715</v>
          </cell>
          <cell r="Z914" t="str">
            <v/>
          </cell>
          <cell r="AA914">
            <v>45716</v>
          </cell>
          <cell r="AB914" t="str">
            <v>Jayme Truong Feb 27, 2025 2:24 PM</v>
          </cell>
          <cell r="AC914">
            <v>45719</v>
          </cell>
          <cell r="AD914" t="str">
            <v/>
          </cell>
          <cell r="AE914" t="str">
            <v/>
          </cell>
          <cell r="AF914" t="str">
            <v/>
          </cell>
          <cell r="AG914">
            <v>45721</v>
          </cell>
          <cell r="AH914" t="str">
            <v/>
          </cell>
          <cell r="AI914" t="str">
            <v/>
          </cell>
        </row>
        <row r="915">
          <cell r="C915" t="str">
            <v>Washington</v>
          </cell>
          <cell r="D915" t="str">
            <v/>
          </cell>
          <cell r="E915" t="str">
            <v/>
          </cell>
          <cell r="F915" t="str">
            <v>Service</v>
          </cell>
          <cell r="G915" t="str">
            <v>Service Collected</v>
          </cell>
          <cell r="H915" t="str">
            <v>No</v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>https://panda-windows-and-doors.monday.com/protected_static/21046287/resources/1997606834/9399 Ryan Goranson.pdf</v>
          </cell>
          <cell r="O915" t="str">
            <v/>
          </cell>
          <cell r="P915" t="str">
            <v/>
          </cell>
          <cell r="Q915" t="str">
            <v>https://panda-windows-and-doors.monday.com/protected_static/21046287/resources/1983500878/Service Form.pdf</v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>
            <v>407</v>
          </cell>
          <cell r="W915" t="str">
            <v>Elizabet Lopez Apr 7, 2025 11:48 AM</v>
          </cell>
          <cell r="X915" t="str">
            <v/>
          </cell>
          <cell r="Y915">
            <v>45714</v>
          </cell>
          <cell r="Z915" t="str">
            <v/>
          </cell>
          <cell r="AA915">
            <v>45714</v>
          </cell>
          <cell r="AB915" t="str">
            <v>Jayme Truong Feb 26, 2025 3:27 PM</v>
          </cell>
          <cell r="AC915">
            <v>45716</v>
          </cell>
          <cell r="AD915" t="str">
            <v/>
          </cell>
          <cell r="AE915" t="str">
            <v/>
          </cell>
          <cell r="AF915" t="str">
            <v/>
          </cell>
          <cell r="AG915">
            <v>45721</v>
          </cell>
          <cell r="AH915" t="str">
            <v/>
          </cell>
          <cell r="AI915" t="str">
            <v/>
          </cell>
        </row>
        <row r="916">
          <cell r="C916" t="str">
            <v>Q80370</v>
          </cell>
          <cell r="D916" t="str">
            <v/>
          </cell>
          <cell r="E916" t="str">
            <v/>
          </cell>
          <cell r="F916" t="str">
            <v>Service</v>
          </cell>
          <cell r="G916" t="str">
            <v>Service Collected</v>
          </cell>
          <cell r="H916" t="str">
            <v>No</v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>https://panda-windows-and-doors.monday.com/protected_static/21046287/resources/2000028809/9333 MCcarthy Building.pdf</v>
          </cell>
          <cell r="O916" t="str">
            <v/>
          </cell>
          <cell r="P916" t="str">
            <v/>
          </cell>
          <cell r="Q916" t="str">
            <v>https://panda-windows-and-doors.monday.com/protected_static/21046287/resources/1957664362/Q80370_Service Invoice Form_McCarthy.pdf</v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>
            <v>86.73</v>
          </cell>
          <cell r="W916" t="str">
            <v>Jayme Truong Mar 6, 2025 11:53 AM</v>
          </cell>
          <cell r="X916" t="str">
            <v/>
          </cell>
          <cell r="Y916">
            <v>45701</v>
          </cell>
          <cell r="Z916" t="str">
            <v/>
          </cell>
          <cell r="AA916">
            <v>45701</v>
          </cell>
          <cell r="AB916" t="str">
            <v>Jayme Truong Feb 13, 2025 12:11 PM</v>
          </cell>
          <cell r="AC916">
            <v>45701</v>
          </cell>
          <cell r="AD916" t="str">
            <v/>
          </cell>
          <cell r="AE916" t="str">
            <v/>
          </cell>
          <cell r="AF916" t="str">
            <v/>
          </cell>
          <cell r="AG916">
            <v>45722</v>
          </cell>
          <cell r="AH916" t="str">
            <v/>
          </cell>
          <cell r="AI916" t="str">
            <v/>
          </cell>
        </row>
        <row r="917">
          <cell r="C917" t="str">
            <v>Q80716</v>
          </cell>
          <cell r="D917" t="str">
            <v/>
          </cell>
          <cell r="E917" t="str">
            <v/>
          </cell>
          <cell r="F917" t="str">
            <v>Service</v>
          </cell>
          <cell r="G917" t="str">
            <v>Service Collected</v>
          </cell>
          <cell r="H917" t="str">
            <v>No</v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>https://panda-windows-and-doors.monday.com/protected_static/21046287/resources/1958337511/9334 Left Coast Installs.pdf</v>
          </cell>
          <cell r="O917" t="str">
            <v/>
          </cell>
          <cell r="P917" t="str">
            <v/>
          </cell>
          <cell r="Q917" t="str">
            <v>https://panda-windows-and-doors.monday.com/protected_static/21046287/resources/1957912441/Service Invoice Form.pdf</v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>
            <v>425.25</v>
          </cell>
          <cell r="W917" t="str">
            <v>Jayme Truong Mar 17, 2025 8:39 PM</v>
          </cell>
          <cell r="X917" t="str">
            <v/>
          </cell>
          <cell r="Y917">
            <v>45701</v>
          </cell>
          <cell r="Z917" t="str">
            <v/>
          </cell>
          <cell r="AA917">
            <v>45701</v>
          </cell>
          <cell r="AB917" t="str">
            <v>Jayme Truong Feb 13, 2025 1:06 PM</v>
          </cell>
          <cell r="AC917">
            <v>45701</v>
          </cell>
          <cell r="AD917">
            <v>45713</v>
          </cell>
          <cell r="AE917" t="str">
            <v/>
          </cell>
          <cell r="AF917" t="str">
            <v/>
          </cell>
          <cell r="AG917">
            <v>45733</v>
          </cell>
          <cell r="AH917" t="str">
            <v/>
          </cell>
          <cell r="AI917" t="str">
            <v/>
          </cell>
        </row>
        <row r="918">
          <cell r="C918">
            <v>80567</v>
          </cell>
          <cell r="D918" t="str">
            <v/>
          </cell>
          <cell r="E918" t="str">
            <v/>
          </cell>
          <cell r="F918" t="str">
            <v>Service</v>
          </cell>
          <cell r="G918" t="str">
            <v>Service Collected</v>
          </cell>
          <cell r="H918" t="str">
            <v>No</v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>https://panda-windows-and-doors.monday.com/protected_static/21046287/resources/2011408215/9418 Southwest Glass.pdf</v>
          </cell>
          <cell r="O918" t="str">
            <v/>
          </cell>
          <cell r="P918" t="str">
            <v/>
          </cell>
          <cell r="Q918" t="str">
            <v>https://panda-windows-and-doors.monday.com/protected_static/21046287/resources/2000452548/Service Form.pdf</v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>
            <v>93.45</v>
          </cell>
          <cell r="W918" t="str">
            <v>Jayme Truong Mar 17, 2025 8:39 PM</v>
          </cell>
          <cell r="X918" t="str">
            <v/>
          </cell>
          <cell r="Y918">
            <v>45722</v>
          </cell>
          <cell r="Z918" t="str">
            <v/>
          </cell>
          <cell r="AA918">
            <v>45722</v>
          </cell>
          <cell r="AB918" t="str">
            <v>Jayme Truong Mar 6, 2025 2:15 PM</v>
          </cell>
          <cell r="AC918">
            <v>45722</v>
          </cell>
          <cell r="AD918">
            <v>45728</v>
          </cell>
          <cell r="AE918" t="str">
            <v/>
          </cell>
          <cell r="AF918" t="str">
            <v/>
          </cell>
          <cell r="AG918">
            <v>45733</v>
          </cell>
          <cell r="AH918" t="str">
            <v/>
          </cell>
          <cell r="AI918" t="str">
            <v/>
          </cell>
        </row>
        <row r="919">
          <cell r="C919">
            <v>66226</v>
          </cell>
          <cell r="D919" t="str">
            <v/>
          </cell>
          <cell r="E919" t="str">
            <v/>
          </cell>
          <cell r="F919" t="str">
            <v>Service</v>
          </cell>
          <cell r="G919" t="str">
            <v>Service Collected</v>
          </cell>
          <cell r="H919" t="str">
            <v>No</v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>https://panda-windows-and-doors.monday.com/protected_static/21046287/resources/2005656347/9426 Swell Design.pdf</v>
          </cell>
          <cell r="O919" t="str">
            <v/>
          </cell>
          <cell r="P919" t="str">
            <v/>
          </cell>
          <cell r="Q919" t="str">
            <v>https://panda-windows-and-doors.monday.com/protected_static/21046287/resources/2005082813/Service Form (8).pdf</v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>
            <v>151.62</v>
          </cell>
          <cell r="W919" t="str">
            <v>Jayme Truong Mar 17, 2025 8:39 PM</v>
          </cell>
          <cell r="X919" t="str">
            <v/>
          </cell>
          <cell r="Y919">
            <v>45726</v>
          </cell>
          <cell r="Z919" t="str">
            <v/>
          </cell>
          <cell r="AA919">
            <v>45726</v>
          </cell>
          <cell r="AB919" t="str">
            <v>Jayme Truong Mar 10, 2025 8:31 AM</v>
          </cell>
          <cell r="AC919">
            <v>45726</v>
          </cell>
          <cell r="AD919">
            <v>45733</v>
          </cell>
          <cell r="AE919" t="str">
            <v/>
          </cell>
          <cell r="AF919" t="str">
            <v/>
          </cell>
          <cell r="AG919">
            <v>45733</v>
          </cell>
          <cell r="AH919" t="str">
            <v/>
          </cell>
          <cell r="AI919" t="str">
            <v/>
          </cell>
        </row>
        <row r="920">
          <cell r="C920">
            <v>69415</v>
          </cell>
          <cell r="D920" t="str">
            <v/>
          </cell>
          <cell r="E920" t="str">
            <v/>
          </cell>
          <cell r="F920" t="str">
            <v>Service</v>
          </cell>
          <cell r="G920" t="str">
            <v>Service Collected</v>
          </cell>
          <cell r="H920" t="str">
            <v>No</v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>https://panda-windows-and-doors.monday.com/protected_static/21046287/resources/2015978733/9423 Irontown Modular.pdf</v>
          </cell>
          <cell r="O920" t="str">
            <v/>
          </cell>
          <cell r="P920" t="str">
            <v/>
          </cell>
          <cell r="Q920" t="str">
            <v>https://panda-windows-and-doors.monday.com/protected_static/21046287/resources/2002529682/Service Form (7).pdf</v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>
            <v>522.9</v>
          </cell>
          <cell r="W920" t="str">
            <v>Jayme Truong Mar 17, 2025 8:39 PM</v>
          </cell>
          <cell r="X920" t="str">
            <v/>
          </cell>
          <cell r="Y920">
            <v>45723</v>
          </cell>
          <cell r="Z920" t="str">
            <v/>
          </cell>
          <cell r="AA920">
            <v>45723</v>
          </cell>
          <cell r="AB920" t="str">
            <v>Jayme Truong Mar 7, 2025 12:16 PM</v>
          </cell>
          <cell r="AC920">
            <v>45723</v>
          </cell>
          <cell r="AD920">
            <v>45733</v>
          </cell>
          <cell r="AE920" t="str">
            <v/>
          </cell>
          <cell r="AF920" t="str">
            <v/>
          </cell>
          <cell r="AG920">
            <v>45733</v>
          </cell>
          <cell r="AH920" t="str">
            <v/>
          </cell>
          <cell r="AI920" t="str">
            <v/>
          </cell>
        </row>
        <row r="921">
          <cell r="C921" t="str">
            <v>RFQ</v>
          </cell>
          <cell r="D921" t="str">
            <v/>
          </cell>
          <cell r="E921" t="str">
            <v/>
          </cell>
          <cell r="F921" t="str">
            <v>Service</v>
          </cell>
          <cell r="G921" t="str">
            <v>Service Collected</v>
          </cell>
          <cell r="H921" t="str">
            <v>No</v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>https://panda-windows-and-doors.monday.com/protected_static/21046287/resources/1992453344/Service Form.pdf, https://panda-windows-and-doors.monday.com/protected_static/21046287/resources/1994688317/9410 Miner Corp.pdf</v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>
            <v>389.55</v>
          </cell>
          <cell r="W921" t="str">
            <v>Jayme Truong Mar 17, 2025 8:39 PM</v>
          </cell>
          <cell r="X921" t="str">
            <v/>
          </cell>
          <cell r="Y921" t="str">
            <v/>
          </cell>
          <cell r="Z921" t="str">
            <v/>
          </cell>
          <cell r="AA921" t="str">
            <v/>
          </cell>
          <cell r="AB921" t="str">
            <v>Jayme Truong Mar 3, 2025 3:46 PM</v>
          </cell>
          <cell r="AC921">
            <v>45720</v>
          </cell>
          <cell r="AD921">
            <v>45733</v>
          </cell>
          <cell r="AE921" t="str">
            <v/>
          </cell>
          <cell r="AF921" t="str">
            <v/>
          </cell>
          <cell r="AG921">
            <v>45733</v>
          </cell>
          <cell r="AH921" t="str">
            <v/>
          </cell>
          <cell r="AI921" t="str">
            <v/>
          </cell>
        </row>
        <row r="922">
          <cell r="C922">
            <v>68670</v>
          </cell>
          <cell r="D922" t="str">
            <v/>
          </cell>
          <cell r="E922" t="str">
            <v/>
          </cell>
          <cell r="F922" t="str">
            <v>Service</v>
          </cell>
          <cell r="G922" t="str">
            <v>Service Collected</v>
          </cell>
          <cell r="H922" t="str">
            <v>No</v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>https://panda-windows-and-doors.monday.com/protected_static/21046287/resources/2002327841/9421 Jones &amp; Jones Communities.pdf</v>
          </cell>
          <cell r="O922" t="str">
            <v/>
          </cell>
          <cell r="P922" t="str">
            <v/>
          </cell>
          <cell r="Q922" t="str">
            <v>https://panda-windows-and-doors.monday.com/protected_static/21046287/resources/2002028988/Service Form (4).pdf</v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>
            <v>629</v>
          </cell>
          <cell r="W922" t="str">
            <v>Jayme Truong Mar 17, 2025 8:39 PM</v>
          </cell>
          <cell r="X922" t="str">
            <v/>
          </cell>
          <cell r="Y922">
            <v>45723</v>
          </cell>
          <cell r="Z922" t="str">
            <v/>
          </cell>
          <cell r="AA922">
            <v>45723</v>
          </cell>
          <cell r="AB922" t="str">
            <v>Jayme Truong Mar 7, 2025 8:59 AM</v>
          </cell>
          <cell r="AC922">
            <v>45723</v>
          </cell>
          <cell r="AD922">
            <v>45733</v>
          </cell>
          <cell r="AE922" t="str">
            <v/>
          </cell>
          <cell r="AF922" t="str">
            <v/>
          </cell>
          <cell r="AG922">
            <v>45733</v>
          </cell>
          <cell r="AH922" t="str">
            <v/>
          </cell>
          <cell r="AI922" t="str">
            <v/>
          </cell>
        </row>
        <row r="923">
          <cell r="C923">
            <v>54662</v>
          </cell>
          <cell r="D923" t="str">
            <v/>
          </cell>
          <cell r="E923" t="str">
            <v/>
          </cell>
          <cell r="F923" t="str">
            <v>Service</v>
          </cell>
          <cell r="G923" t="str">
            <v>Service Collected</v>
          </cell>
          <cell r="H923" t="str">
            <v>⚠️ Expedited</v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>https://panda-windows-and-doors.monday.com/protected_static/21046287/resources/2029551877/9464 It Works Glass.pdf</v>
          </cell>
          <cell r="O923" t="str">
            <v/>
          </cell>
          <cell r="P923" t="str">
            <v/>
          </cell>
          <cell r="Q923" t="str">
            <v>https://panda-windows-and-doors.monday.com/protected_static/21046287/resources/2029033348/Service Form.pdf</v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>
            <v>2340.9</v>
          </cell>
          <cell r="W923" t="str">
            <v>Jayme Truong Apr 16, 2025 9:29 AM</v>
          </cell>
          <cell r="X923" t="str">
            <v/>
          </cell>
          <cell r="Y923">
            <v>45736</v>
          </cell>
          <cell r="Z923" t="str">
            <v/>
          </cell>
          <cell r="AA923">
            <v>45736</v>
          </cell>
          <cell r="AB923" t="str">
            <v>Jayme Truong Mar 20, 2025 12:50 PM</v>
          </cell>
          <cell r="AC923">
            <v>45736</v>
          </cell>
          <cell r="AD923" t="str">
            <v/>
          </cell>
          <cell r="AE923" t="str">
            <v/>
          </cell>
          <cell r="AF923" t="str">
            <v/>
          </cell>
          <cell r="AG923">
            <v>45740</v>
          </cell>
          <cell r="AH923" t="str">
            <v/>
          </cell>
          <cell r="AI923" t="str">
            <v/>
          </cell>
        </row>
        <row r="924">
          <cell r="C924" t="str">
            <v>Crystal Crest</v>
          </cell>
          <cell r="D924" t="str">
            <v/>
          </cell>
          <cell r="E924" t="str">
            <v/>
          </cell>
          <cell r="F924" t="str">
            <v>Service</v>
          </cell>
          <cell r="G924" t="str">
            <v>Service Collected</v>
          </cell>
          <cell r="H924" t="str">
            <v>No</v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>https://panda-windows-and-doors.monday.com/protected_static/21046287/resources/2022409792/9441 Reza Mojtabavi.pdf</v>
          </cell>
          <cell r="O924" t="str">
            <v/>
          </cell>
          <cell r="P924" t="str">
            <v/>
          </cell>
          <cell r="Q924" t="str">
            <v>https://panda-windows-and-doors.monday.com/protected_static/21046287/resources/2014490148/Service Form.pdf</v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>
            <v>502.85</v>
          </cell>
          <cell r="W924" t="str">
            <v>Jayme Truong Apr 9, 2025 10:30 AM</v>
          </cell>
          <cell r="X924" t="str">
            <v/>
          </cell>
          <cell r="Y924">
            <v>45729</v>
          </cell>
          <cell r="Z924" t="str">
            <v/>
          </cell>
          <cell r="AA924">
            <v>45729</v>
          </cell>
          <cell r="AB924" t="str">
            <v>Jayme Truong Mar 13, 2025 1:52 PM</v>
          </cell>
          <cell r="AC924">
            <v>45729</v>
          </cell>
          <cell r="AD924">
            <v>45734</v>
          </cell>
          <cell r="AE924" t="str">
            <v/>
          </cell>
          <cell r="AF924" t="str">
            <v/>
          </cell>
          <cell r="AG924">
            <v>45744</v>
          </cell>
          <cell r="AH924" t="str">
            <v/>
          </cell>
          <cell r="AI924" t="str">
            <v/>
          </cell>
        </row>
        <row r="925">
          <cell r="C925">
            <v>67714</v>
          </cell>
          <cell r="D925" t="str">
            <v/>
          </cell>
          <cell r="E925" t="str">
            <v/>
          </cell>
          <cell r="F925" t="str">
            <v>Service</v>
          </cell>
          <cell r="G925" t="str">
            <v>Service Collected</v>
          </cell>
          <cell r="H925" t="str">
            <v>No</v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>https://panda-windows-and-doors.monday.com/protected_static/21046287/resources/2035964030/9481 Breslin Builder.pdf</v>
          </cell>
          <cell r="O925" t="str">
            <v/>
          </cell>
          <cell r="P925" t="str">
            <v/>
          </cell>
          <cell r="Q925" t="str">
            <v>https://panda-windows-and-doors.monday.com/protected_static/21046287/resources/2035773067/Service Form.pdf</v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>
            <v>396.9</v>
          </cell>
          <cell r="W925" t="str">
            <v>Jayme Truong Mar 28, 2025 2:54 PM</v>
          </cell>
          <cell r="X925" t="str">
            <v/>
          </cell>
          <cell r="Y925">
            <v>45740</v>
          </cell>
          <cell r="Z925" t="str">
            <v/>
          </cell>
          <cell r="AA925">
            <v>45740</v>
          </cell>
          <cell r="AB925" t="str">
            <v>Jayme Truong Mar 24, 2025 2:58 PM</v>
          </cell>
          <cell r="AC925">
            <v>45740</v>
          </cell>
          <cell r="AD925">
            <v>45741</v>
          </cell>
          <cell r="AE925" t="str">
            <v/>
          </cell>
          <cell r="AF925" t="str">
            <v/>
          </cell>
          <cell r="AG925">
            <v>45744</v>
          </cell>
          <cell r="AH925" t="str">
            <v/>
          </cell>
          <cell r="AI925" t="str">
            <v/>
          </cell>
        </row>
        <row r="926">
          <cell r="C926" t="str">
            <v>Q70274</v>
          </cell>
          <cell r="D926" t="str">
            <v/>
          </cell>
          <cell r="E926" t="str">
            <v/>
          </cell>
          <cell r="F926" t="str">
            <v>Service</v>
          </cell>
          <cell r="G926" t="str">
            <v>Service Collected</v>
          </cell>
          <cell r="H926" t="str">
            <v>No</v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>https://panda-windows-and-doors.monday.com/protected_static/21046287/resources/1958318141/9336 THe Kearney.pdf</v>
          </cell>
          <cell r="O926" t="str">
            <v/>
          </cell>
          <cell r="P926" t="str">
            <v/>
          </cell>
          <cell r="Q926" t="str">
            <v>https://panda-windows-and-doors.monday.com/protected_static/21046287/resources/1958170488/Service Invoice Form (3).pdf</v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>
            <v>3632.3</v>
          </cell>
          <cell r="W926" t="str">
            <v>Jayme Truong Mar 28, 2025 2:54 PM</v>
          </cell>
          <cell r="X926" t="str">
            <v/>
          </cell>
          <cell r="Y926">
            <v>45701</v>
          </cell>
          <cell r="Z926" t="str">
            <v/>
          </cell>
          <cell r="AA926">
            <v>45701</v>
          </cell>
          <cell r="AB926" t="str">
            <v>Jayme Truong Feb 13, 2025 3:41 PM</v>
          </cell>
          <cell r="AC926">
            <v>45701</v>
          </cell>
          <cell r="AD926">
            <v>45744</v>
          </cell>
          <cell r="AE926" t="str">
            <v/>
          </cell>
          <cell r="AF926" t="str">
            <v/>
          </cell>
          <cell r="AG926">
            <v>45744</v>
          </cell>
          <cell r="AH926" t="str">
            <v/>
          </cell>
          <cell r="AI926" t="str">
            <v/>
          </cell>
        </row>
        <row r="927">
          <cell r="C927">
            <v>66062</v>
          </cell>
          <cell r="D927" t="str">
            <v/>
          </cell>
          <cell r="E927" t="str">
            <v/>
          </cell>
          <cell r="F927" t="str">
            <v>Service</v>
          </cell>
          <cell r="G927" t="str">
            <v>Service Collected</v>
          </cell>
          <cell r="H927" t="str">
            <v>No</v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>https://panda-windows-and-doors.monday.com/protected_static/21046287/resources/2000224457/9416 Hyperion Construction.pdf</v>
          </cell>
          <cell r="O927" t="str">
            <v/>
          </cell>
          <cell r="P927" t="str">
            <v/>
          </cell>
          <cell r="Q927" t="str">
            <v>https://panda-windows-and-doors.monday.com/protected_static/21046287/resources/1999839397/Service Form (4).pdf, https://panda-windows-and-doors.monday.com/protected_static/21046287/resources/2125793990/Service Form (46).pdf</v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>
            <v>671</v>
          </cell>
          <cell r="W927" t="str">
            <v>Jayme Truong Mar 28, 2025 2:55 PM</v>
          </cell>
          <cell r="X927" t="str">
            <v/>
          </cell>
          <cell r="Y927">
            <v>45722</v>
          </cell>
          <cell r="Z927" t="str">
            <v/>
          </cell>
          <cell r="AA927">
            <v>45722</v>
          </cell>
          <cell r="AB927" t="str">
            <v>Jayme Truong Mar 6, 2025 10:43 AM</v>
          </cell>
          <cell r="AC927">
            <v>45722</v>
          </cell>
          <cell r="AD927">
            <v>45743</v>
          </cell>
          <cell r="AE927" t="str">
            <v/>
          </cell>
          <cell r="AF927" t="str">
            <v/>
          </cell>
          <cell r="AG927">
            <v>45744</v>
          </cell>
          <cell r="AH927" t="str">
            <v/>
          </cell>
          <cell r="AI927" t="str">
            <v/>
          </cell>
        </row>
        <row r="928">
          <cell r="C928">
            <v>70274.100000000006</v>
          </cell>
          <cell r="D928" t="str">
            <v/>
          </cell>
          <cell r="E928" t="str">
            <v/>
          </cell>
          <cell r="F928" t="str">
            <v>Service</v>
          </cell>
          <cell r="G928" t="str">
            <v>Service Collected</v>
          </cell>
          <cell r="H928" t="str">
            <v>No</v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>https://panda-windows-and-doors.monday.com/protected_static/21046287/resources/2037681508/9485 The Kearney Companies.pdf</v>
          </cell>
          <cell r="O928" t="str">
            <v/>
          </cell>
          <cell r="P928" t="str">
            <v/>
          </cell>
          <cell r="Q928" t="str">
            <v>https://panda-windows-and-doors.monday.com/protected_static/21046287/resources/2037579468/Service Form (10).pdf</v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>
            <v>997.5</v>
          </cell>
          <cell r="W928" t="str">
            <v>Jayme Truong Mar 28, 2025 3:01 PM</v>
          </cell>
          <cell r="X928" t="str">
            <v/>
          </cell>
          <cell r="Y928">
            <v>45741</v>
          </cell>
          <cell r="Z928" t="str">
            <v/>
          </cell>
          <cell r="AA928">
            <v>45741</v>
          </cell>
          <cell r="AB928" t="str">
            <v>Jayme Truong Mar 25, 2025 10:07 AM</v>
          </cell>
          <cell r="AC928">
            <v>45741</v>
          </cell>
          <cell r="AD928">
            <v>45743</v>
          </cell>
          <cell r="AE928" t="str">
            <v/>
          </cell>
          <cell r="AF928" t="str">
            <v/>
          </cell>
          <cell r="AG928">
            <v>45744</v>
          </cell>
          <cell r="AH928" t="str">
            <v/>
          </cell>
          <cell r="AI928" t="str">
            <v/>
          </cell>
        </row>
        <row r="929">
          <cell r="C929">
            <v>68217</v>
          </cell>
          <cell r="D929" t="str">
            <v/>
          </cell>
          <cell r="E929" t="str">
            <v/>
          </cell>
          <cell r="F929" t="str">
            <v>Service</v>
          </cell>
          <cell r="G929" t="str">
            <v>Service Collected</v>
          </cell>
          <cell r="H929" t="str">
            <v>No</v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>https://panda-windows-and-doors.monday.com/protected_static/21046287/resources/2037440856/9483 Procraft Door &amp; Glass.pdf</v>
          </cell>
          <cell r="O929" t="str">
            <v/>
          </cell>
          <cell r="P929" t="str">
            <v/>
          </cell>
          <cell r="Q929" t="str">
            <v>https://panda-windows-and-doors.monday.com/protected_static/21046287/resources/2037234401/Service Form (17).pdf</v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>
            <v>43</v>
          </cell>
          <cell r="W929" t="str">
            <v>Jayme Truong Mar 28, 2025 3:01 PM</v>
          </cell>
          <cell r="X929" t="str">
            <v/>
          </cell>
          <cell r="Y929">
            <v>45741</v>
          </cell>
          <cell r="Z929" t="str">
            <v/>
          </cell>
          <cell r="AA929">
            <v>45741</v>
          </cell>
          <cell r="AB929" t="str">
            <v>Jayme Truong Mar 25, 2025 8:25 AM</v>
          </cell>
          <cell r="AC929">
            <v>45741</v>
          </cell>
          <cell r="AD929">
            <v>45743</v>
          </cell>
          <cell r="AE929" t="str">
            <v/>
          </cell>
          <cell r="AF929" t="str">
            <v/>
          </cell>
          <cell r="AG929">
            <v>45744</v>
          </cell>
          <cell r="AH929" t="str">
            <v/>
          </cell>
          <cell r="AI929" t="str">
            <v/>
          </cell>
        </row>
        <row r="930">
          <cell r="C930" t="str">
            <v>Cirrus Asset Management</v>
          </cell>
          <cell r="D930" t="str">
            <v/>
          </cell>
          <cell r="E930" t="str">
            <v/>
          </cell>
          <cell r="F930" t="str">
            <v>Service</v>
          </cell>
          <cell r="G930" t="str">
            <v>Service Collected</v>
          </cell>
          <cell r="H930" t="str">
            <v>No</v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>https://panda-windows-and-doors.monday.com/protected_static/21046287/resources/2029562740/9467 Cirrus Asset Management.pdf</v>
          </cell>
          <cell r="O930" t="str">
            <v/>
          </cell>
          <cell r="P930" t="str">
            <v/>
          </cell>
          <cell r="Q930" t="str">
            <v>https://panda-windows-and-doors.monday.com/protected_static/21046287/resources/2028868232/Service Form (13).pdf, https://panda-windows-and-doors.monday.com/protected_static/21046287/resources/2029512869/Service Form (13).pdf</v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>
            <v>326.55</v>
          </cell>
          <cell r="W930" t="str">
            <v>Jayme Truong Mar 28, 2025 3:01 PM</v>
          </cell>
          <cell r="X930" t="str">
            <v/>
          </cell>
          <cell r="Y930">
            <v>45736</v>
          </cell>
          <cell r="Z930" t="str">
            <v/>
          </cell>
          <cell r="AA930">
            <v>45736</v>
          </cell>
          <cell r="AB930" t="str">
            <v>Jayme Truong Mar 20, 2025 11:48 AM</v>
          </cell>
          <cell r="AC930">
            <v>45736</v>
          </cell>
          <cell r="AD930">
            <v>45743</v>
          </cell>
          <cell r="AE930" t="str">
            <v/>
          </cell>
          <cell r="AF930" t="str">
            <v/>
          </cell>
          <cell r="AG930">
            <v>45744</v>
          </cell>
          <cell r="AH930" t="str">
            <v/>
          </cell>
          <cell r="AI930" t="str">
            <v/>
          </cell>
        </row>
        <row r="931">
          <cell r="C931">
            <v>70178</v>
          </cell>
          <cell r="D931" t="str">
            <v/>
          </cell>
          <cell r="E931" t="str">
            <v/>
          </cell>
          <cell r="F931" t="str">
            <v>Service</v>
          </cell>
          <cell r="G931" t="str">
            <v>Service Collected</v>
          </cell>
          <cell r="H931" t="str">
            <v>No</v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>https://panda-windows-and-doors.monday.com/protected_static/21046287/resources/2046297196/9503 Green Glass.pdf</v>
          </cell>
          <cell r="O931" t="str">
            <v/>
          </cell>
          <cell r="P931" t="str">
            <v/>
          </cell>
          <cell r="Q931" t="str">
            <v>https://panda-windows-and-doors.monday.com/protected_static/21046287/resources/2046104280/Service Form (20).pdf</v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>
            <v>1968.47</v>
          </cell>
          <cell r="W931" t="str">
            <v>Elizabet Lopez Mar 31, 2025 12:25 PM</v>
          </cell>
          <cell r="X931" t="str">
            <v/>
          </cell>
          <cell r="Y931">
            <v>45744</v>
          </cell>
          <cell r="Z931" t="str">
            <v/>
          </cell>
          <cell r="AA931">
            <v>45744</v>
          </cell>
          <cell r="AB931" t="str">
            <v>Jayme Truong Mar 28, 2025 1:51 PM</v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  <cell r="AG931">
            <v>45747</v>
          </cell>
          <cell r="AH931" t="str">
            <v/>
          </cell>
          <cell r="AI931" t="str">
            <v/>
          </cell>
        </row>
        <row r="932">
          <cell r="C932">
            <v>65276</v>
          </cell>
          <cell r="D932" t="str">
            <v/>
          </cell>
          <cell r="E932" t="str">
            <v/>
          </cell>
          <cell r="F932" t="str">
            <v>Service</v>
          </cell>
          <cell r="G932" t="str">
            <v>Service Collected</v>
          </cell>
          <cell r="H932" t="str">
            <v>No</v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>https://panda-windows-and-doors.monday.com/protected_static/21046287/resources/2035972230/9482 Kilroy architectural.pdf</v>
          </cell>
          <cell r="O932" t="str">
            <v/>
          </cell>
          <cell r="P932" t="str">
            <v/>
          </cell>
          <cell r="Q932" t="str">
            <v>https://panda-windows-and-doors.monday.com/protected_static/21046287/resources/2035834361/Service Form (16).pdf</v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>
            <v>961</v>
          </cell>
          <cell r="W932" t="str">
            <v>Jayme Truong Mar 31, 2025 12:28 PM</v>
          </cell>
          <cell r="X932" t="str">
            <v/>
          </cell>
          <cell r="Y932">
            <v>45740</v>
          </cell>
          <cell r="Z932" t="str">
            <v/>
          </cell>
          <cell r="AA932">
            <v>45740</v>
          </cell>
          <cell r="AB932" t="str">
            <v>Jayme Truong Mar 24, 2025 3:26 PM</v>
          </cell>
          <cell r="AC932">
            <v>45740</v>
          </cell>
          <cell r="AD932" t="str">
            <v/>
          </cell>
          <cell r="AE932" t="str">
            <v/>
          </cell>
          <cell r="AF932" t="str">
            <v/>
          </cell>
          <cell r="AG932">
            <v>45747</v>
          </cell>
          <cell r="AH932" t="str">
            <v/>
          </cell>
          <cell r="AI932" t="str">
            <v/>
          </cell>
        </row>
        <row r="933">
          <cell r="C933" t="str">
            <v>Q68840</v>
          </cell>
          <cell r="D933" t="str">
            <v/>
          </cell>
          <cell r="E933" t="str">
            <v/>
          </cell>
          <cell r="F933" t="str">
            <v>Service</v>
          </cell>
          <cell r="G933" t="str">
            <v>Service Collected</v>
          </cell>
          <cell r="H933" t="str">
            <v>No</v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>https://panda-windows-and-doors.monday.com/protected_static/21046287/resources/1960539253/9350 Roost Home .pdf</v>
          </cell>
          <cell r="O933" t="str">
            <v/>
          </cell>
          <cell r="P933" t="str">
            <v/>
          </cell>
          <cell r="Q933" t="str">
            <v>https://panda-windows-and-doors.monday.com/protected_static/21046287/resources/1960311205/Service Invoice Form.pdf</v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>
            <v>91.35</v>
          </cell>
          <cell r="W933" t="str">
            <v>Jayme Truong Apr 2, 2025 12:04 PM</v>
          </cell>
          <cell r="X933" t="str">
            <v/>
          </cell>
          <cell r="Y933">
            <v>45702</v>
          </cell>
          <cell r="Z933" t="str">
            <v/>
          </cell>
          <cell r="AA933">
            <v>45702</v>
          </cell>
          <cell r="AB933" t="str">
            <v>Jayme Truong Feb 14, 2025 2:26 PM</v>
          </cell>
          <cell r="AC933">
            <v>45702</v>
          </cell>
          <cell r="AD933" t="str">
            <v/>
          </cell>
          <cell r="AE933" t="str">
            <v/>
          </cell>
          <cell r="AF933" t="str">
            <v/>
          </cell>
          <cell r="AG933">
            <v>45749</v>
          </cell>
          <cell r="AH933" t="str">
            <v/>
          </cell>
          <cell r="AI933" t="str">
            <v/>
          </cell>
        </row>
        <row r="934">
          <cell r="C934" t="str">
            <v>Cirrus Asset Management</v>
          </cell>
          <cell r="D934" t="str">
            <v/>
          </cell>
          <cell r="E934" t="str">
            <v/>
          </cell>
          <cell r="F934" t="str">
            <v>Service</v>
          </cell>
          <cell r="G934" t="str">
            <v>Service Collected</v>
          </cell>
          <cell r="H934" t="str">
            <v>No</v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>https://panda-windows-and-doors.monday.com/protected_static/21046287/resources/2023773479/9451 Cirrus Asset Management.pdf</v>
          </cell>
          <cell r="O934" t="str">
            <v/>
          </cell>
          <cell r="P934" t="str">
            <v/>
          </cell>
          <cell r="Q934" t="str">
            <v>https://panda-windows-and-doors.monday.com/protected_static/21046287/resources/2028868232/Service Form (13).pdf, https://panda-windows-and-doors.monday.com/protected_static/21046287/resources/2029512869/Service Form (13).pdf</v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>
            <v>374.06</v>
          </cell>
          <cell r="W934" t="str">
            <v>Jayme Truong Apr 9, 2025 10:29 AM</v>
          </cell>
          <cell r="X934" t="str">
            <v/>
          </cell>
          <cell r="Y934">
            <v>45734</v>
          </cell>
          <cell r="Z934" t="str">
            <v/>
          </cell>
          <cell r="AA934">
            <v>45749</v>
          </cell>
          <cell r="AB934" t="str">
            <v>Jayme Truong Mar 18, 2025 11:50 AM</v>
          </cell>
          <cell r="AC934">
            <v>45734</v>
          </cell>
          <cell r="AD934" t="str">
            <v/>
          </cell>
          <cell r="AE934" t="str">
            <v/>
          </cell>
          <cell r="AF934" t="str">
            <v/>
          </cell>
          <cell r="AG934">
            <v>45749</v>
          </cell>
          <cell r="AH934" t="str">
            <v/>
          </cell>
          <cell r="AI934" t="str">
            <v/>
          </cell>
        </row>
        <row r="935">
          <cell r="C935" t="str">
            <v>Solano</v>
          </cell>
          <cell r="D935" t="str">
            <v/>
          </cell>
          <cell r="E935" t="str">
            <v/>
          </cell>
          <cell r="F935" t="str">
            <v>Service</v>
          </cell>
          <cell r="G935" t="str">
            <v>Service Collected</v>
          </cell>
          <cell r="H935" t="str">
            <v>No</v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>https://panda-windows-and-doors.monday.com/protected_static/21046287/resources/2013812613/9439 Andy Clark.pdf</v>
          </cell>
          <cell r="O935" t="str">
            <v/>
          </cell>
          <cell r="P935" t="str">
            <v/>
          </cell>
          <cell r="Q935" t="str">
            <v>https://panda-windows-and-doors.monday.com/protected_static/21046287/resources/2013637624/Service Form (6).pdf</v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>
            <v>789</v>
          </cell>
          <cell r="W935" t="str">
            <v>Jayme Truong Apr 2, 2025 3:46 PM</v>
          </cell>
          <cell r="X935" t="str">
            <v/>
          </cell>
          <cell r="Y935">
            <v>45729</v>
          </cell>
          <cell r="Z935" t="str">
            <v/>
          </cell>
          <cell r="AA935">
            <v>45729</v>
          </cell>
          <cell r="AB935" t="str">
            <v>Jayme Truong Mar 13, 2025 9:07 AM</v>
          </cell>
          <cell r="AC935">
            <v>45729</v>
          </cell>
          <cell r="AD935" t="str">
            <v/>
          </cell>
          <cell r="AE935" t="str">
            <v/>
          </cell>
          <cell r="AF935" t="str">
            <v/>
          </cell>
          <cell r="AG935">
            <v>45749</v>
          </cell>
          <cell r="AH935" t="str">
            <v/>
          </cell>
          <cell r="AI935" t="str">
            <v/>
          </cell>
        </row>
        <row r="936">
          <cell r="C936">
            <v>74570</v>
          </cell>
          <cell r="D936" t="str">
            <v/>
          </cell>
          <cell r="E936" t="str">
            <v/>
          </cell>
          <cell r="F936" t="str">
            <v>Service</v>
          </cell>
          <cell r="G936" t="str">
            <v>Service Collected</v>
          </cell>
          <cell r="H936" t="str">
            <v>No</v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>https://panda-windows-and-doors.monday.com/protected_static/21046287/resources/2043317478/9492 RIVERWOODS MILL.pdf</v>
          </cell>
          <cell r="O936" t="str">
            <v/>
          </cell>
          <cell r="P936" t="str">
            <v/>
          </cell>
          <cell r="Q936" t="str">
            <v>https://panda-windows-and-doors.monday.com/protected_static/21046287/resources/2041530660/Service Form.pdf</v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>
            <v>2326</v>
          </cell>
          <cell r="W936" t="str">
            <v>Jayme Truong Apr 4, 2025 11:13 AM</v>
          </cell>
          <cell r="X936" t="str">
            <v/>
          </cell>
          <cell r="Y936">
            <v>45742</v>
          </cell>
          <cell r="Z936" t="str">
            <v/>
          </cell>
          <cell r="AA936">
            <v>45743</v>
          </cell>
          <cell r="AB936" t="str">
            <v>Jayme Truong Mar 26, 2025 4:48 PM</v>
          </cell>
          <cell r="AC936">
            <v>45743</v>
          </cell>
          <cell r="AD936" t="str">
            <v/>
          </cell>
          <cell r="AE936" t="str">
            <v/>
          </cell>
          <cell r="AF936" t="str">
            <v/>
          </cell>
          <cell r="AG936">
            <v>45751</v>
          </cell>
          <cell r="AH936" t="str">
            <v/>
          </cell>
          <cell r="AI936" t="str">
            <v/>
          </cell>
        </row>
        <row r="937">
          <cell r="C937">
            <v>18</v>
          </cell>
          <cell r="D937" t="str">
            <v/>
          </cell>
          <cell r="E937" t="str">
            <v/>
          </cell>
          <cell r="F937" t="str">
            <v>Service</v>
          </cell>
          <cell r="G937" t="str">
            <v>Service Collected</v>
          </cell>
          <cell r="H937" t="str">
            <v>No</v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>https://panda-windows-and-doors.monday.com/protected_static/21046287/resources/2056772998/9516 Aloha Door.pdf</v>
          </cell>
          <cell r="O937" t="str">
            <v/>
          </cell>
          <cell r="P937" t="str">
            <v/>
          </cell>
          <cell r="Q937" t="str">
            <v>https://panda-windows-and-doors.monday.com/protected_static/21046287/resources/2056403711/Service Form.pdf</v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>
            <v>2590.4499999999998</v>
          </cell>
          <cell r="W937" t="str">
            <v>Elizabet Lopez Apr 4, 2025 11:40 AM</v>
          </cell>
          <cell r="X937" t="str">
            <v/>
          </cell>
          <cell r="Y937">
            <v>45749</v>
          </cell>
          <cell r="Z937" t="str">
            <v/>
          </cell>
          <cell r="AA937">
            <v>45749</v>
          </cell>
          <cell r="AB937" t="str">
            <v>Jayme Truong Apr 2, 2025 11:56 AM</v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  <cell r="AG937" t="str">
            <v/>
          </cell>
          <cell r="AH937" t="str">
            <v/>
          </cell>
          <cell r="AI937" t="str">
            <v/>
          </cell>
        </row>
        <row r="938">
          <cell r="C938">
            <v>54662</v>
          </cell>
          <cell r="D938" t="str">
            <v/>
          </cell>
          <cell r="E938" t="str">
            <v/>
          </cell>
          <cell r="F938" t="str">
            <v>Service</v>
          </cell>
          <cell r="G938" t="str">
            <v>Service Collected</v>
          </cell>
          <cell r="H938" t="str">
            <v>No</v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>https://panda-windows-and-doors.monday.com/protected_static/21046287/resources/2049343173/9506 It Works.pdf</v>
          </cell>
          <cell r="O938" t="str">
            <v/>
          </cell>
          <cell r="P938" t="str">
            <v/>
          </cell>
          <cell r="Q938" t="str">
            <v>https://panda-windows-and-doors.monday.com/protected_static/21046287/resources/2046331721/Service Form.pdf</v>
          </cell>
          <cell r="R938" t="str">
            <v/>
          </cell>
          <cell r="S938" t="str">
            <v/>
          </cell>
          <cell r="T938" t="str">
            <v/>
          </cell>
          <cell r="U938">
            <v>0</v>
          </cell>
          <cell r="V938">
            <v>375</v>
          </cell>
          <cell r="W938" t="str">
            <v>Jayme Truong Apr 4, 2025 12:08 PM</v>
          </cell>
          <cell r="X938" t="str">
            <v/>
          </cell>
          <cell r="Y938">
            <v>45744</v>
          </cell>
          <cell r="Z938" t="str">
            <v/>
          </cell>
          <cell r="AA938">
            <v>45744</v>
          </cell>
          <cell r="AB938" t="str">
            <v>Jayme Truong Mar 28, 2025 3:47 PM</v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  <cell r="AG938">
            <v>45751</v>
          </cell>
          <cell r="AH938" t="str">
            <v/>
          </cell>
          <cell r="AI938" t="str">
            <v/>
          </cell>
        </row>
        <row r="939">
          <cell r="C939">
            <v>65530</v>
          </cell>
          <cell r="D939" t="str">
            <v/>
          </cell>
          <cell r="E939" t="str">
            <v/>
          </cell>
          <cell r="F939" t="str">
            <v>Service</v>
          </cell>
          <cell r="G939" t="str">
            <v>Service Collected</v>
          </cell>
          <cell r="H939" t="str">
            <v>No</v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>https://panda-windows-and-doors.monday.com/protected_static/21046287/resources/2055836862/1111 Patrick McMahon.pdf</v>
          </cell>
          <cell r="O939" t="str">
            <v/>
          </cell>
          <cell r="P939" t="str">
            <v/>
          </cell>
          <cell r="Q939" t="str">
            <v>https://panda-windows-and-doors.monday.com/protected_static/21046287/resources/2053634944/Service Form (21).pdf</v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>
            <v>1320</v>
          </cell>
          <cell r="W939" t="str">
            <v>Jayme Truong Apr 4, 2025 4:52 PM</v>
          </cell>
          <cell r="X939" t="str">
            <v/>
          </cell>
          <cell r="Y939">
            <v>45748</v>
          </cell>
          <cell r="Z939" t="str">
            <v/>
          </cell>
          <cell r="AA939">
            <v>45748</v>
          </cell>
          <cell r="AB939" t="str">
            <v>Jayme Truong Apr 1, 2025 12:58 PM</v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  <cell r="AG939">
            <v>45751</v>
          </cell>
          <cell r="AH939" t="str">
            <v/>
          </cell>
          <cell r="AI939" t="str">
            <v/>
          </cell>
        </row>
        <row r="940">
          <cell r="C940" t="str">
            <v>Bob Sullivan</v>
          </cell>
          <cell r="D940" t="str">
            <v/>
          </cell>
          <cell r="E940" t="str">
            <v/>
          </cell>
          <cell r="F940" t="str">
            <v>Service</v>
          </cell>
          <cell r="G940" t="str">
            <v>Service Collected</v>
          </cell>
          <cell r="H940" t="str">
            <v>No</v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>https://panda-windows-and-doors.monday.com/protected_static/21046287/resources/2059434547/9522 bob sillivan.pdf</v>
          </cell>
          <cell r="O940" t="str">
            <v/>
          </cell>
          <cell r="P940" t="str">
            <v/>
          </cell>
          <cell r="Q940" t="str">
            <v>https://panda-windows-and-doors.monday.com/protected_static/21046287/resources/2058818687/Service Form (23).pdf</v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>
            <v>254</v>
          </cell>
          <cell r="W940" t="str">
            <v>Jayme Truong Apr 7, 2025 10:42 AM</v>
          </cell>
          <cell r="X940" t="str">
            <v/>
          </cell>
          <cell r="Y940">
            <v>45750</v>
          </cell>
          <cell r="Z940" t="str">
            <v/>
          </cell>
          <cell r="AA940">
            <v>45750</v>
          </cell>
          <cell r="AB940" t="str">
            <v>Jayme Truong Apr 3, 2025 8:13 AM</v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  <cell r="AG940">
            <v>45754</v>
          </cell>
          <cell r="AH940" t="str">
            <v/>
          </cell>
          <cell r="AI940" t="str">
            <v/>
          </cell>
        </row>
        <row r="941">
          <cell r="C941">
            <v>64790</v>
          </cell>
          <cell r="D941" t="str">
            <v/>
          </cell>
          <cell r="E941" t="str">
            <v/>
          </cell>
          <cell r="F941" t="str">
            <v>Service</v>
          </cell>
          <cell r="G941" t="str">
            <v>Service Collected</v>
          </cell>
          <cell r="H941" t="str">
            <v>No</v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>https://panda-windows-and-doors.monday.com/protected_static/21046287/resources/2000762568/9420 Storm Frame Window.pdf</v>
          </cell>
          <cell r="O941" t="str">
            <v/>
          </cell>
          <cell r="P941" t="str">
            <v/>
          </cell>
          <cell r="Q941" t="str">
            <v>https://panda-windows-and-doors.monday.com/protected_static/21046287/resources/2000692112/Service Form.pdf</v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>
            <v>5963</v>
          </cell>
          <cell r="W941" t="str">
            <v>Jayme Truong Apr 9, 2025 3:48 PM</v>
          </cell>
          <cell r="X941" t="str">
            <v/>
          </cell>
          <cell r="Y941">
            <v>45722</v>
          </cell>
          <cell r="Z941" t="str">
            <v/>
          </cell>
          <cell r="AA941">
            <v>45722</v>
          </cell>
          <cell r="AB941" t="str">
            <v>Jayme Truong Mar 6, 2025 3:56 PM</v>
          </cell>
          <cell r="AC941">
            <v>45722</v>
          </cell>
          <cell r="AD941" t="str">
            <v/>
          </cell>
          <cell r="AE941" t="str">
            <v/>
          </cell>
          <cell r="AF941" t="str">
            <v/>
          </cell>
          <cell r="AG941">
            <v>45756</v>
          </cell>
          <cell r="AH941" t="str">
            <v/>
          </cell>
          <cell r="AI941" t="str">
            <v/>
          </cell>
        </row>
        <row r="942">
          <cell r="C942" t="str">
            <v>Q76443.1</v>
          </cell>
          <cell r="D942" t="str">
            <v/>
          </cell>
          <cell r="E942" t="str">
            <v/>
          </cell>
          <cell r="F942" t="str">
            <v>Service</v>
          </cell>
          <cell r="G942" t="str">
            <v>Service Collected</v>
          </cell>
          <cell r="H942" t="str">
            <v>No</v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>https://panda-windows-and-doors.monday.com/protected_static/21046287/resources/2066926376/9530 GMP Group.pdf</v>
          </cell>
          <cell r="O942" t="str">
            <v/>
          </cell>
          <cell r="P942" t="str">
            <v/>
          </cell>
          <cell r="Q942" t="str">
            <v>https://panda-windows-and-doors.monday.com/protected_static/21046287/resources/2066571780/Service Form (24).pdf</v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>
            <v>290</v>
          </cell>
          <cell r="W942" t="str">
            <v>Jayme Truong Apr 9, 2025 4:46 PM</v>
          </cell>
          <cell r="X942" t="str">
            <v/>
          </cell>
          <cell r="Y942">
            <v>45754</v>
          </cell>
          <cell r="Z942" t="str">
            <v/>
          </cell>
          <cell r="AA942">
            <v>45754</v>
          </cell>
          <cell r="AB942" t="str">
            <v>Jayme Truong Apr 7, 2025 2:32 PM</v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  <cell r="AG942">
            <v>45756</v>
          </cell>
          <cell r="AH942" t="str">
            <v/>
          </cell>
          <cell r="AI942" t="str">
            <v/>
          </cell>
        </row>
        <row r="943">
          <cell r="C943">
            <v>67232</v>
          </cell>
          <cell r="D943" t="str">
            <v/>
          </cell>
          <cell r="E943" t="str">
            <v/>
          </cell>
          <cell r="F943" t="str">
            <v>Service</v>
          </cell>
          <cell r="G943" t="str">
            <v>Service Collected</v>
          </cell>
          <cell r="H943" t="str">
            <v>No</v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>https://panda-windows-and-doors.monday.com/protected_static/21046287/resources/2040935506/9489 Mena Locksmith.pdf</v>
          </cell>
          <cell r="O943" t="str">
            <v/>
          </cell>
          <cell r="P943" t="str">
            <v/>
          </cell>
          <cell r="Q943" t="str">
            <v>https://panda-windows-and-doors.monday.com/protected_static/21046287/resources/2040500638/Service Form (18).pdf</v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>
            <v>143</v>
          </cell>
          <cell r="W943" t="str">
            <v>Jayme Truong Apr 10, 2025 10:59 AM</v>
          </cell>
          <cell r="X943" t="str">
            <v/>
          </cell>
          <cell r="Y943">
            <v>45742</v>
          </cell>
          <cell r="Z943" t="str">
            <v/>
          </cell>
          <cell r="AA943">
            <v>45742</v>
          </cell>
          <cell r="AB943" t="str">
            <v>Jayme Truong Mar 26, 2025 10:32 AM</v>
          </cell>
          <cell r="AC943">
            <v>45742</v>
          </cell>
          <cell r="AD943" t="str">
            <v/>
          </cell>
          <cell r="AE943" t="str">
            <v/>
          </cell>
          <cell r="AF943" t="str">
            <v/>
          </cell>
          <cell r="AG943">
            <v>45757</v>
          </cell>
          <cell r="AH943" t="str">
            <v/>
          </cell>
          <cell r="AI943" t="str">
            <v/>
          </cell>
        </row>
        <row r="944">
          <cell r="C944">
            <v>17399</v>
          </cell>
          <cell r="D944" t="str">
            <v/>
          </cell>
          <cell r="E944" t="str">
            <v/>
          </cell>
          <cell r="F944" t="str">
            <v>Service</v>
          </cell>
          <cell r="G944" t="str">
            <v>Service Collected</v>
          </cell>
          <cell r="H944" t="str">
            <v>No</v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>https://panda-windows-and-doors.monday.com/protected_static/21046287/resources/2066789797/9529 Master Home Works.pdf</v>
          </cell>
          <cell r="O944" t="str">
            <v/>
          </cell>
          <cell r="P944" t="str">
            <v/>
          </cell>
          <cell r="Q944" t="str">
            <v>https://panda-windows-and-doors.monday.com/protected_static/21046287/resources/2066618076/Service Form.pdf</v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>
            <v>254.6</v>
          </cell>
          <cell r="W944" t="str">
            <v>Jayme Truong Apr 10, 2025 4:21 PM</v>
          </cell>
          <cell r="X944" t="str">
            <v/>
          </cell>
          <cell r="Y944">
            <v>45754</v>
          </cell>
          <cell r="Z944" t="str">
            <v/>
          </cell>
          <cell r="AA944">
            <v>45754</v>
          </cell>
          <cell r="AB944" t="str">
            <v>Jayme Truong Apr 7, 2025 2:47 PM</v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  <cell r="AG944">
            <v>45757</v>
          </cell>
          <cell r="AH944" t="str">
            <v/>
          </cell>
          <cell r="AI944" t="str">
            <v/>
          </cell>
        </row>
        <row r="945">
          <cell r="C945">
            <v>79518</v>
          </cell>
          <cell r="D945" t="str">
            <v/>
          </cell>
          <cell r="E945" t="str">
            <v/>
          </cell>
          <cell r="F945" t="str">
            <v>Service</v>
          </cell>
          <cell r="G945" t="str">
            <v>Service Collected</v>
          </cell>
          <cell r="H945" t="str">
            <v>No</v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>https://panda-windows-and-doors.monday.com/protected_static/21046287/resources/2077215761/9552 Nicholas Sebastian.pdf</v>
          </cell>
          <cell r="O945" t="str">
            <v/>
          </cell>
          <cell r="P945" t="str">
            <v/>
          </cell>
          <cell r="Q945" t="str">
            <v>https://panda-windows-and-doors.monday.com/protected_static/21046287/resources/2076764007/Service Form.pdf</v>
          </cell>
          <cell r="R945" t="str">
            <v/>
          </cell>
          <cell r="S945" t="str">
            <v/>
          </cell>
          <cell r="T945" t="str">
            <v/>
          </cell>
          <cell r="U945">
            <v>0</v>
          </cell>
          <cell r="V945">
            <v>20</v>
          </cell>
          <cell r="W945" t="str">
            <v>Jayme Truong Apr 11, 2025 2:43 PM</v>
          </cell>
          <cell r="X945" t="str">
            <v/>
          </cell>
          <cell r="Y945">
            <v>45758</v>
          </cell>
          <cell r="Z945" t="str">
            <v/>
          </cell>
          <cell r="AA945">
            <v>45758</v>
          </cell>
          <cell r="AB945" t="str">
            <v>Jayme Truong Apr 11, 2025 8:20 AM</v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  <cell r="AG945">
            <v>45758</v>
          </cell>
          <cell r="AH945" t="str">
            <v/>
          </cell>
          <cell r="AI945" t="str">
            <v/>
          </cell>
        </row>
        <row r="946">
          <cell r="C946">
            <v>79399</v>
          </cell>
          <cell r="D946" t="str">
            <v/>
          </cell>
          <cell r="E946" t="str">
            <v/>
          </cell>
          <cell r="F946" t="str">
            <v>Service</v>
          </cell>
          <cell r="G946" t="str">
            <v>Service Collected</v>
          </cell>
          <cell r="H946" t="str">
            <v>No</v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>https://panda-windows-and-doors.monday.com/protected_static/21046287/resources/2043503745/9498 IIIini Archtectural.pdf</v>
          </cell>
          <cell r="O946" t="str">
            <v/>
          </cell>
          <cell r="P946" t="str">
            <v/>
          </cell>
          <cell r="Q946" t="str">
            <v>https://panda-windows-and-doors.monday.com/protected_static/21046287/resources/2043353020/Service Form (14).pdf</v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>
            <v>653</v>
          </cell>
          <cell r="W946" t="str">
            <v>Jayme Truong Apr 11, 2025 2:52 PM</v>
          </cell>
          <cell r="X946" t="str">
            <v/>
          </cell>
          <cell r="Y946">
            <v>45743</v>
          </cell>
          <cell r="Z946" t="str">
            <v/>
          </cell>
          <cell r="AA946">
            <v>45743</v>
          </cell>
          <cell r="AB946" t="str">
            <v>Jayme Truong Mar 27, 2025 11:43 AM</v>
          </cell>
          <cell r="AC946" t="str">
            <v/>
          </cell>
          <cell r="AD946" t="str">
            <v/>
          </cell>
          <cell r="AE946" t="str">
            <v/>
          </cell>
          <cell r="AF946" t="str">
            <v/>
          </cell>
          <cell r="AG946">
            <v>45758</v>
          </cell>
          <cell r="AH946" t="str">
            <v/>
          </cell>
          <cell r="AI946" t="str">
            <v/>
          </cell>
        </row>
        <row r="947">
          <cell r="C947" t="str">
            <v>Garden Table</v>
          </cell>
          <cell r="D947" t="str">
            <v/>
          </cell>
          <cell r="E947" t="str">
            <v/>
          </cell>
          <cell r="F947" t="str">
            <v>Service</v>
          </cell>
          <cell r="G947" t="str">
            <v>Service Collected</v>
          </cell>
          <cell r="H947" t="str">
            <v>No</v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>https://panda-windows-and-doors.monday.com/protected_static/21046287/resources/2071948900/9538 Automatic Door.pdf</v>
          </cell>
          <cell r="O947" t="str">
            <v/>
          </cell>
          <cell r="P947" t="str">
            <v/>
          </cell>
          <cell r="Q947" t="str">
            <v>https://panda-windows-and-doors.monday.com/protected_static/21046287/resources/2071622428/Service Form (15).pdf</v>
          </cell>
          <cell r="R947" t="str">
            <v/>
          </cell>
          <cell r="S947" t="str">
            <v/>
          </cell>
          <cell r="T947" t="str">
            <v/>
          </cell>
          <cell r="U947">
            <v>0</v>
          </cell>
          <cell r="V947">
            <v>595</v>
          </cell>
          <cell r="W947" t="str">
            <v>Jayme Truong Apr 11, 2025 3:10 PM</v>
          </cell>
          <cell r="X947" t="str">
            <v/>
          </cell>
          <cell r="Y947">
            <v>45756</v>
          </cell>
          <cell r="Z947" t="str">
            <v/>
          </cell>
          <cell r="AA947">
            <v>45756</v>
          </cell>
          <cell r="AB947" t="str">
            <v>Jayme Truong Apr 9, 2025 9:10 AM</v>
          </cell>
          <cell r="AC947" t="str">
            <v/>
          </cell>
          <cell r="AD947" t="str">
            <v/>
          </cell>
          <cell r="AE947" t="str">
            <v/>
          </cell>
          <cell r="AF947" t="str">
            <v/>
          </cell>
          <cell r="AG947">
            <v>45758</v>
          </cell>
          <cell r="AH947" t="str">
            <v/>
          </cell>
          <cell r="AI947" t="str">
            <v/>
          </cell>
        </row>
        <row r="948">
          <cell r="C948">
            <v>71436</v>
          </cell>
          <cell r="D948" t="str">
            <v/>
          </cell>
          <cell r="E948" t="str">
            <v/>
          </cell>
          <cell r="F948" t="str">
            <v>Service</v>
          </cell>
          <cell r="G948" t="str">
            <v>Service Collected</v>
          </cell>
          <cell r="H948" t="str">
            <v>No</v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>https://panda-windows-and-doors.monday.com/protected_static/21046287/resources/2072848311/9545 woodbridge glass.pdf</v>
          </cell>
          <cell r="O948" t="str">
            <v/>
          </cell>
          <cell r="P948" t="str">
            <v/>
          </cell>
          <cell r="Q948" t="str">
            <v>https://panda-windows-and-doors.monday.com/protected_static/21046287/resources/2072684738/Service Form (26).pdf</v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>
            <v>1029</v>
          </cell>
          <cell r="W948" t="str">
            <v>Jayme Truong Apr 14, 2025 2:31 PM</v>
          </cell>
          <cell r="X948" t="str">
            <v/>
          </cell>
          <cell r="Y948">
            <v>45756</v>
          </cell>
          <cell r="Z948" t="str">
            <v/>
          </cell>
          <cell r="AA948">
            <v>45756</v>
          </cell>
          <cell r="AB948" t="str">
            <v>Jayme Truong Apr 9, 2025 3:40 PM</v>
          </cell>
          <cell r="AC948" t="str">
            <v/>
          </cell>
          <cell r="AD948" t="str">
            <v/>
          </cell>
          <cell r="AE948" t="str">
            <v/>
          </cell>
          <cell r="AF948" t="str">
            <v/>
          </cell>
          <cell r="AG948">
            <v>45761</v>
          </cell>
          <cell r="AH948" t="str">
            <v/>
          </cell>
          <cell r="AI948" t="str">
            <v/>
          </cell>
        </row>
        <row r="949">
          <cell r="C949">
            <v>67232.100000000006</v>
          </cell>
          <cell r="D949" t="str">
            <v/>
          </cell>
          <cell r="E949" t="str">
            <v/>
          </cell>
          <cell r="F949" t="str">
            <v>Service</v>
          </cell>
          <cell r="G949" t="str">
            <v>Service Collected</v>
          </cell>
          <cell r="H949" t="str">
            <v>No</v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>https://panda-windows-and-doors.monday.com/protected_static/21046287/resources/2074819255/9548 Mena Locksmith.pdf</v>
          </cell>
          <cell r="O949" t="str">
            <v/>
          </cell>
          <cell r="P949" t="str">
            <v/>
          </cell>
          <cell r="Q949" t="str">
            <v>https://panda-windows-and-doors.monday.com/protected_static/21046287/resources/2074789246/Service Form (17).pdf</v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>
            <v>143</v>
          </cell>
          <cell r="W949" t="str">
            <v>Jayme Truong Apr 14, 2025 3:01 PM</v>
          </cell>
          <cell r="X949" t="str">
            <v/>
          </cell>
          <cell r="Y949">
            <v>45757</v>
          </cell>
          <cell r="Z949" t="str">
            <v/>
          </cell>
          <cell r="AA949" t="str">
            <v/>
          </cell>
          <cell r="AB949" t="str">
            <v>Jayme Truong Apr 10, 2025 11:04 AM</v>
          </cell>
          <cell r="AC949" t="str">
            <v/>
          </cell>
          <cell r="AD949" t="str">
            <v/>
          </cell>
          <cell r="AE949" t="str">
            <v/>
          </cell>
          <cell r="AF949" t="str">
            <v/>
          </cell>
          <cell r="AG949">
            <v>45761</v>
          </cell>
          <cell r="AH949" t="str">
            <v/>
          </cell>
          <cell r="AI949" t="str">
            <v/>
          </cell>
        </row>
        <row r="950">
          <cell r="C950">
            <v>72110.100000000006</v>
          </cell>
          <cell r="D950" t="str">
            <v/>
          </cell>
          <cell r="E950" t="str">
            <v/>
          </cell>
          <cell r="F950" t="str">
            <v>Service</v>
          </cell>
          <cell r="G950" t="str">
            <v>Service Collected</v>
          </cell>
          <cell r="H950" t="str">
            <v>No</v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>https://panda-windows-and-doors.monday.com/protected_static/21046287/resources/2075102275/9549 WIS.pdf</v>
          </cell>
          <cell r="O950" t="str">
            <v/>
          </cell>
          <cell r="P950" t="str">
            <v/>
          </cell>
          <cell r="Q950" t="str">
            <v>https://panda-windows-and-doors.monday.com/protected_static/21046287/resources/2074817017/Service Form (27).pdf</v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>
            <v>159</v>
          </cell>
          <cell r="W950" t="str">
            <v>Jayme Truong Apr 14, 2025 3:21 PM</v>
          </cell>
          <cell r="X950" t="str">
            <v/>
          </cell>
          <cell r="Y950">
            <v>45757</v>
          </cell>
          <cell r="Z950" t="str">
            <v/>
          </cell>
          <cell r="AA950">
            <v>45757</v>
          </cell>
          <cell r="AB950" t="str">
            <v>Jayme Truong Apr 10, 2025 11:14 AM</v>
          </cell>
          <cell r="AC950" t="str">
            <v/>
          </cell>
          <cell r="AD950" t="str">
            <v/>
          </cell>
          <cell r="AE950" t="str">
            <v/>
          </cell>
          <cell r="AF950" t="str">
            <v/>
          </cell>
          <cell r="AG950">
            <v>45761</v>
          </cell>
          <cell r="AH950" t="str">
            <v/>
          </cell>
          <cell r="AI950" t="str">
            <v/>
          </cell>
        </row>
        <row r="951">
          <cell r="C951" t="str">
            <v>Xtreme Glass</v>
          </cell>
          <cell r="D951" t="str">
            <v/>
          </cell>
          <cell r="E951" t="str">
            <v/>
          </cell>
          <cell r="F951" t="str">
            <v>Service</v>
          </cell>
          <cell r="G951" t="str">
            <v>Service Collected</v>
          </cell>
          <cell r="H951" t="str">
            <v>No</v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>https://panda-windows-and-doors.monday.com/protected_static/21046287/resources/2071966022/9539 Xtreme Glass.pdf</v>
          </cell>
          <cell r="O951" t="str">
            <v/>
          </cell>
          <cell r="P951" t="str">
            <v/>
          </cell>
          <cell r="Q951" t="str">
            <v>https://panda-windows-and-doors.monday.com/protected_static/21046287/resources/2108872857/Service Form (41).pdf</v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>
            <v>257</v>
          </cell>
          <cell r="W951" t="str">
            <v>Jayme Truong Apr 16, 2025 2:25 PM</v>
          </cell>
          <cell r="X951" t="str">
            <v/>
          </cell>
          <cell r="Y951">
            <v>45756</v>
          </cell>
          <cell r="Z951" t="str">
            <v/>
          </cell>
          <cell r="AA951">
            <v>45756</v>
          </cell>
          <cell r="AB951" t="str">
            <v>Jayme Truong Apr 9, 2025 10:56 AM</v>
          </cell>
          <cell r="AC951" t="str">
            <v/>
          </cell>
          <cell r="AD951" t="str">
            <v/>
          </cell>
          <cell r="AE951" t="str">
            <v/>
          </cell>
          <cell r="AF951" t="str">
            <v/>
          </cell>
          <cell r="AG951">
            <v>45763</v>
          </cell>
          <cell r="AH951" t="str">
            <v/>
          </cell>
          <cell r="AI951" t="str">
            <v/>
          </cell>
        </row>
        <row r="952">
          <cell r="C952">
            <v>2323</v>
          </cell>
          <cell r="D952" t="str">
            <v/>
          </cell>
          <cell r="E952" t="str">
            <v/>
          </cell>
          <cell r="F952" t="str">
            <v>Service</v>
          </cell>
          <cell r="G952" t="str">
            <v>Service Collected</v>
          </cell>
          <cell r="H952" t="str">
            <v>No</v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>https://panda-windows-and-doors.monday.com/protected_static/21046287/resources/2065368831/Service Form.pdf</v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>
            <v>257</v>
          </cell>
          <cell r="W952" t="str">
            <v>Jayme Truong Apr 16, 2025 2:58 PM</v>
          </cell>
          <cell r="X952" t="str">
            <v/>
          </cell>
          <cell r="Y952">
            <v>45754</v>
          </cell>
          <cell r="Z952" t="str">
            <v/>
          </cell>
          <cell r="AA952">
            <v>45754</v>
          </cell>
          <cell r="AB952" t="str">
            <v>Jayme Truong Apr 7, 2025 9:02 AM</v>
          </cell>
          <cell r="AC952" t="str">
            <v/>
          </cell>
          <cell r="AD952" t="str">
            <v/>
          </cell>
          <cell r="AE952" t="str">
            <v/>
          </cell>
          <cell r="AF952" t="str">
            <v/>
          </cell>
          <cell r="AG952">
            <v>45763</v>
          </cell>
          <cell r="AH952" t="str">
            <v/>
          </cell>
          <cell r="AI952" t="str">
            <v/>
          </cell>
        </row>
        <row r="953">
          <cell r="C953">
            <v>16815</v>
          </cell>
          <cell r="D953" t="str">
            <v/>
          </cell>
          <cell r="E953" t="str">
            <v/>
          </cell>
          <cell r="F953" t="str">
            <v>Service</v>
          </cell>
          <cell r="G953" t="str">
            <v>Service Collected</v>
          </cell>
          <cell r="H953" t="str">
            <v>No</v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>https://panda-windows-and-doors.monday.com/protected_static/21046287/resources/2080508842/9564 Sarah Bradley.pdf</v>
          </cell>
          <cell r="O953" t="str">
            <v/>
          </cell>
          <cell r="P953" t="str">
            <v/>
          </cell>
          <cell r="Q953" t="str">
            <v>https://panda-windows-and-doors.monday.com/protected_static/21046287/resources/2102989285/Service Form (39).pdf</v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>
            <v>257</v>
          </cell>
          <cell r="W953" t="str">
            <v>Jayme Truong Apr 18, 2025 2:37 PM</v>
          </cell>
          <cell r="X953" t="str">
            <v/>
          </cell>
          <cell r="Y953">
            <v>45761</v>
          </cell>
          <cell r="Z953" t="str">
            <v/>
          </cell>
          <cell r="AA953">
            <v>45761</v>
          </cell>
          <cell r="AB953" t="str">
            <v>Jayme Truong Apr 14, 2025 11:06 AM</v>
          </cell>
          <cell r="AC953" t="str">
            <v/>
          </cell>
          <cell r="AD953" t="str">
            <v/>
          </cell>
          <cell r="AE953" t="str">
            <v/>
          </cell>
          <cell r="AF953" t="str">
            <v/>
          </cell>
          <cell r="AG953">
            <v>45765</v>
          </cell>
          <cell r="AH953" t="str">
            <v/>
          </cell>
          <cell r="AI953" t="str">
            <v/>
          </cell>
        </row>
        <row r="954">
          <cell r="C954">
            <v>81237</v>
          </cell>
          <cell r="D954" t="str">
            <v/>
          </cell>
          <cell r="E954" t="str">
            <v/>
          </cell>
          <cell r="F954" t="str">
            <v>Service</v>
          </cell>
          <cell r="G954" t="str">
            <v>Service Collected</v>
          </cell>
          <cell r="H954" t="str">
            <v>No</v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>https://panda-windows-and-doors.monday.com/protected_static/21046287/resources/2086008002/9577 Stone Cloud Construction.pdf</v>
          </cell>
          <cell r="O954" t="str">
            <v/>
          </cell>
          <cell r="P954" t="str">
            <v/>
          </cell>
          <cell r="Q954" t="str">
            <v>https://panda-windows-and-doors.monday.com/protected_static/21046287/resources/2085800017/Service Form (31).pdf</v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>
            <v>2836.45</v>
          </cell>
          <cell r="W954" t="str">
            <v>Jayme Truong Apr 21, 2025 10:33 AM</v>
          </cell>
          <cell r="X954" t="str">
            <v/>
          </cell>
          <cell r="Y954">
            <v>45763</v>
          </cell>
          <cell r="Z954" t="str">
            <v/>
          </cell>
          <cell r="AA954">
            <v>45763</v>
          </cell>
          <cell r="AB954" t="str">
            <v>Jayme Truong Apr 16, 2025 9:28 AM</v>
          </cell>
          <cell r="AC954" t="str">
            <v/>
          </cell>
          <cell r="AD954" t="str">
            <v/>
          </cell>
          <cell r="AE954" t="str">
            <v/>
          </cell>
          <cell r="AF954" t="str">
            <v/>
          </cell>
          <cell r="AG954">
            <v>45768</v>
          </cell>
          <cell r="AH954" t="str">
            <v/>
          </cell>
          <cell r="AI954" t="str">
            <v/>
          </cell>
        </row>
        <row r="955">
          <cell r="C955">
            <v>14683</v>
          </cell>
          <cell r="D955" t="str">
            <v/>
          </cell>
          <cell r="E955" t="str">
            <v/>
          </cell>
          <cell r="F955" t="str">
            <v>Service</v>
          </cell>
          <cell r="G955" t="str">
            <v>Service Collected</v>
          </cell>
          <cell r="H955" t="str">
            <v>No</v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>https://panda-windows-and-doors.monday.com/protected_static/21046287/resources/2084278734/9571 Design Supply.pdf</v>
          </cell>
          <cell r="O955" t="str">
            <v/>
          </cell>
          <cell r="P955" t="str">
            <v/>
          </cell>
          <cell r="Q955" t="str">
            <v>https://panda-windows-and-doors.monday.com/protected_static/21046287/resources/2083862193/Service Form.pdf</v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>
            <v>407</v>
          </cell>
          <cell r="W955" t="str">
            <v>Jayme Truong Apr 25, 2025 5:11 PM</v>
          </cell>
          <cell r="X955" t="str">
            <v/>
          </cell>
          <cell r="Y955">
            <v>45762</v>
          </cell>
          <cell r="Z955" t="str">
            <v/>
          </cell>
          <cell r="AA955">
            <v>45762</v>
          </cell>
          <cell r="AB955" t="str">
            <v>Jayme Truong Apr 15, 2025 2:00 PM</v>
          </cell>
          <cell r="AC955" t="str">
            <v/>
          </cell>
          <cell r="AD955">
            <v>45772</v>
          </cell>
          <cell r="AE955" t="str">
            <v/>
          </cell>
          <cell r="AF955" t="str">
            <v/>
          </cell>
          <cell r="AG955">
            <v>45772</v>
          </cell>
          <cell r="AH955" t="str">
            <v/>
          </cell>
          <cell r="AI955" t="str">
            <v/>
          </cell>
        </row>
        <row r="956">
          <cell r="C956">
            <v>16815</v>
          </cell>
          <cell r="D956" t="str">
            <v/>
          </cell>
          <cell r="E956" t="str">
            <v/>
          </cell>
          <cell r="F956" t="str">
            <v>Service</v>
          </cell>
          <cell r="G956" t="str">
            <v>Service Collected</v>
          </cell>
          <cell r="H956" t="str">
            <v>No</v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>https://panda-windows-and-doors.monday.com/protected_static/21046287/resources/2103079743/9608 Sarah Bradley.pdf</v>
          </cell>
          <cell r="O956" t="str">
            <v/>
          </cell>
          <cell r="P956" t="str">
            <v/>
          </cell>
          <cell r="Q956" t="str">
            <v>https://panda-windows-and-doors.monday.com/protected_static/21046287/resources/2102989285/Service Form (39).pdf</v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>
            <v>228</v>
          </cell>
          <cell r="W956" t="str">
            <v>Jayme Truong Apr 25, 2025 5:23 PM</v>
          </cell>
          <cell r="X956" t="str">
            <v/>
          </cell>
          <cell r="Y956">
            <v>45772</v>
          </cell>
          <cell r="Z956" t="str">
            <v/>
          </cell>
          <cell r="AA956">
            <v>45772</v>
          </cell>
          <cell r="AB956" t="str">
            <v>Jayme Truong Apr 25, 2025 1:13 PM</v>
          </cell>
          <cell r="AC956" t="str">
            <v/>
          </cell>
          <cell r="AD956" t="str">
            <v/>
          </cell>
          <cell r="AE956" t="str">
            <v/>
          </cell>
          <cell r="AF956" t="str">
            <v/>
          </cell>
          <cell r="AG956">
            <v>45772</v>
          </cell>
          <cell r="AH956" t="str">
            <v/>
          </cell>
          <cell r="AI956" t="str">
            <v/>
          </cell>
        </row>
        <row r="957">
          <cell r="C957" t="str">
            <v>DAFFAM</v>
          </cell>
          <cell r="D957" t="str">
            <v/>
          </cell>
          <cell r="E957" t="str">
            <v/>
          </cell>
          <cell r="F957" t="str">
            <v>Service</v>
          </cell>
          <cell r="G957" t="str">
            <v>Service Collected</v>
          </cell>
          <cell r="H957" t="str">
            <v>No</v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>https://panda-windows-and-doors.monday.com/protected_static/21046287/resources/2094750872/Service Form (34).pdf</v>
          </cell>
          <cell r="R957" t="str">
            <v/>
          </cell>
          <cell r="S957" t="str">
            <v/>
          </cell>
          <cell r="T957" t="str">
            <v/>
          </cell>
          <cell r="U957">
            <v>0</v>
          </cell>
          <cell r="V957">
            <v>348</v>
          </cell>
          <cell r="W957" t="str">
            <v>Jayme Truong Apr 28, 2025 9:17 AM</v>
          </cell>
          <cell r="X957" t="str">
            <v/>
          </cell>
          <cell r="Y957">
            <v>45769</v>
          </cell>
          <cell r="Z957" t="str">
            <v/>
          </cell>
          <cell r="AA957">
            <v>45769</v>
          </cell>
          <cell r="AB957" t="str">
            <v>Jayme Truong Apr 22, 2025 9:59 AM</v>
          </cell>
          <cell r="AC957" t="str">
            <v/>
          </cell>
          <cell r="AD957" t="str">
            <v/>
          </cell>
          <cell r="AE957" t="str">
            <v/>
          </cell>
          <cell r="AF957" t="str">
            <v/>
          </cell>
          <cell r="AG957">
            <v>45775</v>
          </cell>
          <cell r="AH957" t="str">
            <v/>
          </cell>
          <cell r="AI957" t="str">
            <v/>
          </cell>
        </row>
        <row r="958">
          <cell r="C958">
            <v>11482</v>
          </cell>
          <cell r="D958" t="str">
            <v/>
          </cell>
          <cell r="E958" t="str">
            <v/>
          </cell>
          <cell r="F958" t="str">
            <v>Service</v>
          </cell>
          <cell r="G958" t="str">
            <v>Service Collected</v>
          </cell>
          <cell r="H958" t="str">
            <v>No</v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>https://panda-windows-and-doors.monday.com/protected_static/21046287/resources/2085644671/9575 Carribbean Windows.pdf</v>
          </cell>
          <cell r="O958" t="str">
            <v/>
          </cell>
          <cell r="P958" t="str">
            <v/>
          </cell>
          <cell r="Q958" t="str">
            <v>https://panda-windows-and-doors.monday.com/protected_static/21046287/resources/2083537798/Service Form (20).pdf</v>
          </cell>
          <cell r="R958" t="str">
            <v/>
          </cell>
          <cell r="S958" t="str">
            <v/>
          </cell>
          <cell r="T958" t="str">
            <v/>
          </cell>
          <cell r="U958">
            <v>0</v>
          </cell>
          <cell r="V958">
            <v>101</v>
          </cell>
          <cell r="W958" t="str">
            <v>Jayme Truong Apr 28, 2025 12:09 PM</v>
          </cell>
          <cell r="X958" t="str">
            <v/>
          </cell>
          <cell r="Y958">
            <v>45762</v>
          </cell>
          <cell r="Z958" t="str">
            <v/>
          </cell>
          <cell r="AA958">
            <v>45763</v>
          </cell>
          <cell r="AB958" t="str">
            <v>Jayme Truong Apr 15, 2025 12:04 PM</v>
          </cell>
          <cell r="AC958" t="str">
            <v/>
          </cell>
          <cell r="AD958" t="str">
            <v/>
          </cell>
          <cell r="AE958" t="str">
            <v/>
          </cell>
          <cell r="AF958" t="str">
            <v/>
          </cell>
          <cell r="AG958">
            <v>45775</v>
          </cell>
          <cell r="AH958" t="str">
            <v/>
          </cell>
          <cell r="AI958" t="str">
            <v/>
          </cell>
        </row>
        <row r="959">
          <cell r="C959">
            <v>80855</v>
          </cell>
          <cell r="D959" t="str">
            <v/>
          </cell>
          <cell r="E959" t="str">
            <v/>
          </cell>
          <cell r="F959" t="str">
            <v>Service</v>
          </cell>
          <cell r="G959" t="str">
            <v>Service Collected</v>
          </cell>
          <cell r="H959" t="str">
            <v>No</v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>https://panda-windows-and-doors.monday.com/protected_static/21046287/resources/2083694280/Service Form.pdf</v>
          </cell>
          <cell r="R959" t="str">
            <v/>
          </cell>
          <cell r="S959" t="str">
            <v/>
          </cell>
          <cell r="T959" t="str">
            <v/>
          </cell>
          <cell r="U959">
            <v>0</v>
          </cell>
          <cell r="V959">
            <v>785</v>
          </cell>
          <cell r="W959" t="str">
            <v>Jayme Truong Apr 28, 2025 12:22 PM</v>
          </cell>
          <cell r="X959" t="str">
            <v/>
          </cell>
          <cell r="Y959">
            <v>45762</v>
          </cell>
          <cell r="Z959" t="str">
            <v/>
          </cell>
          <cell r="AA959">
            <v>45762</v>
          </cell>
          <cell r="AB959" t="str">
            <v>Jayme Truong Apr 15, 2025 1:02 PM</v>
          </cell>
          <cell r="AC959" t="str">
            <v/>
          </cell>
          <cell r="AD959" t="str">
            <v/>
          </cell>
          <cell r="AE959" t="str">
            <v/>
          </cell>
          <cell r="AF959" t="str">
            <v/>
          </cell>
          <cell r="AG959">
            <v>45775</v>
          </cell>
          <cell r="AH959" t="str">
            <v/>
          </cell>
          <cell r="AI959" t="str">
            <v/>
          </cell>
        </row>
        <row r="960">
          <cell r="C960">
            <v>79734</v>
          </cell>
          <cell r="D960" t="str">
            <v/>
          </cell>
          <cell r="E960" t="str">
            <v/>
          </cell>
          <cell r="F960" t="str">
            <v>Service</v>
          </cell>
          <cell r="G960" t="str">
            <v>Service Collected</v>
          </cell>
          <cell r="H960" t="str">
            <v>No</v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>https://panda-windows-and-doors.monday.com/protected_static/21046287/resources/2105665969/Service Form (40).pdf</v>
          </cell>
          <cell r="R960" t="str">
            <v/>
          </cell>
          <cell r="S960" t="str">
            <v/>
          </cell>
          <cell r="T960" t="str">
            <v/>
          </cell>
          <cell r="U960">
            <v>0</v>
          </cell>
          <cell r="V960">
            <v>225</v>
          </cell>
          <cell r="W960" t="str">
            <v>Jayme Truong Apr 29, 2025 6:27 AM</v>
          </cell>
          <cell r="X960" t="str">
            <v/>
          </cell>
          <cell r="Y960">
            <v>45775</v>
          </cell>
          <cell r="Z960" t="str">
            <v/>
          </cell>
          <cell r="AA960">
            <v>45775</v>
          </cell>
          <cell r="AB960" t="str">
            <v>Jayme Truong Apr 28, 2025 9:41 AM</v>
          </cell>
          <cell r="AC960" t="str">
            <v/>
          </cell>
          <cell r="AD960">
            <v>45776</v>
          </cell>
          <cell r="AE960" t="str">
            <v/>
          </cell>
          <cell r="AF960" t="str">
            <v/>
          </cell>
          <cell r="AG960">
            <v>45776</v>
          </cell>
          <cell r="AH960" t="str">
            <v/>
          </cell>
          <cell r="AI960" t="str">
            <v/>
          </cell>
        </row>
        <row r="961">
          <cell r="C961">
            <v>16353.1</v>
          </cell>
          <cell r="D961" t="str">
            <v/>
          </cell>
          <cell r="E961" t="str">
            <v/>
          </cell>
          <cell r="F961" t="str">
            <v>Service</v>
          </cell>
          <cell r="G961" t="str">
            <v>Service Collected</v>
          </cell>
          <cell r="H961" t="str">
            <v>No</v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>https://panda-windows-and-doors.monday.com/protected_static/21046287/resources/2100446703/9605 Sailfish Marina.pdf</v>
          </cell>
          <cell r="O961" t="str">
            <v/>
          </cell>
          <cell r="P961" t="str">
            <v/>
          </cell>
          <cell r="Q961" t="str">
            <v>https://panda-windows-and-doors.monday.com/protected_static/21046287/resources/2100053857/Service Form (37).pdf</v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>
            <v>1100</v>
          </cell>
          <cell r="W961" t="str">
            <v>Elizabet Lopez Apr 29, 2025 3:36 PM</v>
          </cell>
          <cell r="X961" t="str">
            <v/>
          </cell>
          <cell r="Y961">
            <v>45771</v>
          </cell>
          <cell r="Z961" t="str">
            <v/>
          </cell>
          <cell r="AA961">
            <v>45771</v>
          </cell>
          <cell r="AB961" t="str">
            <v>Jayme Truong Apr 24, 2025 9:27 AM</v>
          </cell>
          <cell r="AC961" t="str">
            <v/>
          </cell>
          <cell r="AD961" t="str">
            <v/>
          </cell>
          <cell r="AE961" t="str">
            <v/>
          </cell>
          <cell r="AF961" t="str">
            <v/>
          </cell>
          <cell r="AG961">
            <v>45776</v>
          </cell>
          <cell r="AH961" t="str">
            <v/>
          </cell>
          <cell r="AI961" t="str">
            <v/>
          </cell>
        </row>
        <row r="962">
          <cell r="C962">
            <v>11813</v>
          </cell>
          <cell r="D962" t="str">
            <v/>
          </cell>
          <cell r="E962" t="str">
            <v/>
          </cell>
          <cell r="F962" t="str">
            <v>Service</v>
          </cell>
          <cell r="G962" t="str">
            <v>Service Collected</v>
          </cell>
          <cell r="H962" t="str">
            <v>No</v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>https://panda-windows-and-doors.monday.com/protected_static/21046287/resources/2098512820/9563 Gabe Cunningham.pdf</v>
          </cell>
          <cell r="O962" t="str">
            <v/>
          </cell>
          <cell r="P962" t="str">
            <v/>
          </cell>
          <cell r="Q962" t="str">
            <v>https://panda-windows-and-doors.monday.com/protected_static/21046287/resources/2095812255/Service Form (21).pdf</v>
          </cell>
          <cell r="R962" t="str">
            <v/>
          </cell>
          <cell r="S962" t="str">
            <v/>
          </cell>
          <cell r="T962" t="str">
            <v/>
          </cell>
          <cell r="U962">
            <v>0</v>
          </cell>
          <cell r="V962">
            <v>810</v>
          </cell>
          <cell r="W962" t="str">
            <v>Jayme Truong Apr 29, 2025 4:18 PM</v>
          </cell>
          <cell r="X962" t="str">
            <v/>
          </cell>
          <cell r="Y962">
            <v>45769</v>
          </cell>
          <cell r="Z962" t="str">
            <v/>
          </cell>
          <cell r="AA962">
            <v>45770</v>
          </cell>
          <cell r="AB962" t="str">
            <v>Jayme Truong Apr 22, 2025 3:45 PM</v>
          </cell>
          <cell r="AC962" t="str">
            <v/>
          </cell>
          <cell r="AD962" t="str">
            <v/>
          </cell>
          <cell r="AE962" t="str">
            <v/>
          </cell>
          <cell r="AF962" t="str">
            <v/>
          </cell>
          <cell r="AG962">
            <v>45776</v>
          </cell>
          <cell r="AH962" t="str">
            <v/>
          </cell>
          <cell r="AI962" t="str">
            <v/>
          </cell>
        </row>
        <row r="963">
          <cell r="C963">
            <v>74574</v>
          </cell>
          <cell r="D963" t="str">
            <v/>
          </cell>
          <cell r="E963" t="str">
            <v/>
          </cell>
          <cell r="F963" t="str">
            <v>Service</v>
          </cell>
          <cell r="G963" t="str">
            <v>Service Collected</v>
          </cell>
          <cell r="H963" t="str">
            <v>No</v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>https://panda-windows-and-doors.monday.com/protected_static/21046287/resources/2025877302/9453 Master home works.pdf</v>
          </cell>
          <cell r="O963" t="str">
            <v/>
          </cell>
          <cell r="P963" t="str">
            <v/>
          </cell>
          <cell r="Q963" t="str">
            <v>https://panda-windows-and-doors.monday.com/protected_static/21046287/resources/2025879780/9453 Master home works.pdf, https://panda-windows-and-doors.monday.com/protected_static/21046287/resources/2026184561/Service Form.pdf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>
            <v>2403</v>
          </cell>
          <cell r="W963" t="str">
            <v>Jayme Truong May 2, 2025 11:08 AM</v>
          </cell>
          <cell r="X963" t="str">
            <v/>
          </cell>
          <cell r="Y963">
            <v>45733</v>
          </cell>
          <cell r="Z963" t="str">
            <v/>
          </cell>
          <cell r="AA963">
            <v>45733</v>
          </cell>
          <cell r="AB963" t="str">
            <v>Jayme Truong Mar 17, 2025 4:03 PM</v>
          </cell>
          <cell r="AC963">
            <v>45735</v>
          </cell>
          <cell r="AD963" t="str">
            <v/>
          </cell>
          <cell r="AE963" t="str">
            <v/>
          </cell>
          <cell r="AF963" t="str">
            <v/>
          </cell>
          <cell r="AG963">
            <v>45779</v>
          </cell>
          <cell r="AH963" t="str">
            <v/>
          </cell>
          <cell r="AI963" t="str">
            <v/>
          </cell>
        </row>
        <row r="964">
          <cell r="C964">
            <v>1588</v>
          </cell>
          <cell r="D964" t="str">
            <v/>
          </cell>
          <cell r="E964" t="str">
            <v/>
          </cell>
          <cell r="F964" t="str">
            <v>Service</v>
          </cell>
          <cell r="G964" t="str">
            <v>Service Collected</v>
          </cell>
          <cell r="H964" t="str">
            <v>No</v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>https://panda-windows-and-doors.monday.com/protected_static/21046287/resources/2103093032/9609 HVAC.pdf</v>
          </cell>
          <cell r="O964" t="str">
            <v/>
          </cell>
          <cell r="P964" t="str">
            <v/>
          </cell>
          <cell r="Q964" t="str">
            <v>https://panda-windows-and-doors.monday.com/protected_static/21046287/resources/2102223048/Service Form.pdf</v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>
            <v>371</v>
          </cell>
          <cell r="W964" t="str">
            <v>Jayme Truong May 2, 2025 11:37 AM</v>
          </cell>
          <cell r="X964" t="str">
            <v/>
          </cell>
          <cell r="Y964">
            <v>45772</v>
          </cell>
          <cell r="Z964" t="str">
            <v/>
          </cell>
          <cell r="AA964">
            <v>45772</v>
          </cell>
          <cell r="AB964" t="str">
            <v>Jayme Truong Apr 25, 2025 8:17 AM</v>
          </cell>
          <cell r="AC964" t="str">
            <v/>
          </cell>
          <cell r="AD964" t="str">
            <v/>
          </cell>
          <cell r="AE964" t="str">
            <v/>
          </cell>
          <cell r="AF964" t="str">
            <v/>
          </cell>
          <cell r="AG964">
            <v>45779</v>
          </cell>
          <cell r="AH964" t="str">
            <v/>
          </cell>
          <cell r="AI964" t="str">
            <v/>
          </cell>
        </row>
        <row r="965">
          <cell r="C965" t="str">
            <v>Xtreme Glass</v>
          </cell>
          <cell r="D965" t="str">
            <v/>
          </cell>
          <cell r="E965" t="str">
            <v/>
          </cell>
          <cell r="F965" t="str">
            <v>Service</v>
          </cell>
          <cell r="G965" t="str">
            <v>Service Collected</v>
          </cell>
          <cell r="H965" t="str">
            <v>No</v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>https://panda-windows-and-doors.monday.com/protected_static/21046287/resources/2108872857/Service Form (41).pdf</v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>
            <v>122</v>
          </cell>
          <cell r="W965" t="str">
            <v>Jayme Truong May 2, 2025 11:44 AM</v>
          </cell>
          <cell r="X965" t="str">
            <v/>
          </cell>
          <cell r="Y965">
            <v>45776</v>
          </cell>
          <cell r="Z965" t="str">
            <v/>
          </cell>
          <cell r="AA965">
            <v>45776</v>
          </cell>
          <cell r="AB965" t="str">
            <v>Jayme Truong Apr 29, 2025 8:32 AM</v>
          </cell>
          <cell r="AC965" t="str">
            <v/>
          </cell>
          <cell r="AD965" t="str">
            <v/>
          </cell>
          <cell r="AE965" t="str">
            <v/>
          </cell>
          <cell r="AF965" t="str">
            <v/>
          </cell>
          <cell r="AG965">
            <v>45779</v>
          </cell>
          <cell r="AH965" t="str">
            <v/>
          </cell>
          <cell r="AI965" t="str">
            <v/>
          </cell>
        </row>
        <row r="966">
          <cell r="C966">
            <v>79467.100000000006</v>
          </cell>
          <cell r="D966" t="str">
            <v/>
          </cell>
          <cell r="E966" t="str">
            <v/>
          </cell>
          <cell r="F966" t="str">
            <v>Service</v>
          </cell>
          <cell r="G966" t="str">
            <v>Service Collected</v>
          </cell>
          <cell r="H966" t="str">
            <v>No</v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>https://panda-windows-and-doors.monday.com/protected_static/21046287/resources/2100418245/9604 Singular Builders.pdf</v>
          </cell>
          <cell r="O966" t="str">
            <v/>
          </cell>
          <cell r="P966" t="str">
            <v/>
          </cell>
          <cell r="Q966" t="str">
            <v>https://panda-windows-and-doors.monday.com/protected_static/21046287/resources/2098524041/Service Form (36).pdf</v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>
            <v>670</v>
          </cell>
          <cell r="W966" t="str">
            <v>Jayme Truong May 2, 2025 12:09 PM</v>
          </cell>
          <cell r="X966" t="str">
            <v/>
          </cell>
          <cell r="Y966">
            <v>45770</v>
          </cell>
          <cell r="Z966" t="str">
            <v/>
          </cell>
          <cell r="AA966">
            <v>45771</v>
          </cell>
          <cell r="AB966" t="str">
            <v>Jayme Truong Apr 23, 2025 3:59 PM</v>
          </cell>
          <cell r="AC966" t="str">
            <v/>
          </cell>
          <cell r="AD966" t="str">
            <v/>
          </cell>
          <cell r="AE966" t="str">
            <v/>
          </cell>
          <cell r="AF966" t="str">
            <v/>
          </cell>
          <cell r="AG966">
            <v>45779</v>
          </cell>
          <cell r="AH966" t="str">
            <v/>
          </cell>
          <cell r="AI966" t="str">
            <v/>
          </cell>
        </row>
        <row r="967">
          <cell r="C967">
            <v>54662</v>
          </cell>
          <cell r="D967" t="str">
            <v/>
          </cell>
          <cell r="E967" t="str">
            <v/>
          </cell>
          <cell r="F967" t="str">
            <v>Service</v>
          </cell>
          <cell r="G967" t="str">
            <v>Service Collected</v>
          </cell>
          <cell r="H967" t="str">
            <v>No</v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>https://panda-windows-and-doors.monday.com/protected_static/21046287/resources/2110050877/Service Form.pdf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>
            <v>188</v>
          </cell>
          <cell r="W967" t="str">
            <v>Jayme Truong May 5, 2025 11:32 AM</v>
          </cell>
          <cell r="X967" t="str">
            <v/>
          </cell>
          <cell r="Y967">
            <v>45776</v>
          </cell>
          <cell r="Z967" t="str">
            <v/>
          </cell>
          <cell r="AA967">
            <v>45776</v>
          </cell>
          <cell r="AB967" t="str">
            <v>Jayme Truong Apr 29, 2025 2:08 PM</v>
          </cell>
          <cell r="AC967" t="str">
            <v/>
          </cell>
          <cell r="AD967" t="str">
            <v/>
          </cell>
          <cell r="AE967" t="str">
            <v/>
          </cell>
          <cell r="AF967" t="str">
            <v/>
          </cell>
          <cell r="AG967">
            <v>45782</v>
          </cell>
          <cell r="AH967" t="str">
            <v/>
          </cell>
          <cell r="AI967" t="str">
            <v/>
          </cell>
        </row>
        <row r="968">
          <cell r="C968">
            <v>60741</v>
          </cell>
          <cell r="D968" t="str">
            <v/>
          </cell>
          <cell r="E968" t="str">
            <v/>
          </cell>
          <cell r="F968" t="str">
            <v>Service</v>
          </cell>
          <cell r="G968" t="str">
            <v>Service Collected</v>
          </cell>
          <cell r="H968" t="str">
            <v>No</v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>https://panda-windows-and-doors.monday.com/protected_static/21046287/resources/2115059424/9620 Precision Glass.pdf</v>
          </cell>
          <cell r="O968" t="str">
            <v/>
          </cell>
          <cell r="P968" t="str">
            <v/>
          </cell>
          <cell r="Q968" t="str">
            <v>https://panda-windows-and-doors.monday.com/protected_static/21046287/resources/2114207380/Service Form.pdf</v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>
            <v>329</v>
          </cell>
          <cell r="W968" t="str">
            <v>Jayme Truong May 5, 2025 11:38 AM</v>
          </cell>
          <cell r="X968" t="str">
            <v/>
          </cell>
          <cell r="Y968">
            <v>45778</v>
          </cell>
          <cell r="Z968" t="str">
            <v/>
          </cell>
          <cell r="AA968">
            <v>45778</v>
          </cell>
          <cell r="AB968" t="str">
            <v>Jayme Truong May 1, 2025 8:45 AM</v>
          </cell>
          <cell r="AC968" t="str">
            <v/>
          </cell>
          <cell r="AD968" t="str">
            <v/>
          </cell>
          <cell r="AE968" t="str">
            <v/>
          </cell>
          <cell r="AF968" t="str">
            <v/>
          </cell>
          <cell r="AG968">
            <v>45782</v>
          </cell>
          <cell r="AH968" t="str">
            <v/>
          </cell>
          <cell r="AI968" t="str">
            <v/>
          </cell>
        </row>
        <row r="969">
          <cell r="C969">
            <v>60216</v>
          </cell>
          <cell r="D969" t="str">
            <v/>
          </cell>
          <cell r="E969" t="str">
            <v/>
          </cell>
          <cell r="F969" t="str">
            <v>Service</v>
          </cell>
          <cell r="G969" t="str">
            <v>Service Collected</v>
          </cell>
          <cell r="H969" t="str">
            <v>No</v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>https://panda-windows-and-doors.monday.com/protected_static/21046287/resources/2097563412/9596 Patrick Lawler.pdf</v>
          </cell>
          <cell r="O969" t="str">
            <v/>
          </cell>
          <cell r="P969" t="str">
            <v/>
          </cell>
          <cell r="Q969" t="str">
            <v>https://panda-windows-and-doors.monday.com/protected_static/21046287/resources/2097189665/Service Form (22).pdf</v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>
            <v>161</v>
          </cell>
          <cell r="W969" t="str">
            <v>Jayme Truong May 5, 2025 11:45 AM</v>
          </cell>
          <cell r="X969" t="str">
            <v/>
          </cell>
          <cell r="Y969">
            <v>45770</v>
          </cell>
          <cell r="Z969" t="str">
            <v/>
          </cell>
          <cell r="AA969">
            <v>45770</v>
          </cell>
          <cell r="AB969" t="str">
            <v>Jayme Truong Apr 23, 2025 8:09 AM</v>
          </cell>
          <cell r="AC969" t="str">
            <v/>
          </cell>
          <cell r="AD969" t="str">
            <v/>
          </cell>
          <cell r="AE969" t="str">
            <v/>
          </cell>
          <cell r="AF969" t="str">
            <v/>
          </cell>
          <cell r="AG969">
            <v>45782</v>
          </cell>
          <cell r="AH969" t="str">
            <v/>
          </cell>
          <cell r="AI969" t="str">
            <v/>
          </cell>
        </row>
        <row r="970">
          <cell r="C970">
            <v>63867.3</v>
          </cell>
          <cell r="D970" t="str">
            <v/>
          </cell>
          <cell r="E970" t="str">
            <v/>
          </cell>
          <cell r="F970" t="str">
            <v>Service</v>
          </cell>
          <cell r="G970" t="str">
            <v>Service Collected</v>
          </cell>
          <cell r="H970" t="str">
            <v>No</v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>https://panda-windows-and-doors.monday.com/protected_static/21046287/resources/2098360879/9598 Hardy Windows.pdf</v>
          </cell>
          <cell r="O970" t="str">
            <v/>
          </cell>
          <cell r="P970" t="str">
            <v/>
          </cell>
          <cell r="Q970" t="str">
            <v>https://panda-windows-and-doors.monday.com/protected_static/21046287/resources/2097845308/Service Form.pdf</v>
          </cell>
          <cell r="R970" t="str">
            <v/>
          </cell>
          <cell r="S970" t="str">
            <v/>
          </cell>
          <cell r="T970" t="str">
            <v/>
          </cell>
          <cell r="U970">
            <v>0</v>
          </cell>
          <cell r="V970">
            <v>257</v>
          </cell>
          <cell r="W970" t="str">
            <v>Jayme Truong May 5, 2025 11:49 AM</v>
          </cell>
          <cell r="X970" t="str">
            <v/>
          </cell>
          <cell r="Y970">
            <v>45770</v>
          </cell>
          <cell r="Z970" t="str">
            <v/>
          </cell>
          <cell r="AA970">
            <v>45770</v>
          </cell>
          <cell r="AB970" t="str">
            <v>Jayme Truong Apr 23, 2025 11:43 AM</v>
          </cell>
          <cell r="AC970" t="str">
            <v/>
          </cell>
          <cell r="AD970" t="str">
            <v/>
          </cell>
          <cell r="AE970" t="str">
            <v/>
          </cell>
          <cell r="AF970" t="str">
            <v/>
          </cell>
          <cell r="AG970">
            <v>45782</v>
          </cell>
          <cell r="AH970" t="str">
            <v/>
          </cell>
          <cell r="AI970" t="str">
            <v/>
          </cell>
        </row>
        <row r="971">
          <cell r="C971" t="str">
            <v>SoCal</v>
          </cell>
          <cell r="D971" t="str">
            <v/>
          </cell>
          <cell r="E971" t="str">
            <v/>
          </cell>
          <cell r="F971" t="str">
            <v>Service</v>
          </cell>
          <cell r="G971" t="str">
            <v>Service Collected</v>
          </cell>
          <cell r="H971" t="str">
            <v>No</v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>https://panda-windows-and-doors.monday.com/protected_static/21046287/resources/2080656576/9565 Socal Glass Inc.pdf</v>
          </cell>
          <cell r="O971" t="str">
            <v/>
          </cell>
          <cell r="P971" t="str">
            <v/>
          </cell>
          <cell r="Q971" t="str">
            <v>https://panda-windows-and-doors.monday.com/protected_static/21046287/resources/2080525920/Service Form (30).pdf</v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>
            <v>890</v>
          </cell>
          <cell r="W971" t="str">
            <v>Jayme Truong May 7, 2025 4:23 PM</v>
          </cell>
          <cell r="X971" t="str">
            <v/>
          </cell>
          <cell r="Y971">
            <v>45761</v>
          </cell>
          <cell r="Z971" t="str">
            <v/>
          </cell>
          <cell r="AA971">
            <v>45761</v>
          </cell>
          <cell r="AB971" t="str">
            <v>Jayme Truong Apr 14, 2025 12:04 PM</v>
          </cell>
          <cell r="AC971" t="str">
            <v/>
          </cell>
          <cell r="AD971" t="str">
            <v/>
          </cell>
          <cell r="AE971" t="str">
            <v/>
          </cell>
          <cell r="AF971" t="str">
            <v/>
          </cell>
          <cell r="AG971">
            <v>45784</v>
          </cell>
          <cell r="AH971" t="str">
            <v/>
          </cell>
          <cell r="AI971" t="str">
            <v/>
          </cell>
        </row>
        <row r="972">
          <cell r="C972">
            <v>80074</v>
          </cell>
          <cell r="D972" t="str">
            <v/>
          </cell>
          <cell r="E972" t="str">
            <v/>
          </cell>
          <cell r="F972" t="str">
            <v>Service</v>
          </cell>
          <cell r="G972" t="str">
            <v>Service Collected</v>
          </cell>
          <cell r="H972" t="str">
            <v>No</v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>https://panda-windows-and-doors.monday.com/protected_static/21046287/resources/2114411562/Service Form.pdf</v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>
            <v>2554</v>
          </cell>
          <cell r="W972" t="str">
            <v>Jayme Truong May 9, 2025 9:52 AM</v>
          </cell>
          <cell r="X972" t="str">
            <v/>
          </cell>
          <cell r="Y972">
            <v>45778</v>
          </cell>
          <cell r="Z972" t="str">
            <v/>
          </cell>
          <cell r="AA972">
            <v>45778</v>
          </cell>
          <cell r="AB972" t="str">
            <v>Jayme Truong May 1, 2025 10:00 AM</v>
          </cell>
          <cell r="AC972" t="str">
            <v/>
          </cell>
          <cell r="AD972" t="str">
            <v/>
          </cell>
          <cell r="AE972" t="str">
            <v/>
          </cell>
          <cell r="AF972" t="str">
            <v/>
          </cell>
          <cell r="AG972">
            <v>45786</v>
          </cell>
          <cell r="AH972" t="str">
            <v/>
          </cell>
          <cell r="AI972" t="str">
            <v/>
          </cell>
        </row>
        <row r="973">
          <cell r="C973" t="str">
            <v>Omar Musfi</v>
          </cell>
          <cell r="D973" t="str">
            <v/>
          </cell>
          <cell r="E973" t="str">
            <v/>
          </cell>
          <cell r="F973" t="str">
            <v>Service</v>
          </cell>
          <cell r="G973" t="str">
            <v>Service Collected</v>
          </cell>
          <cell r="H973" t="str">
            <v>No</v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>https://panda-windows-and-doors.monday.com/protected_static/21046287/resources/2123864214/9638 Omar Musfi.pdf</v>
          </cell>
          <cell r="O973" t="str">
            <v/>
          </cell>
          <cell r="P973" t="str">
            <v/>
          </cell>
          <cell r="Q973" t="str">
            <v>https://panda-windows-and-doors.monday.com/protected_static/21046287/resources/2123687317/Service Form (25).pdf</v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>
            <v>139</v>
          </cell>
          <cell r="W973" t="str">
            <v>Jayme Truong May 9, 2025 2:13 PM</v>
          </cell>
          <cell r="X973" t="str">
            <v/>
          </cell>
          <cell r="Y973">
            <v>45783</v>
          </cell>
          <cell r="Z973" t="str">
            <v/>
          </cell>
          <cell r="AA973">
            <v>45783</v>
          </cell>
          <cell r="AB973" t="str">
            <v>Jayme Truong May 6, 2025 2:25 PM</v>
          </cell>
          <cell r="AC973" t="str">
            <v/>
          </cell>
          <cell r="AD973" t="str">
            <v/>
          </cell>
          <cell r="AE973" t="str">
            <v/>
          </cell>
          <cell r="AF973" t="str">
            <v/>
          </cell>
          <cell r="AG973">
            <v>45786</v>
          </cell>
          <cell r="AH973" t="str">
            <v/>
          </cell>
          <cell r="AI973" t="str">
            <v/>
          </cell>
        </row>
        <row r="974">
          <cell r="C974">
            <v>71343</v>
          </cell>
          <cell r="D974" t="str">
            <v/>
          </cell>
          <cell r="E974" t="str">
            <v/>
          </cell>
          <cell r="F974" t="str">
            <v>Service</v>
          </cell>
          <cell r="G974" t="str">
            <v>Service Collected</v>
          </cell>
          <cell r="H974" t="str">
            <v>No</v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>https://panda-windows-and-doors.monday.com/protected_static/21046287/resources/2126391782/9641 Angie Mcveigh.pdf</v>
          </cell>
          <cell r="O974" t="str">
            <v/>
          </cell>
          <cell r="P974" t="str">
            <v/>
          </cell>
          <cell r="Q974" t="str">
            <v>https://panda-windows-and-doors.monday.com/protected_static/21046287/resources/2123950810/Service Form (45).pdf</v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>
            <v>299</v>
          </cell>
          <cell r="W974" t="str">
            <v>Jayme Truong May 12, 2025 2:41 PM</v>
          </cell>
          <cell r="X974" t="str">
            <v/>
          </cell>
          <cell r="Y974">
            <v>45783</v>
          </cell>
          <cell r="Z974" t="str">
            <v/>
          </cell>
          <cell r="AA974">
            <v>45783</v>
          </cell>
          <cell r="AB974" t="str">
            <v>Jayme Truong May 6, 2025 4:19 PM</v>
          </cell>
          <cell r="AC974" t="str">
            <v/>
          </cell>
          <cell r="AD974" t="str">
            <v/>
          </cell>
          <cell r="AE974" t="str">
            <v/>
          </cell>
          <cell r="AF974" t="str">
            <v/>
          </cell>
          <cell r="AG974">
            <v>45789</v>
          </cell>
          <cell r="AH974" t="str">
            <v/>
          </cell>
          <cell r="AI974" t="str">
            <v/>
          </cell>
        </row>
        <row r="975">
          <cell r="C975">
            <v>12234</v>
          </cell>
          <cell r="D975" t="str">
            <v/>
          </cell>
          <cell r="E975" t="str">
            <v/>
          </cell>
          <cell r="F975" t="str">
            <v>Service</v>
          </cell>
          <cell r="G975" t="str">
            <v>Service Collected</v>
          </cell>
          <cell r="H975" t="str">
            <v>No</v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>https://panda-windows-and-doors.monday.com/protected_static/21046287/resources/2038045651/9424 The Key Monkey.pdf</v>
          </cell>
          <cell r="O975" t="str">
            <v/>
          </cell>
          <cell r="P975" t="str">
            <v/>
          </cell>
          <cell r="Q975" t="str">
            <v>https://panda-windows-and-doors.monday.com/protected_static/21046287/resources/2037565875/Service Form (9).pdf</v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>
            <v>4528.08</v>
          </cell>
          <cell r="W975" t="str">
            <v>Jayme Truong May 13, 2025 4:22 PM</v>
          </cell>
          <cell r="X975" t="str">
            <v/>
          </cell>
          <cell r="Y975">
            <v>45741</v>
          </cell>
          <cell r="Z975" t="str">
            <v/>
          </cell>
          <cell r="AA975">
            <v>45741</v>
          </cell>
          <cell r="AB975" t="str">
            <v>Jayme Truong Mar 25, 2025 10:02 AM</v>
          </cell>
          <cell r="AC975">
            <v>45741</v>
          </cell>
          <cell r="AD975" t="str">
            <v/>
          </cell>
          <cell r="AE975" t="str">
            <v/>
          </cell>
          <cell r="AF975" t="str">
            <v/>
          </cell>
          <cell r="AG975">
            <v>45790</v>
          </cell>
          <cell r="AH975" t="str">
            <v/>
          </cell>
          <cell r="AI975" t="str">
            <v/>
          </cell>
        </row>
        <row r="976">
          <cell r="C976">
            <v>66062.100000000006</v>
          </cell>
          <cell r="D976" t="str">
            <v/>
          </cell>
          <cell r="E976" t="str">
            <v/>
          </cell>
          <cell r="F976" t="str">
            <v>Service</v>
          </cell>
          <cell r="G976" t="str">
            <v>Service Collected</v>
          </cell>
          <cell r="H976" t="str">
            <v>No</v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>https://panda-windows-and-doors.monday.com/protected_static/21046287/resources/2126420885/9643 Hyperion Construction.pdf</v>
          </cell>
          <cell r="O976" t="str">
            <v/>
          </cell>
          <cell r="P976" t="str">
            <v/>
          </cell>
          <cell r="Q976" t="str">
            <v>https://panda-windows-and-doors.monday.com/protected_static/21046287/resources/2125793990/Service Form (46).pdf</v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>
            <v>143</v>
          </cell>
          <cell r="W976" t="str">
            <v>Jayme Truong May 14, 2025 4:37 PM</v>
          </cell>
          <cell r="X976" t="str">
            <v/>
          </cell>
          <cell r="Y976">
            <v>45784</v>
          </cell>
          <cell r="Z976" t="str">
            <v/>
          </cell>
          <cell r="AA976">
            <v>45784</v>
          </cell>
          <cell r="AB976" t="str">
            <v>Jayme Truong May 7, 2025 10:12 AM</v>
          </cell>
          <cell r="AC976" t="str">
            <v/>
          </cell>
          <cell r="AD976" t="str">
            <v/>
          </cell>
          <cell r="AE976" t="str">
            <v/>
          </cell>
          <cell r="AF976" t="str">
            <v/>
          </cell>
          <cell r="AG976">
            <v>45791</v>
          </cell>
          <cell r="AH976" t="str">
            <v/>
          </cell>
          <cell r="AI976" t="str">
            <v/>
          </cell>
        </row>
        <row r="977">
          <cell r="C977">
            <v>16642</v>
          </cell>
          <cell r="D977" t="str">
            <v/>
          </cell>
          <cell r="E977" t="str">
            <v/>
          </cell>
          <cell r="F977" t="str">
            <v>Service</v>
          </cell>
          <cell r="G977" t="str">
            <v>Service Collected</v>
          </cell>
          <cell r="H977" t="str">
            <v>No</v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>https://panda-windows-and-doors.monday.com/protected_static/21046287/resources/2140335524/9658 Wally Eastwood.pdf</v>
          </cell>
          <cell r="O977" t="str">
            <v/>
          </cell>
          <cell r="P977" t="str">
            <v/>
          </cell>
          <cell r="Q977" t="str">
            <v>https://panda-windows-and-doors.monday.com/protected_static/21046287/resources/2134989589/Service Form.pdf</v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>
            <v>350</v>
          </cell>
          <cell r="W977" t="str">
            <v>Jayme Truong May 16, 2025 1:03 PM</v>
          </cell>
          <cell r="X977" t="str">
            <v/>
          </cell>
          <cell r="Y977">
            <v>45789</v>
          </cell>
          <cell r="Z977" t="str">
            <v/>
          </cell>
          <cell r="AA977">
            <v>45789</v>
          </cell>
          <cell r="AB977" t="str">
            <v>Jayme Truong May 12, 2025 11:45 AM</v>
          </cell>
          <cell r="AC977" t="str">
            <v/>
          </cell>
          <cell r="AD977" t="str">
            <v/>
          </cell>
          <cell r="AE977" t="str">
            <v/>
          </cell>
          <cell r="AF977" t="str">
            <v/>
          </cell>
          <cell r="AG977">
            <v>45793</v>
          </cell>
          <cell r="AH977" t="str">
            <v/>
          </cell>
          <cell r="AI977" t="str">
            <v/>
          </cell>
        </row>
        <row r="978">
          <cell r="C978" t="str">
            <v>Reeves Hardware</v>
          </cell>
          <cell r="D978" t="str">
            <v/>
          </cell>
          <cell r="E978" t="str">
            <v/>
          </cell>
          <cell r="F978" t="str">
            <v>Service</v>
          </cell>
          <cell r="G978" t="str">
            <v>Service Collected</v>
          </cell>
          <cell r="H978" t="str">
            <v>No</v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>https://panda-windows-and-doors.monday.com/protected_static/21046287/resources/2155708201/9688 Reeves Ace Hardware.pdf</v>
          </cell>
          <cell r="O978" t="str">
            <v/>
          </cell>
          <cell r="P978" t="str">
            <v/>
          </cell>
          <cell r="Q978" t="str">
            <v>https://panda-windows-and-doors.monday.com/protected_static/21046287/resources/2155403977/Service Form (53).pdf</v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>
            <v>149.31</v>
          </cell>
          <cell r="W978" t="str">
            <v>Jayme Truong May 22, 2025 9:07 AM</v>
          </cell>
          <cell r="X978" t="str">
            <v/>
          </cell>
          <cell r="Y978">
            <v>45798</v>
          </cell>
          <cell r="Z978" t="str">
            <v/>
          </cell>
          <cell r="AA978">
            <v>45798</v>
          </cell>
          <cell r="AB978" t="str">
            <v>Jayme Truong May 21, 2025 8:42 AM</v>
          </cell>
          <cell r="AC978" t="str">
            <v/>
          </cell>
          <cell r="AD978" t="str">
            <v/>
          </cell>
          <cell r="AE978" t="str">
            <v/>
          </cell>
          <cell r="AF978" t="str">
            <v/>
          </cell>
          <cell r="AG978">
            <v>45799</v>
          </cell>
          <cell r="AH978" t="str">
            <v/>
          </cell>
          <cell r="AI978" t="str">
            <v/>
          </cell>
        </row>
        <row r="979">
          <cell r="C979" t="str">
            <v>Andrew Keller</v>
          </cell>
          <cell r="D979" t="str">
            <v/>
          </cell>
          <cell r="E979" t="str">
            <v/>
          </cell>
          <cell r="F979" t="str">
            <v>Service</v>
          </cell>
          <cell r="G979" t="str">
            <v>Service Collected</v>
          </cell>
          <cell r="H979" t="str">
            <v>No</v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>https://panda-windows-and-doors.monday.com/protected_static/21046287/resources/2100794895/9606 Shell Door Service.pdf</v>
          </cell>
          <cell r="O979" t="str">
            <v/>
          </cell>
          <cell r="P979" t="str">
            <v/>
          </cell>
          <cell r="Q979" t="str">
            <v>https://panda-windows-and-doors.monday.com/protected_static/21046287/resources/2100427914/Service Form (23).pdf</v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>
            <v>3633.85</v>
          </cell>
          <cell r="W979" t="str">
            <v>Elizabet Lopez Jun 16, 2025 9:50 AM</v>
          </cell>
          <cell r="X979" t="str">
            <v/>
          </cell>
          <cell r="Y979">
            <v>45771</v>
          </cell>
          <cell r="Z979" t="str">
            <v/>
          </cell>
          <cell r="AA979">
            <v>45771</v>
          </cell>
          <cell r="AB979" t="str">
            <v>Jayme Truong Apr 24, 2025 11:23 AM</v>
          </cell>
          <cell r="AC979" t="str">
            <v/>
          </cell>
          <cell r="AD979">
            <v>45799</v>
          </cell>
          <cell r="AE979" t="str">
            <v/>
          </cell>
          <cell r="AF979" t="str">
            <v/>
          </cell>
          <cell r="AG979">
            <v>45799</v>
          </cell>
          <cell r="AH979" t="str">
            <v/>
          </cell>
          <cell r="AI979" t="str">
            <v/>
          </cell>
        </row>
        <row r="980">
          <cell r="C980">
            <v>19973</v>
          </cell>
          <cell r="D980" t="str">
            <v/>
          </cell>
          <cell r="E980" t="str">
            <v/>
          </cell>
          <cell r="F980" t="str">
            <v>Service</v>
          </cell>
          <cell r="G980" t="str">
            <v>Service Collected</v>
          </cell>
          <cell r="H980" t="str">
            <v>No</v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>https://panda-windows-and-doors.monday.com/protected_static/21046287/resources/2041558155/9494 Dean Heddin.pdf</v>
          </cell>
          <cell r="O980" t="str">
            <v/>
          </cell>
          <cell r="P980" t="str">
            <v/>
          </cell>
          <cell r="Q980" t="str">
            <v>https://panda-windows-and-doors.monday.com/protected_static/21046287/resources/2041366479/Service Form.pdf</v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>
            <v>407</v>
          </cell>
          <cell r="W980" t="str">
            <v>Jayme Truong May 23, 2025 12:34 PM</v>
          </cell>
          <cell r="X980" t="str">
            <v/>
          </cell>
          <cell r="Y980">
            <v>45742</v>
          </cell>
          <cell r="Z980" t="str">
            <v/>
          </cell>
          <cell r="AA980">
            <v>45742</v>
          </cell>
          <cell r="AB980" t="str">
            <v>Jayme Truong Mar 26, 2025 3:22 PM</v>
          </cell>
          <cell r="AC980">
            <v>45742</v>
          </cell>
          <cell r="AD980" t="str">
            <v/>
          </cell>
          <cell r="AE980" t="str">
            <v/>
          </cell>
          <cell r="AF980" t="str">
            <v/>
          </cell>
          <cell r="AG980">
            <v>45800</v>
          </cell>
          <cell r="AH980" t="str">
            <v/>
          </cell>
          <cell r="AI980" t="str">
            <v/>
          </cell>
        </row>
        <row r="981">
          <cell r="C981">
            <v>83312</v>
          </cell>
          <cell r="D981" t="str">
            <v/>
          </cell>
          <cell r="E981" t="str">
            <v/>
          </cell>
          <cell r="F981" t="str">
            <v>Service</v>
          </cell>
          <cell r="G981" t="str">
            <v>Service Collected</v>
          </cell>
          <cell r="H981" t="str">
            <v>No</v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>https://panda-windows-and-doors.monday.com/protected_static/21046287/resources/2138562813/9655 Mitchelle Birzer.pdf</v>
          </cell>
          <cell r="O981" t="str">
            <v/>
          </cell>
          <cell r="P981" t="str">
            <v/>
          </cell>
          <cell r="Q981" t="str">
            <v>https://panda-windows-and-doors.monday.com/protected_static/21046287/resources/2137983726/Service Form (48).pdf</v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>
            <v>59</v>
          </cell>
          <cell r="W981" t="str">
            <v>Annalene Conde Jun 19, 2025 8:54 AM</v>
          </cell>
          <cell r="X981" t="str">
            <v/>
          </cell>
          <cell r="Y981">
            <v>45790</v>
          </cell>
          <cell r="Z981" t="str">
            <v/>
          </cell>
          <cell r="AA981">
            <v>45790</v>
          </cell>
          <cell r="AB981" t="str">
            <v>Jayme Truong May 13, 2025 2:19 PM</v>
          </cell>
          <cell r="AC981" t="str">
            <v/>
          </cell>
          <cell r="AD981" t="str">
            <v/>
          </cell>
          <cell r="AE981" t="str">
            <v/>
          </cell>
          <cell r="AF981" t="str">
            <v/>
          </cell>
          <cell r="AG981">
            <v>45800</v>
          </cell>
          <cell r="AH981" t="str">
            <v/>
          </cell>
          <cell r="AI981" t="str">
            <v/>
          </cell>
        </row>
        <row r="982">
          <cell r="C982">
            <v>64559.199999999997</v>
          </cell>
          <cell r="D982" t="str">
            <v/>
          </cell>
          <cell r="E982" t="str">
            <v/>
          </cell>
          <cell r="F982" t="str">
            <v>Service</v>
          </cell>
          <cell r="G982" t="str">
            <v>Service Collected</v>
          </cell>
          <cell r="H982" t="str">
            <v>No</v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>https://panda-windows-and-doors.monday.com/protected_static/21046287/resources/2126529516/9645 West Coast Window Glass &amp; Door.pdf</v>
          </cell>
          <cell r="O982" t="str">
            <v/>
          </cell>
          <cell r="P982" t="str">
            <v/>
          </cell>
          <cell r="Q982" t="str">
            <v>https://panda-windows-and-doors.monday.com/protected_static/21046287/resources/2126412250/Service Form.pdf</v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>
            <v>1480</v>
          </cell>
          <cell r="W982" t="str">
            <v>Jayme Truong May 28, 2025 10:16 AM</v>
          </cell>
          <cell r="X982" t="str">
            <v/>
          </cell>
          <cell r="Y982">
            <v>45784</v>
          </cell>
          <cell r="Z982" t="str">
            <v/>
          </cell>
          <cell r="AA982">
            <v>45784</v>
          </cell>
          <cell r="AB982" t="str">
            <v>Jayme Truong May 7, 2025 1:53 PM</v>
          </cell>
          <cell r="AC982" t="str">
            <v/>
          </cell>
          <cell r="AD982" t="str">
            <v/>
          </cell>
          <cell r="AE982" t="str">
            <v/>
          </cell>
          <cell r="AF982" t="str">
            <v/>
          </cell>
          <cell r="AG982">
            <v>45805</v>
          </cell>
          <cell r="AH982" t="str">
            <v/>
          </cell>
          <cell r="AI982" t="str">
            <v/>
          </cell>
        </row>
        <row r="983">
          <cell r="C983">
            <v>74569</v>
          </cell>
          <cell r="D983" t="str">
            <v/>
          </cell>
          <cell r="E983" t="str">
            <v/>
          </cell>
          <cell r="F983" t="str">
            <v>Service</v>
          </cell>
          <cell r="G983" t="str">
            <v>Service Collected</v>
          </cell>
          <cell r="H983" t="str">
            <v>No</v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>https://panda-windows-and-doors.monday.com/protected_static/21046287/resources/2152238954/9681Giroux Glass.pdf</v>
          </cell>
          <cell r="O983" t="str">
            <v/>
          </cell>
          <cell r="P983" t="str">
            <v/>
          </cell>
          <cell r="Q983" t="str">
            <v>https://panda-windows-and-doors.monday.com/protected_static/21046287/resources/2149885137/Service Form (33).pdf</v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>
            <v>240</v>
          </cell>
          <cell r="W983" t="str">
            <v>Jayme Truong May 28, 2025 10:23 AM</v>
          </cell>
          <cell r="X983" t="str">
            <v/>
          </cell>
          <cell r="Y983">
            <v>45796</v>
          </cell>
          <cell r="Z983" t="str">
            <v/>
          </cell>
          <cell r="AA983">
            <v>45796</v>
          </cell>
          <cell r="AB983" t="str">
            <v>Jayme Truong May 19, 2025 9:58 AM</v>
          </cell>
          <cell r="AC983" t="str">
            <v/>
          </cell>
          <cell r="AD983" t="str">
            <v/>
          </cell>
          <cell r="AE983" t="str">
            <v/>
          </cell>
          <cell r="AF983" t="str">
            <v/>
          </cell>
          <cell r="AG983">
            <v>45805</v>
          </cell>
          <cell r="AH983" t="str">
            <v/>
          </cell>
          <cell r="AI983" t="str">
            <v/>
          </cell>
        </row>
        <row r="984">
          <cell r="C984">
            <v>68163</v>
          </cell>
          <cell r="D984" t="str">
            <v/>
          </cell>
          <cell r="E984" t="str">
            <v/>
          </cell>
          <cell r="F984" t="str">
            <v>Service</v>
          </cell>
          <cell r="G984" t="str">
            <v>Service Collected</v>
          </cell>
          <cell r="H984" t="str">
            <v>No</v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>https://panda-windows-and-doors.monday.com/protected_static/21046287/resources/2072424927/9543 Aragon Construction.pdf</v>
          </cell>
          <cell r="O984" t="str">
            <v/>
          </cell>
          <cell r="P984" t="str">
            <v/>
          </cell>
          <cell r="Q984" t="str">
            <v>https://panda-windows-and-doors.monday.com/protected_static/21046287/resources/2072212293/Service Form.pdf</v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>
            <v>407</v>
          </cell>
          <cell r="W984" t="str">
            <v>Jayme Truong May 28, 2025 10:56 AM</v>
          </cell>
          <cell r="X984" t="str">
            <v/>
          </cell>
          <cell r="Y984">
            <v>45756</v>
          </cell>
          <cell r="Z984" t="str">
            <v/>
          </cell>
          <cell r="AA984">
            <v>45756</v>
          </cell>
          <cell r="AB984" t="str">
            <v>Jayme Truong Apr 9, 2025 12:37 PM</v>
          </cell>
          <cell r="AC984" t="str">
            <v/>
          </cell>
          <cell r="AD984" t="str">
            <v/>
          </cell>
          <cell r="AE984" t="str">
            <v/>
          </cell>
          <cell r="AF984" t="str">
            <v/>
          </cell>
          <cell r="AG984">
            <v>45805</v>
          </cell>
          <cell r="AH984" t="str">
            <v/>
          </cell>
          <cell r="AI984" t="str">
            <v/>
          </cell>
        </row>
        <row r="985">
          <cell r="C985">
            <v>58014</v>
          </cell>
          <cell r="D985" t="str">
            <v/>
          </cell>
          <cell r="E985" t="str">
            <v/>
          </cell>
          <cell r="F985" t="str">
            <v>Service</v>
          </cell>
          <cell r="G985" t="str">
            <v>Service Collected</v>
          </cell>
          <cell r="H985" t="str">
            <v>No</v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>https://panda-windows-and-doors.monday.com/protected_static/21046287/resources/2114697744/Service Form (24).pdf</v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>
            <v>361.5</v>
          </cell>
          <cell r="W985" t="str">
            <v>Jayme Truong May 28, 2025 1:53 PM</v>
          </cell>
          <cell r="X985" t="str">
            <v/>
          </cell>
          <cell r="Y985">
            <v>45778</v>
          </cell>
          <cell r="Z985" t="str">
            <v/>
          </cell>
          <cell r="AA985">
            <v>45778</v>
          </cell>
          <cell r="AB985" t="str">
            <v>Jayme Truong May 1, 2025 11:57 AM</v>
          </cell>
          <cell r="AC985" t="str">
            <v/>
          </cell>
          <cell r="AD985" t="str">
            <v/>
          </cell>
          <cell r="AE985" t="str">
            <v/>
          </cell>
          <cell r="AF985" t="str">
            <v/>
          </cell>
          <cell r="AG985">
            <v>45805</v>
          </cell>
          <cell r="AH985" t="str">
            <v/>
          </cell>
          <cell r="AI985" t="str">
            <v/>
          </cell>
        </row>
        <row r="986">
          <cell r="C986">
            <v>71105</v>
          </cell>
          <cell r="D986" t="str">
            <v/>
          </cell>
          <cell r="E986" t="str">
            <v/>
          </cell>
          <cell r="F986" t="str">
            <v>Service</v>
          </cell>
          <cell r="G986" t="str">
            <v>Service Collected</v>
          </cell>
          <cell r="H986" t="str">
            <v>No</v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>https://panda-windows-and-doors.monday.com/protected_static/21046287/resources/2165724047/Service Form (36).pdf</v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>
            <v>350</v>
          </cell>
          <cell r="W986" t="str">
            <v>Elizabet Lopez Jun 16, 2025 9:52 AM</v>
          </cell>
          <cell r="X986" t="str">
            <v/>
          </cell>
          <cell r="Y986">
            <v>45805</v>
          </cell>
          <cell r="Z986" t="str">
            <v/>
          </cell>
          <cell r="AA986">
            <v>45806</v>
          </cell>
          <cell r="AB986" t="str">
            <v>Jayme Truong May 27, 2025 8:17 AM</v>
          </cell>
          <cell r="AC986" t="str">
            <v/>
          </cell>
          <cell r="AD986">
            <v>45806</v>
          </cell>
          <cell r="AE986" t="str">
            <v/>
          </cell>
          <cell r="AF986" t="str">
            <v/>
          </cell>
          <cell r="AG986">
            <v>45806</v>
          </cell>
          <cell r="AH986" t="str">
            <v/>
          </cell>
          <cell r="AI986" t="str">
            <v/>
          </cell>
        </row>
        <row r="987">
          <cell r="C987">
            <v>78699</v>
          </cell>
          <cell r="D987" t="str">
            <v/>
          </cell>
          <cell r="E987" t="str">
            <v/>
          </cell>
          <cell r="F987" t="str">
            <v>Service</v>
          </cell>
          <cell r="G987" t="str">
            <v>Service Collected</v>
          </cell>
          <cell r="H987" t="str">
            <v>No</v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>https://panda-windows-and-doors.monday.com/protected_static/21046287/resources/2126437311/9644 Continental Glass Systems.pdf</v>
          </cell>
          <cell r="O987" t="str">
            <v/>
          </cell>
          <cell r="P987" t="str">
            <v/>
          </cell>
          <cell r="Q987" t="str">
            <v>https://panda-windows-and-doors.monday.com/protected_static/21046287/resources/2125852080/Service Form.pdf</v>
          </cell>
          <cell r="R987" t="str">
            <v/>
          </cell>
          <cell r="S987" t="str">
            <v/>
          </cell>
          <cell r="T987" t="str">
            <v/>
          </cell>
          <cell r="U987">
            <v>0</v>
          </cell>
          <cell r="V987">
            <v>69</v>
          </cell>
          <cell r="W987" t="str">
            <v>Elizabet Lopez Jun 3, 2025 10:45 AM</v>
          </cell>
          <cell r="X987" t="str">
            <v/>
          </cell>
          <cell r="Y987">
            <v>45784</v>
          </cell>
          <cell r="Z987" t="str">
            <v/>
          </cell>
          <cell r="AA987">
            <v>45784</v>
          </cell>
          <cell r="AB987" t="str">
            <v>Jayme Truong May 7, 2025 10:32 AM</v>
          </cell>
          <cell r="AC987" t="str">
            <v/>
          </cell>
          <cell r="AD987" t="str">
            <v/>
          </cell>
          <cell r="AE987" t="str">
            <v/>
          </cell>
          <cell r="AF987" t="str">
            <v/>
          </cell>
          <cell r="AG987">
            <v>45811</v>
          </cell>
          <cell r="AH987" t="str">
            <v/>
          </cell>
          <cell r="AI987" t="str">
            <v/>
          </cell>
        </row>
        <row r="988">
          <cell r="C988" t="str">
            <v>Window Crafters</v>
          </cell>
          <cell r="D988" t="str">
            <v/>
          </cell>
          <cell r="E988" t="str">
            <v/>
          </cell>
          <cell r="F988" t="str">
            <v>Service</v>
          </cell>
          <cell r="G988" t="str">
            <v>Service Collected</v>
          </cell>
          <cell r="H988" t="str">
            <v>No</v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>https://panda-windows-and-doors.monday.com/protected_static/21046287/resources/2146510899/9670 Window Crafters.pdf</v>
          </cell>
          <cell r="O988" t="str">
            <v/>
          </cell>
          <cell r="P988" t="str">
            <v/>
          </cell>
          <cell r="Q988" t="str">
            <v>https://panda-windows-and-doors.monday.com/protected_static/21046287/resources/2144461024/Service Form (51).pdf</v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>
            <v>2630.84</v>
          </cell>
          <cell r="W988" t="str">
            <v>Elizabet Lopez Jun 3, 2025 11:34 AM</v>
          </cell>
          <cell r="X988" t="str">
            <v/>
          </cell>
          <cell r="Y988">
            <v>45792</v>
          </cell>
          <cell r="Z988" t="str">
            <v/>
          </cell>
          <cell r="AA988">
            <v>45792</v>
          </cell>
          <cell r="AB988" t="str">
            <v>Jayme Truong May 15, 2025 1:43 PM</v>
          </cell>
          <cell r="AC988" t="str">
            <v/>
          </cell>
          <cell r="AD988" t="str">
            <v/>
          </cell>
          <cell r="AE988" t="str">
            <v/>
          </cell>
          <cell r="AF988" t="str">
            <v/>
          </cell>
          <cell r="AG988">
            <v>45811</v>
          </cell>
          <cell r="AH988" t="str">
            <v/>
          </cell>
          <cell r="AI988" t="str">
            <v/>
          </cell>
        </row>
        <row r="989">
          <cell r="C989" t="str">
            <v>Pacific Rim 2</v>
          </cell>
          <cell r="D989" t="str">
            <v/>
          </cell>
          <cell r="E989" t="str">
            <v/>
          </cell>
          <cell r="F989" t="str">
            <v>Service</v>
          </cell>
          <cell r="G989" t="str">
            <v>Service Collected</v>
          </cell>
          <cell r="H989" t="str">
            <v>No</v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>https://panda-windows-and-doors.monday.com/protected_static/21046287/resources/2158482069/Service Form (55).pdf</v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>
            <v>257</v>
          </cell>
          <cell r="W989" t="str">
            <v>Jayme Truong Jun 3, 2025 2:19 PM</v>
          </cell>
          <cell r="X989" t="str">
            <v/>
          </cell>
          <cell r="Y989">
            <v>45799</v>
          </cell>
          <cell r="Z989" t="str">
            <v/>
          </cell>
          <cell r="AA989">
            <v>45799</v>
          </cell>
          <cell r="AB989" t="str">
            <v>Jayme Truong May 22, 2025 9:37 AM</v>
          </cell>
          <cell r="AC989" t="str">
            <v/>
          </cell>
          <cell r="AD989" t="str">
            <v/>
          </cell>
          <cell r="AE989" t="str">
            <v/>
          </cell>
          <cell r="AF989" t="str">
            <v/>
          </cell>
          <cell r="AG989">
            <v>45811</v>
          </cell>
          <cell r="AH989" t="str">
            <v/>
          </cell>
          <cell r="AI989" t="str">
            <v/>
          </cell>
        </row>
        <row r="990">
          <cell r="C990">
            <v>18398</v>
          </cell>
          <cell r="D990" t="str">
            <v/>
          </cell>
          <cell r="E990" t="str">
            <v/>
          </cell>
          <cell r="F990" t="str">
            <v>Service</v>
          </cell>
          <cell r="G990" t="str">
            <v>Service Collected</v>
          </cell>
          <cell r="H990" t="str">
            <v>No</v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>https://panda-windows-and-doors.monday.com/protected_static/21046287/resources/2059347596/9521 ULTIMATE INSTALLZ.pdf</v>
          </cell>
          <cell r="O990" t="str">
            <v/>
          </cell>
          <cell r="P990" t="str">
            <v/>
          </cell>
          <cell r="Q990" t="str">
            <v>https://panda-windows-and-doors.monday.com/protected_static/21046287/resources/2058915589/Service Form.pdf</v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>
            <v>373.6</v>
          </cell>
          <cell r="W990" t="str">
            <v>Jayme Truong Jun 3, 2025 2:28 PM</v>
          </cell>
          <cell r="X990" t="str">
            <v/>
          </cell>
          <cell r="Y990">
            <v>45750</v>
          </cell>
          <cell r="Z990" t="str">
            <v/>
          </cell>
          <cell r="AA990">
            <v>45750</v>
          </cell>
          <cell r="AB990" t="str">
            <v>Jayme Truong Apr 3, 2025 8:35 AM</v>
          </cell>
          <cell r="AC990" t="str">
            <v/>
          </cell>
          <cell r="AD990" t="str">
            <v/>
          </cell>
          <cell r="AE990" t="str">
            <v/>
          </cell>
          <cell r="AF990" t="str">
            <v/>
          </cell>
          <cell r="AG990">
            <v>45811</v>
          </cell>
          <cell r="AH990" t="str">
            <v/>
          </cell>
          <cell r="AI990" t="str">
            <v/>
          </cell>
        </row>
        <row r="991">
          <cell r="C991" t="str">
            <v>Pacific Rim</v>
          </cell>
          <cell r="D991" t="str">
            <v/>
          </cell>
          <cell r="E991" t="str">
            <v/>
          </cell>
          <cell r="F991" t="str">
            <v>Service</v>
          </cell>
          <cell r="G991" t="str">
            <v>Service Collected</v>
          </cell>
          <cell r="H991" t="str">
            <v>No</v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>https://panda-windows-and-doors.monday.com/protected_static/21046287/resources/2126258761/9640 Pacific Rim Door.pdf</v>
          </cell>
          <cell r="O991" t="str">
            <v/>
          </cell>
          <cell r="P991" t="str">
            <v/>
          </cell>
          <cell r="Q991" t="str">
            <v>https://panda-windows-and-doors.monday.com/protected_static/21046287/resources/2123949924/Service Form (26).pdf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>
            <v>243</v>
          </cell>
          <cell r="W991" t="str">
            <v>Jayme Truong Jun 3, 2025 5:28 PM</v>
          </cell>
          <cell r="X991" t="str">
            <v/>
          </cell>
          <cell r="Y991">
            <v>45783</v>
          </cell>
          <cell r="Z991" t="str">
            <v/>
          </cell>
          <cell r="AA991">
            <v>45783</v>
          </cell>
          <cell r="AB991" t="str">
            <v>Jayme Truong May 6, 2025 4:19 PM</v>
          </cell>
          <cell r="AC991" t="str">
            <v/>
          </cell>
          <cell r="AD991" t="str">
            <v/>
          </cell>
          <cell r="AE991" t="str">
            <v/>
          </cell>
          <cell r="AF991" t="str">
            <v/>
          </cell>
          <cell r="AG991">
            <v>45811</v>
          </cell>
          <cell r="AH991" t="str">
            <v/>
          </cell>
          <cell r="AI991" t="str">
            <v/>
          </cell>
        </row>
        <row r="992">
          <cell r="C992">
            <v>9748</v>
          </cell>
          <cell r="D992" t="str">
            <v/>
          </cell>
          <cell r="E992" t="str">
            <v/>
          </cell>
          <cell r="F992" t="str">
            <v>Service</v>
          </cell>
          <cell r="G992" t="str">
            <v>Service Collected</v>
          </cell>
          <cell r="H992" t="str">
            <v>No</v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>https://panda-windows-and-doors.monday.com/protected_static/21046287/resources/2179564654/Service Form (59).pdf</v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>
            <v>1508</v>
          </cell>
          <cell r="W992" t="str">
            <v>Jayme Truong Jun 6, 2025 9:54 AM</v>
          </cell>
          <cell r="X992" t="str">
            <v/>
          </cell>
          <cell r="Y992">
            <v>45810</v>
          </cell>
          <cell r="Z992" t="str">
            <v/>
          </cell>
          <cell r="AA992">
            <v>45810</v>
          </cell>
          <cell r="AB992" t="str">
            <v>Jayme Truong Jun 2, 2025 2:07 PM</v>
          </cell>
          <cell r="AC992" t="str">
            <v/>
          </cell>
          <cell r="AD992" t="str">
            <v/>
          </cell>
          <cell r="AE992" t="str">
            <v/>
          </cell>
          <cell r="AF992" t="str">
            <v/>
          </cell>
          <cell r="AG992">
            <v>45814</v>
          </cell>
          <cell r="AH992" t="str">
            <v/>
          </cell>
          <cell r="AI992" t="str">
            <v/>
          </cell>
        </row>
        <row r="993">
          <cell r="C993">
            <v>66974</v>
          </cell>
          <cell r="D993" t="str">
            <v/>
          </cell>
          <cell r="E993" t="str">
            <v/>
          </cell>
          <cell r="F993" t="str">
            <v>Service</v>
          </cell>
          <cell r="G993" t="str">
            <v>Service Collected</v>
          </cell>
          <cell r="H993" t="str">
            <v>No</v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>https://panda-windows-and-doors.monday.com/protected_static/21046287/resources/2182108002/Service Form (44).pdf</v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>
            <v>23352</v>
          </cell>
          <cell r="W993" t="str">
            <v>Elizabet Lopez Jun 16, 2025 9:52 AM</v>
          </cell>
          <cell r="X993" t="str">
            <v/>
          </cell>
          <cell r="Y993">
            <v>45811</v>
          </cell>
          <cell r="Z993" t="str">
            <v/>
          </cell>
          <cell r="AA993">
            <v>45811</v>
          </cell>
          <cell r="AB993" t="str">
            <v>Jayme Truong Jun 3, 2025 11:34 AM</v>
          </cell>
          <cell r="AC993" t="str">
            <v/>
          </cell>
          <cell r="AD993" t="str">
            <v/>
          </cell>
          <cell r="AE993" t="str">
            <v/>
          </cell>
          <cell r="AF993" t="str">
            <v/>
          </cell>
          <cell r="AG993">
            <v>45814</v>
          </cell>
          <cell r="AH993" t="str">
            <v/>
          </cell>
          <cell r="AI993" t="str">
            <v/>
          </cell>
        </row>
        <row r="994">
          <cell r="C994">
            <v>14683</v>
          </cell>
          <cell r="D994" t="str">
            <v/>
          </cell>
          <cell r="E994" t="str">
            <v/>
          </cell>
          <cell r="F994" t="str">
            <v>Service</v>
          </cell>
          <cell r="G994" t="str">
            <v>Service Collected</v>
          </cell>
          <cell r="H994" t="str">
            <v>No</v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>https://panda-windows-and-doors.monday.com/protected_static/21046287/resources/2174043499/Service Form.pdf</v>
          </cell>
          <cell r="O994" t="str">
            <v/>
          </cell>
          <cell r="P994" t="str">
            <v/>
          </cell>
          <cell r="Q994" t="str">
            <v>https://panda-windows-and-doors.monday.com/protected_static/21046287/resources/2168880435/Service Form.pdf</v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>
            <v>407</v>
          </cell>
          <cell r="W994" t="str">
            <v>Jayme Truong Jun 6, 2025 3:18 PM</v>
          </cell>
          <cell r="X994" t="str">
            <v/>
          </cell>
          <cell r="Y994">
            <v>45805</v>
          </cell>
          <cell r="Z994" t="str">
            <v/>
          </cell>
          <cell r="AA994">
            <v>45807</v>
          </cell>
          <cell r="AB994" t="str">
            <v>Jayme Truong May 28, 2025 10:31 AM</v>
          </cell>
          <cell r="AC994" t="str">
            <v/>
          </cell>
          <cell r="AD994" t="str">
            <v/>
          </cell>
          <cell r="AE994" t="str">
            <v/>
          </cell>
          <cell r="AF994" t="str">
            <v/>
          </cell>
          <cell r="AG994">
            <v>45814</v>
          </cell>
          <cell r="AH994" t="str">
            <v/>
          </cell>
          <cell r="AI994" t="str">
            <v/>
          </cell>
        </row>
        <row r="995">
          <cell r="C995" t="str">
            <v>Stephen Slatton</v>
          </cell>
          <cell r="D995" t="str">
            <v/>
          </cell>
          <cell r="E995" t="str">
            <v/>
          </cell>
          <cell r="F995" t="str">
            <v>Service</v>
          </cell>
          <cell r="G995" t="str">
            <v>Service Collected</v>
          </cell>
          <cell r="H995" t="str">
            <v>No</v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>https://panda-windows-and-doors.monday.com/protected_static/21046287/resources/2179502212/Estimate 9716.pdf</v>
          </cell>
          <cell r="O995" t="str">
            <v/>
          </cell>
          <cell r="P995" t="str">
            <v/>
          </cell>
          <cell r="Q995" t="str">
            <v>https://panda-windows-and-doors.monday.com/protected_static/21046287/resources/2179251452/Service Form (43).pdf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>
            <v>510</v>
          </cell>
          <cell r="W995" t="str">
            <v>Jayme Truong Jun 6, 2025 3:36 PM</v>
          </cell>
          <cell r="X995" t="str">
            <v/>
          </cell>
          <cell r="Y995">
            <v>45810</v>
          </cell>
          <cell r="Z995" t="str">
            <v/>
          </cell>
          <cell r="AA995">
            <v>45810</v>
          </cell>
          <cell r="AB995" t="str">
            <v>Jayme Truong Jun 2, 2025 12:42 PM</v>
          </cell>
          <cell r="AC995" t="str">
            <v/>
          </cell>
          <cell r="AD995" t="str">
            <v/>
          </cell>
          <cell r="AE995" t="str">
            <v/>
          </cell>
          <cell r="AF995" t="str">
            <v/>
          </cell>
          <cell r="AG995">
            <v>45814</v>
          </cell>
          <cell r="AH995" t="str">
            <v/>
          </cell>
          <cell r="AI995" t="str">
            <v/>
          </cell>
        </row>
        <row r="996">
          <cell r="C996">
            <v>65046.1</v>
          </cell>
          <cell r="D996" t="str">
            <v/>
          </cell>
          <cell r="E996" t="str">
            <v/>
          </cell>
          <cell r="F996" t="str">
            <v>Service</v>
          </cell>
          <cell r="G996" t="str">
            <v>Service Collected</v>
          </cell>
          <cell r="H996" t="str">
            <v>No</v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>https://panda-windows-and-doors.monday.com/protected_static/21046287/resources/2173993116/Service Form (39).pdf</v>
          </cell>
          <cell r="O996" t="str">
            <v/>
          </cell>
          <cell r="P996" t="str">
            <v/>
          </cell>
          <cell r="Q996" t="str">
            <v>https://panda-windows-and-doors.monday.com/protected_static/21046287/resources/2173985807/Service Form (39).pdf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>
            <v>274</v>
          </cell>
          <cell r="W996" t="str">
            <v>Annalene Conde Jun 20, 2025 10:09 AM</v>
          </cell>
          <cell r="X996" t="str">
            <v/>
          </cell>
          <cell r="Y996">
            <v>45807</v>
          </cell>
          <cell r="Z996" t="str">
            <v/>
          </cell>
          <cell r="AA996">
            <v>45807</v>
          </cell>
          <cell r="AB996" t="str">
            <v>Jayme Truong May 30, 2025 8:26 AM</v>
          </cell>
          <cell r="AC996" t="str">
            <v/>
          </cell>
          <cell r="AD996">
            <v>45817</v>
          </cell>
          <cell r="AE996" t="str">
            <v/>
          </cell>
          <cell r="AF996" t="str">
            <v/>
          </cell>
          <cell r="AG996">
            <v>45817</v>
          </cell>
          <cell r="AH996" t="str">
            <v/>
          </cell>
          <cell r="AI996" t="str">
            <v/>
          </cell>
        </row>
        <row r="997">
          <cell r="C997" t="str">
            <v>75486-S</v>
          </cell>
          <cell r="D997" t="str">
            <v/>
          </cell>
          <cell r="E997" t="str">
            <v/>
          </cell>
          <cell r="F997" t="str">
            <v>Service</v>
          </cell>
          <cell r="G997" t="str">
            <v>Service Collected</v>
          </cell>
          <cell r="H997" t="str">
            <v>No</v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>https://panda-windows-and-doors.monday.com/protected_static/21046287/resources/2187233366/Service Form (60).pdf</v>
          </cell>
          <cell r="R997" t="str">
            <v/>
          </cell>
          <cell r="S997" t="str">
            <v/>
          </cell>
          <cell r="T997" t="str">
            <v/>
          </cell>
          <cell r="U997">
            <v>0</v>
          </cell>
          <cell r="V997">
            <v>637</v>
          </cell>
          <cell r="W997" t="str">
            <v>Jayme Truong Jun 9, 2025 11:10 AM</v>
          </cell>
          <cell r="X997" t="str">
            <v/>
          </cell>
          <cell r="Y997">
            <v>45813</v>
          </cell>
          <cell r="Z997" t="str">
            <v/>
          </cell>
          <cell r="AA997">
            <v>45813</v>
          </cell>
          <cell r="AB997" t="str">
            <v>Jayme Truong Jun 5, 2025 8:52 AM</v>
          </cell>
          <cell r="AC997" t="str">
            <v/>
          </cell>
          <cell r="AD997" t="str">
            <v/>
          </cell>
          <cell r="AE997" t="str">
            <v/>
          </cell>
          <cell r="AF997" t="str">
            <v/>
          </cell>
          <cell r="AG997">
            <v>45817</v>
          </cell>
          <cell r="AH997" t="str">
            <v/>
          </cell>
          <cell r="AI997" t="str">
            <v/>
          </cell>
        </row>
        <row r="998">
          <cell r="C998">
            <v>54662.2</v>
          </cell>
          <cell r="D998" t="str">
            <v/>
          </cell>
          <cell r="E998" t="str">
            <v/>
          </cell>
          <cell r="F998" t="str">
            <v>Service</v>
          </cell>
          <cell r="G998" t="str">
            <v>Service Collected</v>
          </cell>
          <cell r="H998" t="str">
            <v>No</v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>https://panda-windows-and-doors.monday.com/protected_static/21046287/resources/2190596993/Service Form.pdf</v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>
            <v>228</v>
          </cell>
          <cell r="W998" t="str">
            <v>Jayme Truong Jun 11, 2025 3:38 PM</v>
          </cell>
          <cell r="X998" t="str">
            <v/>
          </cell>
          <cell r="Y998">
            <v>45814</v>
          </cell>
          <cell r="Z998" t="str">
            <v/>
          </cell>
          <cell r="AA998">
            <v>45814</v>
          </cell>
          <cell r="AB998" t="str">
            <v>Jayme Truong Jun 6, 2025 11:57 AM</v>
          </cell>
          <cell r="AC998" t="str">
            <v/>
          </cell>
          <cell r="AD998" t="str">
            <v/>
          </cell>
          <cell r="AE998" t="str">
            <v/>
          </cell>
          <cell r="AF998" t="str">
            <v/>
          </cell>
          <cell r="AG998">
            <v>45819</v>
          </cell>
          <cell r="AH998" t="str">
            <v/>
          </cell>
          <cell r="AI998" t="str">
            <v/>
          </cell>
        </row>
        <row r="999">
          <cell r="C999" t="str">
            <v>69285-S</v>
          </cell>
          <cell r="D999" t="str">
            <v/>
          </cell>
          <cell r="E999" t="str">
            <v/>
          </cell>
          <cell r="F999" t="str">
            <v>Service</v>
          </cell>
          <cell r="G999" t="str">
            <v>Service Collected</v>
          </cell>
          <cell r="H999" t="str">
            <v>No</v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>https://panda-windows-and-doors.monday.com/protected_static/21046287/resources/2193931678/Service Form (64).pdf</v>
          </cell>
          <cell r="R999" t="str">
            <v/>
          </cell>
          <cell r="S999" t="str">
            <v/>
          </cell>
          <cell r="T999" t="str">
            <v/>
          </cell>
          <cell r="U999">
            <v>0</v>
          </cell>
          <cell r="V999">
            <v>407</v>
          </cell>
          <cell r="W999" t="str">
            <v>Jayme Truong Jun 11, 2025 3:46 PM</v>
          </cell>
          <cell r="X999" t="str">
            <v/>
          </cell>
          <cell r="Y999">
            <v>45817</v>
          </cell>
          <cell r="Z999" t="str">
            <v/>
          </cell>
          <cell r="AA999">
            <v>45817</v>
          </cell>
          <cell r="AB999" t="str">
            <v>Jayme Truong Jun 9, 2025 1:39 PM</v>
          </cell>
          <cell r="AC999" t="str">
            <v/>
          </cell>
          <cell r="AD999" t="str">
            <v/>
          </cell>
          <cell r="AE999" t="str">
            <v/>
          </cell>
          <cell r="AF999" t="str">
            <v/>
          </cell>
          <cell r="AG999">
            <v>45819</v>
          </cell>
          <cell r="AH999" t="str">
            <v/>
          </cell>
          <cell r="AI999" t="str">
            <v/>
          </cell>
        </row>
        <row r="1000">
          <cell r="C1000">
            <v>75814</v>
          </cell>
          <cell r="D1000" t="str">
            <v/>
          </cell>
          <cell r="E1000" t="str">
            <v/>
          </cell>
          <cell r="F1000" t="str">
            <v>Service</v>
          </cell>
          <cell r="G1000" t="str">
            <v>Service Collected</v>
          </cell>
          <cell r="H1000" t="str">
            <v>No</v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>https://panda-windows-and-doors.monday.com/protected_static/21046287/resources/2090567454/9584 Tempo at Nine Mile Station.pdf</v>
          </cell>
          <cell r="O1000" t="str">
            <v/>
          </cell>
          <cell r="P1000" t="str">
            <v/>
          </cell>
          <cell r="Q1000" t="str">
            <v>https://panda-windows-and-doors.monday.com/protected_static/21046287/resources/2089342914/Service Form (32).pdf</v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>
            <v>255</v>
          </cell>
          <cell r="W1000" t="str">
            <v>Jayme Truong Jun 11, 2025 3:52 PM</v>
          </cell>
          <cell r="X1000" t="str">
            <v/>
          </cell>
          <cell r="Y1000">
            <v>45764</v>
          </cell>
          <cell r="Z1000" t="str">
            <v/>
          </cell>
          <cell r="AA1000">
            <v>45764</v>
          </cell>
          <cell r="AB1000" t="str">
            <v>Jayme Truong Apr 17, 2025 4:07 PM</v>
          </cell>
          <cell r="AC1000" t="str">
            <v/>
          </cell>
          <cell r="AD1000" t="str">
            <v/>
          </cell>
          <cell r="AE1000" t="str">
            <v/>
          </cell>
          <cell r="AF1000" t="str">
            <v/>
          </cell>
          <cell r="AG1000">
            <v>45819</v>
          </cell>
          <cell r="AH1000" t="str">
            <v/>
          </cell>
          <cell r="AI1000" t="str">
            <v/>
          </cell>
        </row>
        <row r="1001">
          <cell r="C1001">
            <v>67212</v>
          </cell>
          <cell r="D1001" t="str">
            <v/>
          </cell>
          <cell r="E1001" t="str">
            <v/>
          </cell>
          <cell r="F1001" t="str">
            <v>Service</v>
          </cell>
          <cell r="G1001" t="str">
            <v>Service Collected</v>
          </cell>
          <cell r="H1001" t="str">
            <v>No</v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>https://panda-windows-and-doors.monday.com/protected_static/21046287/resources/2194038926/Service Form.pdf</v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>
            <v>679</v>
          </cell>
          <cell r="W1001" t="str">
            <v>Elizabet Lopez Jun 16, 2025 9:53 AM</v>
          </cell>
          <cell r="X1001" t="str">
            <v/>
          </cell>
          <cell r="Y1001">
            <v>45817</v>
          </cell>
          <cell r="Z1001" t="str">
            <v/>
          </cell>
          <cell r="AA1001">
            <v>45817</v>
          </cell>
          <cell r="AB1001" t="str">
            <v>Jayme Truong Jun 9, 2025 2:12 PM</v>
          </cell>
          <cell r="AC1001" t="str">
            <v/>
          </cell>
          <cell r="AD1001" t="str">
            <v/>
          </cell>
          <cell r="AE1001" t="str">
            <v/>
          </cell>
          <cell r="AF1001" t="str">
            <v/>
          </cell>
          <cell r="AG1001">
            <v>45819</v>
          </cell>
          <cell r="AH1001" t="str">
            <v/>
          </cell>
          <cell r="AI1001" t="str">
            <v/>
          </cell>
        </row>
        <row r="1002">
          <cell r="C1002">
            <v>21423</v>
          </cell>
          <cell r="D1002" t="str">
            <v/>
          </cell>
          <cell r="E1002" t="str">
            <v/>
          </cell>
          <cell r="F1002" t="str">
            <v>Service</v>
          </cell>
          <cell r="G1002" t="str">
            <v>Service Collected</v>
          </cell>
          <cell r="H1002" t="str">
            <v>No</v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>https://panda-windows-and-doors.monday.com/protected_static/21046287/resources/2068801202/9532 Figs Elite Door.pdf</v>
          </cell>
          <cell r="O1002" t="str">
            <v/>
          </cell>
          <cell r="P1002" t="str">
            <v/>
          </cell>
          <cell r="Q1002" t="str">
            <v>https://panda-windows-and-doors.monday.com/protected_static/21046287/resources/2068380080/Service Form.pdf, https://panda-windows-and-doors.monday.com/protected_static/21046287/resources/2838480814/Service Form.pdf</v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>
            <v>257</v>
          </cell>
          <cell r="W1002" t="str">
            <v>Jayme Truong Mar 18, 2026 10:47 AM</v>
          </cell>
          <cell r="X1002" t="str">
            <v/>
          </cell>
          <cell r="Y1002">
            <v>45755</v>
          </cell>
          <cell r="Z1002" t="str">
            <v/>
          </cell>
          <cell r="AA1002">
            <v>45755</v>
          </cell>
          <cell r="AB1002" t="str">
            <v>Jayme Truong Apr 8, 2025 8:14 AM</v>
          </cell>
          <cell r="AC1002" t="str">
            <v/>
          </cell>
          <cell r="AD1002" t="str">
            <v/>
          </cell>
          <cell r="AE1002" t="str">
            <v/>
          </cell>
          <cell r="AF1002" t="str">
            <v/>
          </cell>
          <cell r="AG1002">
            <v>45820</v>
          </cell>
          <cell r="AH1002" t="str">
            <v/>
          </cell>
          <cell r="AI1002" t="str">
            <v/>
          </cell>
        </row>
        <row r="1003">
          <cell r="C1003">
            <v>17508</v>
          </cell>
          <cell r="D1003" t="str">
            <v/>
          </cell>
          <cell r="E1003" t="str">
            <v/>
          </cell>
          <cell r="F1003" t="str">
            <v>Service</v>
          </cell>
          <cell r="G1003" t="str">
            <v>Service Collected</v>
          </cell>
          <cell r="H1003" t="str">
            <v>No</v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>https://panda-windows-and-doors.monday.com/protected_static/21046287/resources/2111731874/9618 Master Home Works.pdf, https://panda-windows-and-doors.monday.com/protected_static/21046287/resources/2125848008/9618 revised Master Home Works.pdf</v>
          </cell>
          <cell r="O1003" t="str">
            <v/>
          </cell>
          <cell r="P1003" t="str">
            <v/>
          </cell>
          <cell r="Q1003" t="str">
            <v>https://panda-windows-and-doors.monday.com/protected_static/21046287/resources/2110362190/Service Form.pdf</v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>
            <v>6200.8</v>
          </cell>
          <cell r="W1003" t="str">
            <v>Jayme Truong Jun 16, 2025 8:45 AM</v>
          </cell>
          <cell r="X1003" t="str">
            <v/>
          </cell>
          <cell r="Y1003">
            <v>45776</v>
          </cell>
          <cell r="Z1003" t="str">
            <v/>
          </cell>
          <cell r="AA1003">
            <v>45776</v>
          </cell>
          <cell r="AB1003" t="str">
            <v>Jayme Truong Apr 29, 2025 4:23 PM</v>
          </cell>
          <cell r="AC1003" t="str">
            <v/>
          </cell>
          <cell r="AD1003" t="str">
            <v/>
          </cell>
          <cell r="AE1003" t="str">
            <v/>
          </cell>
          <cell r="AF1003" t="str">
            <v/>
          </cell>
          <cell r="AG1003">
            <v>45824</v>
          </cell>
          <cell r="AH1003" t="str">
            <v/>
          </cell>
          <cell r="AI1003" t="str">
            <v/>
          </cell>
        </row>
        <row r="1004">
          <cell r="C1004" t="str">
            <v>Lincoln County School District</v>
          </cell>
          <cell r="D1004" t="str">
            <v/>
          </cell>
          <cell r="E1004" t="str">
            <v/>
          </cell>
          <cell r="F1004" t="str">
            <v>Service</v>
          </cell>
          <cell r="G1004" t="str">
            <v>Service Collected</v>
          </cell>
          <cell r="H1004" t="str">
            <v>No</v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>https://panda-windows-and-doors.monday.com/protected_static/21046287/resources/2146391028/9669 Lincoln County School District.pdf</v>
          </cell>
          <cell r="O1004" t="str">
            <v/>
          </cell>
          <cell r="P1004" t="str">
            <v/>
          </cell>
          <cell r="Q1004" t="str">
            <v>https://panda-windows-and-doors.monday.com/protected_static/21046287/resources/2146334361/Service Form (52).pdf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>
            <v>485</v>
          </cell>
          <cell r="W1004" t="str">
            <v>Jayme Truong Jun 16, 2025 9:55 AM</v>
          </cell>
          <cell r="X1004" t="str">
            <v/>
          </cell>
          <cell r="Y1004">
            <v>45793</v>
          </cell>
          <cell r="Z1004" t="str">
            <v/>
          </cell>
          <cell r="AA1004">
            <v>45793</v>
          </cell>
          <cell r="AB1004" t="str">
            <v>Jayme Truong May 16, 2025 10:49 AM</v>
          </cell>
          <cell r="AC1004" t="str">
            <v/>
          </cell>
          <cell r="AD1004">
            <v>45810</v>
          </cell>
          <cell r="AE1004" t="str">
            <v/>
          </cell>
          <cell r="AF1004" t="str">
            <v/>
          </cell>
          <cell r="AG1004">
            <v>45824</v>
          </cell>
          <cell r="AH1004" t="str">
            <v/>
          </cell>
          <cell r="AI1004" t="str">
            <v/>
          </cell>
        </row>
        <row r="1005">
          <cell r="C1005">
            <v>55821</v>
          </cell>
          <cell r="D1005" t="str">
            <v/>
          </cell>
          <cell r="E1005" t="str">
            <v/>
          </cell>
          <cell r="F1005" t="str">
            <v>Service</v>
          </cell>
          <cell r="G1005" t="str">
            <v>Service Collected</v>
          </cell>
          <cell r="H1005" t="str">
            <v>No</v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>https://panda-windows-and-doors.monday.com/protected_static/21046287/resources/2149862629/Service Form (32).pdf</v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>
            <v>795</v>
          </cell>
          <cell r="W1005" t="str">
            <v>Jayme Truong Jun 16, 2025 4:52 PM</v>
          </cell>
          <cell r="X1005" t="str">
            <v/>
          </cell>
          <cell r="Y1005">
            <v>45796</v>
          </cell>
          <cell r="Z1005" t="str">
            <v/>
          </cell>
          <cell r="AA1005">
            <v>45796</v>
          </cell>
          <cell r="AB1005" t="str">
            <v>Jayme Truong May 19, 2025 9:51 AM</v>
          </cell>
          <cell r="AC1005" t="str">
            <v/>
          </cell>
          <cell r="AD1005" t="str">
            <v/>
          </cell>
          <cell r="AE1005" t="str">
            <v/>
          </cell>
          <cell r="AF1005" t="str">
            <v/>
          </cell>
          <cell r="AG1005">
            <v>45824</v>
          </cell>
          <cell r="AH1005" t="str">
            <v/>
          </cell>
          <cell r="AI1005" t="str">
            <v/>
          </cell>
        </row>
        <row r="1006">
          <cell r="C1006" t="str">
            <v>Wesley Smith</v>
          </cell>
          <cell r="D1006" t="str">
            <v/>
          </cell>
          <cell r="E1006" t="str">
            <v/>
          </cell>
          <cell r="F1006" t="str">
            <v>Service</v>
          </cell>
          <cell r="G1006" t="str">
            <v>Service Collected</v>
          </cell>
          <cell r="H1006" t="str">
            <v>No</v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>https://panda-windows-and-doors.monday.com/protected_static/21046287/resources/2152187550/9680 Wesley Smith.pdf</v>
          </cell>
          <cell r="O1006" t="str">
            <v/>
          </cell>
          <cell r="P1006" t="str">
            <v/>
          </cell>
          <cell r="Q1006" t="str">
            <v>https://panda-windows-and-doors.monday.com/protected_static/21046287/resources/2150502078/Service Form (34).pdf</v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>
            <v>144</v>
          </cell>
          <cell r="W1006" t="str">
            <v>Jayme Truong Jun 16, 2025 5:02 PM</v>
          </cell>
          <cell r="X1006" t="str">
            <v/>
          </cell>
          <cell r="Y1006">
            <v>45796</v>
          </cell>
          <cell r="Z1006" t="str">
            <v/>
          </cell>
          <cell r="AA1006">
            <v>45796</v>
          </cell>
          <cell r="AB1006" t="str">
            <v>Jayme Truong May 19, 2025 1:47 PM</v>
          </cell>
          <cell r="AC1006" t="str">
            <v/>
          </cell>
          <cell r="AD1006" t="str">
            <v/>
          </cell>
          <cell r="AE1006" t="str">
            <v/>
          </cell>
          <cell r="AF1006" t="str">
            <v/>
          </cell>
          <cell r="AG1006">
            <v>45824</v>
          </cell>
          <cell r="AH1006" t="str">
            <v/>
          </cell>
          <cell r="AI1006" t="str">
            <v/>
          </cell>
        </row>
        <row r="1007">
          <cell r="C1007">
            <v>52766</v>
          </cell>
          <cell r="D1007" t="str">
            <v/>
          </cell>
          <cell r="E1007" t="str">
            <v/>
          </cell>
          <cell r="F1007" t="str">
            <v>Service</v>
          </cell>
          <cell r="G1007" t="str">
            <v>Service Collected</v>
          </cell>
          <cell r="H1007" t="str">
            <v>No</v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>https://panda-windows-and-doors.monday.com/protected_static/21046287/resources/2144030880/9665 Orion Ruckle.pdf</v>
          </cell>
          <cell r="O1007" t="str">
            <v/>
          </cell>
          <cell r="P1007" t="str">
            <v/>
          </cell>
          <cell r="Q1007" t="str">
            <v>https://panda-windows-and-doors.monday.com/protected_static/21046287/resources/2143957705/Service Form (31).pdf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>
            <v>638</v>
          </cell>
          <cell r="W1007" t="str">
            <v>Jayme Truong Jun 17, 2025 11:32 AM</v>
          </cell>
          <cell r="X1007" t="str">
            <v/>
          </cell>
          <cell r="Y1007">
            <v>45792</v>
          </cell>
          <cell r="Z1007" t="str">
            <v/>
          </cell>
          <cell r="AA1007">
            <v>45792</v>
          </cell>
          <cell r="AB1007" t="str">
            <v>Jayme Truong May 15, 2025 10:39 AM</v>
          </cell>
          <cell r="AC1007" t="str">
            <v/>
          </cell>
          <cell r="AD1007" t="str">
            <v/>
          </cell>
          <cell r="AE1007" t="str">
            <v/>
          </cell>
          <cell r="AF1007" t="str">
            <v/>
          </cell>
          <cell r="AG1007">
            <v>45825</v>
          </cell>
          <cell r="AH1007" t="str">
            <v/>
          </cell>
          <cell r="AI1007" t="str">
            <v/>
          </cell>
        </row>
        <row r="1008">
          <cell r="C1008">
            <v>68670.100000000006</v>
          </cell>
          <cell r="D1008" t="str">
            <v/>
          </cell>
          <cell r="E1008" t="str">
            <v/>
          </cell>
          <cell r="F1008" t="str">
            <v>Service</v>
          </cell>
          <cell r="G1008" t="str">
            <v>Service Collected</v>
          </cell>
          <cell r="H1008" t="str">
            <v>No</v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>https://panda-windows-and-doors.monday.com/protected_static/21046287/resources/2182336403/Service Form (45).pdf</v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>
            <v>935</v>
          </cell>
          <cell r="W1008" t="str">
            <v>Jayme Truong Jun 17, 2025 5:07 PM</v>
          </cell>
          <cell r="X1008" t="str">
            <v/>
          </cell>
          <cell r="Y1008">
            <v>45811</v>
          </cell>
          <cell r="Z1008" t="str">
            <v/>
          </cell>
          <cell r="AA1008">
            <v>45811</v>
          </cell>
          <cell r="AB1008" t="str">
            <v>Jayme Truong Jun 3, 2025 12:59 PM</v>
          </cell>
          <cell r="AC1008" t="str">
            <v/>
          </cell>
          <cell r="AD1008" t="str">
            <v/>
          </cell>
          <cell r="AE1008" t="str">
            <v/>
          </cell>
          <cell r="AF1008" t="str">
            <v/>
          </cell>
          <cell r="AG1008">
            <v>45825</v>
          </cell>
          <cell r="AH1008" t="str">
            <v/>
          </cell>
          <cell r="AI1008" t="str">
            <v/>
          </cell>
        </row>
        <row r="1009">
          <cell r="C1009">
            <v>5438</v>
          </cell>
          <cell r="D1009" t="str">
            <v/>
          </cell>
          <cell r="E1009" t="str">
            <v/>
          </cell>
          <cell r="F1009" t="str">
            <v>Service</v>
          </cell>
          <cell r="G1009" t="str">
            <v>Service Collected</v>
          </cell>
          <cell r="H1009" t="str">
            <v>No</v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>https://panda-windows-and-doors.monday.com/protected_static/21046287/resources/2208197015/Service Form.pdf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>
            <v>440</v>
          </cell>
          <cell r="W1009" t="str">
            <v>Jayme Truong Jun 20, 2025 3:52 PM</v>
          </cell>
          <cell r="X1009" t="str">
            <v/>
          </cell>
          <cell r="Y1009">
            <v>45824</v>
          </cell>
          <cell r="Z1009" t="str">
            <v/>
          </cell>
          <cell r="AA1009">
            <v>45824</v>
          </cell>
          <cell r="AB1009" t="str">
            <v>Jayme Truong Jun 16, 2025 11:03 AM</v>
          </cell>
          <cell r="AC1009" t="str">
            <v/>
          </cell>
          <cell r="AD1009" t="str">
            <v/>
          </cell>
          <cell r="AE1009" t="str">
            <v/>
          </cell>
          <cell r="AF1009" t="str">
            <v/>
          </cell>
          <cell r="AG1009">
            <v>45828</v>
          </cell>
          <cell r="AH1009" t="str">
            <v/>
          </cell>
          <cell r="AI1009" t="str">
            <v/>
          </cell>
        </row>
        <row r="1010">
          <cell r="C1010">
            <v>10925</v>
          </cell>
          <cell r="D1010" t="str">
            <v/>
          </cell>
          <cell r="E1010" t="str">
            <v/>
          </cell>
          <cell r="F1010" t="str">
            <v>Service</v>
          </cell>
          <cell r="G1010" t="str">
            <v>Service Collected</v>
          </cell>
          <cell r="H1010" t="str">
            <v>No</v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>https://panda-windows-and-doors.monday.com/protected_static/21046287/resources/2204596642/Service Form.pdf</v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>
            <v>407</v>
          </cell>
          <cell r="W1010" t="str">
            <v>Jayme Truong Jun 20, 2025 3:59 PM</v>
          </cell>
          <cell r="X1010" t="str">
            <v/>
          </cell>
          <cell r="Y1010">
            <v>45821</v>
          </cell>
          <cell r="Z1010" t="str">
            <v/>
          </cell>
          <cell r="AA1010">
            <v>45821</v>
          </cell>
          <cell r="AB1010" t="str">
            <v>Jayme Truong Jun 13, 2025 8:49 AM</v>
          </cell>
          <cell r="AC1010" t="str">
            <v/>
          </cell>
          <cell r="AD1010" t="str">
            <v/>
          </cell>
          <cell r="AE1010" t="str">
            <v/>
          </cell>
          <cell r="AF1010" t="str">
            <v/>
          </cell>
          <cell r="AG1010">
            <v>45828</v>
          </cell>
          <cell r="AH1010" t="str">
            <v/>
          </cell>
          <cell r="AI1010" t="str">
            <v/>
          </cell>
        </row>
        <row r="1011">
          <cell r="C1011" t="str">
            <v>Glazing concepts</v>
          </cell>
          <cell r="D1011" t="str">
            <v/>
          </cell>
          <cell r="E1011" t="str">
            <v/>
          </cell>
          <cell r="F1011" t="str">
            <v>Service</v>
          </cell>
          <cell r="G1011" t="str">
            <v>Service Collected</v>
          </cell>
          <cell r="H1011" t="str">
            <v>No</v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>https://panda-windows-and-doors.monday.com/protected_static/21046287/resources/2213683001/Service Form (70).pdf</v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>
            <v>1021</v>
          </cell>
          <cell r="W1011" t="str">
            <v>Jayme Truong Jun 23, 2025 11:44 AM</v>
          </cell>
          <cell r="X1011" t="str">
            <v/>
          </cell>
          <cell r="Y1011">
            <v>45826</v>
          </cell>
          <cell r="Z1011" t="str">
            <v/>
          </cell>
          <cell r="AA1011">
            <v>45826</v>
          </cell>
          <cell r="AB1011" t="str">
            <v>Jayme Truong Jun 18, 2025 9:32 AM</v>
          </cell>
          <cell r="AC1011" t="str">
            <v/>
          </cell>
          <cell r="AD1011" t="str">
            <v/>
          </cell>
          <cell r="AE1011" t="str">
            <v/>
          </cell>
          <cell r="AF1011" t="str">
            <v/>
          </cell>
          <cell r="AG1011">
            <v>45831</v>
          </cell>
          <cell r="AH1011" t="str">
            <v/>
          </cell>
          <cell r="AI1011" t="str">
            <v/>
          </cell>
        </row>
        <row r="1012">
          <cell r="C1012">
            <v>4</v>
          </cell>
          <cell r="D1012" t="str">
            <v/>
          </cell>
          <cell r="E1012" t="str">
            <v/>
          </cell>
          <cell r="F1012" t="str">
            <v>Service</v>
          </cell>
          <cell r="G1012" t="str">
            <v>Service Collected</v>
          </cell>
          <cell r="H1012" t="str">
            <v>No</v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>https://panda-windows-and-doors.monday.com/protected_static/21046287/resources/2193026643/Service Form.pdf</v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>
            <v>371</v>
          </cell>
          <cell r="W1012" t="str">
            <v>Jayme Truong Jun 24, 2025 12:11 PM</v>
          </cell>
          <cell r="X1012" t="str">
            <v/>
          </cell>
          <cell r="Y1012">
            <v>45817</v>
          </cell>
          <cell r="Z1012" t="str">
            <v/>
          </cell>
          <cell r="AA1012">
            <v>45817</v>
          </cell>
          <cell r="AB1012" t="str">
            <v>Jayme Truong Jun 9, 2025 8:43 AM</v>
          </cell>
          <cell r="AC1012" t="str">
            <v/>
          </cell>
          <cell r="AD1012" t="str">
            <v/>
          </cell>
          <cell r="AE1012" t="str">
            <v/>
          </cell>
          <cell r="AF1012" t="str">
            <v/>
          </cell>
          <cell r="AG1012">
            <v>45832</v>
          </cell>
          <cell r="AH1012" t="str">
            <v/>
          </cell>
          <cell r="AI1012" t="str">
            <v/>
          </cell>
        </row>
        <row r="1013">
          <cell r="C1013">
            <v>367</v>
          </cell>
          <cell r="D1013" t="str">
            <v/>
          </cell>
          <cell r="E1013" t="str">
            <v/>
          </cell>
          <cell r="F1013" t="str">
            <v>Service</v>
          </cell>
          <cell r="G1013" t="str">
            <v>Service Collected</v>
          </cell>
          <cell r="H1013" t="str">
            <v>No</v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>https://panda-windows-and-doors.monday.com/protected_static/21046287/resources/2216551616/9778 Ultimate Installz.pdf</v>
          </cell>
          <cell r="O1013" t="str">
            <v/>
          </cell>
          <cell r="P1013" t="str">
            <v/>
          </cell>
          <cell r="Q1013" t="str">
            <v>https://panda-windows-and-doors.monday.com/protected_static/21046287/resources/2214272488/Service Form.pdf</v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>
            <v>407</v>
          </cell>
          <cell r="W1013" t="str">
            <v>Jayme Truong Jun 25, 2025 3:28 PM</v>
          </cell>
          <cell r="X1013" t="str">
            <v/>
          </cell>
          <cell r="Y1013">
            <v>45826</v>
          </cell>
          <cell r="Z1013" t="str">
            <v/>
          </cell>
          <cell r="AA1013">
            <v>45826</v>
          </cell>
          <cell r="AB1013" t="str">
            <v>Jayme Truong Jun 18, 2025 12:22 PM</v>
          </cell>
          <cell r="AC1013" t="str">
            <v/>
          </cell>
          <cell r="AD1013" t="str">
            <v/>
          </cell>
          <cell r="AE1013" t="str">
            <v/>
          </cell>
          <cell r="AF1013" t="str">
            <v/>
          </cell>
          <cell r="AG1013">
            <v>45833</v>
          </cell>
          <cell r="AH1013" t="str">
            <v/>
          </cell>
          <cell r="AI1013" t="str">
            <v/>
          </cell>
        </row>
        <row r="1014">
          <cell r="C1014">
            <v>79239</v>
          </cell>
          <cell r="D1014" t="str">
            <v/>
          </cell>
          <cell r="E1014" t="str">
            <v/>
          </cell>
          <cell r="F1014" t="str">
            <v>Service</v>
          </cell>
          <cell r="G1014" t="str">
            <v>Service Collected</v>
          </cell>
          <cell r="H1014" t="str">
            <v>No</v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>https://panda-windows-and-doors.monday.com/protected_static/21046287/resources/2103109446/9610 Lake James Custom Homes.pdf</v>
          </cell>
          <cell r="O1014" t="str">
            <v/>
          </cell>
          <cell r="P1014" t="str">
            <v/>
          </cell>
          <cell r="Q1014" t="str">
            <v>https://panda-windows-and-doors.monday.com/protected_static/21046287/resources/2102616346/Service Form (38).pdf</v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>
            <v>189</v>
          </cell>
          <cell r="W1014" t="str">
            <v>Jayme Truong Jun 26, 2025 11:06 AM</v>
          </cell>
          <cell r="X1014" t="str">
            <v/>
          </cell>
          <cell r="Y1014">
            <v>45772</v>
          </cell>
          <cell r="Z1014" t="str">
            <v/>
          </cell>
          <cell r="AA1014">
            <v>45772</v>
          </cell>
          <cell r="AB1014" t="str">
            <v>Jayme Truong Apr 25, 2025 10:46 AM</v>
          </cell>
          <cell r="AC1014" t="str">
            <v/>
          </cell>
          <cell r="AD1014" t="str">
            <v/>
          </cell>
          <cell r="AE1014" t="str">
            <v/>
          </cell>
          <cell r="AF1014" t="str">
            <v/>
          </cell>
          <cell r="AG1014">
            <v>45834</v>
          </cell>
          <cell r="AH1014" t="str">
            <v/>
          </cell>
          <cell r="AI1014" t="str">
            <v/>
          </cell>
        </row>
        <row r="1015">
          <cell r="C1015">
            <v>68072</v>
          </cell>
          <cell r="D1015" t="str">
            <v/>
          </cell>
          <cell r="E1015" t="str">
            <v/>
          </cell>
          <cell r="F1015" t="str">
            <v>Service</v>
          </cell>
          <cell r="G1015" t="str">
            <v>Service Collected</v>
          </cell>
          <cell r="H1015" t="str">
            <v>No</v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>https://panda-windows-and-doors.monday.com/protected_static/21046287/resources/2211486767/Service Form (68).pdf</v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>
            <v>558</v>
          </cell>
          <cell r="W1015" t="str">
            <v>Jayme Truong Jun 26, 2025 2:30 PM</v>
          </cell>
          <cell r="X1015" t="str">
            <v/>
          </cell>
          <cell r="Y1015">
            <v>45825</v>
          </cell>
          <cell r="Z1015" t="str">
            <v/>
          </cell>
          <cell r="AA1015">
            <v>45825</v>
          </cell>
          <cell r="AB1015" t="str">
            <v>Jayme Truong Jun 17, 2025 1:43 PM</v>
          </cell>
          <cell r="AC1015" t="str">
            <v/>
          </cell>
          <cell r="AD1015" t="str">
            <v/>
          </cell>
          <cell r="AE1015" t="str">
            <v/>
          </cell>
          <cell r="AF1015" t="str">
            <v/>
          </cell>
          <cell r="AG1015">
            <v>45834</v>
          </cell>
          <cell r="AH1015" t="str">
            <v/>
          </cell>
          <cell r="AI1015" t="str">
            <v/>
          </cell>
        </row>
        <row r="1016">
          <cell r="C1016">
            <v>75285</v>
          </cell>
          <cell r="D1016" t="str">
            <v/>
          </cell>
          <cell r="E1016" t="str">
            <v/>
          </cell>
          <cell r="F1016" t="str">
            <v>Service</v>
          </cell>
          <cell r="G1016" t="str">
            <v>Service Collected</v>
          </cell>
          <cell r="H1016" t="str">
            <v>No</v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>https://panda-windows-and-doors.monday.com/protected_static/21046287/resources/2225355316/Service Form.pdf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>
            <v>285</v>
          </cell>
          <cell r="W1016" t="str">
            <v>Jayme Truong Jun 26, 2025 2:41 PM</v>
          </cell>
          <cell r="X1016" t="str">
            <v/>
          </cell>
          <cell r="Y1016">
            <v>45832</v>
          </cell>
          <cell r="Z1016" t="str">
            <v/>
          </cell>
          <cell r="AA1016">
            <v>45832</v>
          </cell>
          <cell r="AB1016" t="str">
            <v>Jayme Truong Jun 24, 2025 8:25 AM</v>
          </cell>
          <cell r="AC1016" t="str">
            <v/>
          </cell>
          <cell r="AD1016" t="str">
            <v/>
          </cell>
          <cell r="AE1016" t="str">
            <v/>
          </cell>
          <cell r="AF1016" t="str">
            <v/>
          </cell>
          <cell r="AG1016">
            <v>45834</v>
          </cell>
          <cell r="AH1016" t="str">
            <v/>
          </cell>
          <cell r="AI1016" t="str">
            <v/>
          </cell>
        </row>
        <row r="1017">
          <cell r="C1017">
            <v>67552</v>
          </cell>
          <cell r="D1017" t="str">
            <v/>
          </cell>
          <cell r="E1017" t="str">
            <v/>
          </cell>
          <cell r="F1017" t="str">
            <v>Service</v>
          </cell>
          <cell r="G1017" t="str">
            <v>Service Collected</v>
          </cell>
          <cell r="H1017" t="str">
            <v>No</v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>https://panda-windows-and-doors.monday.com/protected_static/21046287/resources/2056255800/9515 McCarthy Cook.pdf</v>
          </cell>
          <cell r="O1017" t="str">
            <v/>
          </cell>
          <cell r="P1017" t="str">
            <v/>
          </cell>
          <cell r="Q1017" t="str">
            <v>https://panda-windows-and-doors.monday.com/protected_static/21046287/resources/2056200649/Service Form (22).pdf</v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>
            <v>1565</v>
          </cell>
          <cell r="W1017" t="str">
            <v>Jayme Truong Jul 1, 2025 8:11 AM</v>
          </cell>
          <cell r="X1017" t="str">
            <v/>
          </cell>
          <cell r="Y1017">
            <v>45749</v>
          </cell>
          <cell r="Z1017" t="str">
            <v/>
          </cell>
          <cell r="AA1017">
            <v>45749</v>
          </cell>
          <cell r="AB1017" t="str">
            <v>Jayme Truong Apr 2, 2025 10:40 AM</v>
          </cell>
          <cell r="AC1017" t="str">
            <v/>
          </cell>
          <cell r="AD1017" t="str">
            <v/>
          </cell>
          <cell r="AE1017" t="str">
            <v/>
          </cell>
          <cell r="AF1017" t="str">
            <v/>
          </cell>
          <cell r="AG1017">
            <v>45839</v>
          </cell>
          <cell r="AH1017" t="str">
            <v/>
          </cell>
          <cell r="AI1017" t="str">
            <v/>
          </cell>
        </row>
        <row r="1018">
          <cell r="C1018">
            <v>53316</v>
          </cell>
          <cell r="D1018" t="str">
            <v/>
          </cell>
          <cell r="E1018" t="str">
            <v/>
          </cell>
          <cell r="F1018" t="str">
            <v>Service</v>
          </cell>
          <cell r="G1018" t="str">
            <v>Service Collected</v>
          </cell>
          <cell r="H1018" t="str">
            <v>No</v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>https://panda-windows-and-doors.monday.com/protected_static/21046287/resources/2216760360/9781 Eddy LUh.pdf</v>
          </cell>
          <cell r="O1018" t="str">
            <v/>
          </cell>
          <cell r="P1018" t="str">
            <v/>
          </cell>
          <cell r="Q1018" t="str">
            <v>https://panda-windows-and-doors.monday.com/protected_static/21046287/resources/2216722742/Service Form.pdf</v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>
            <v>212</v>
          </cell>
          <cell r="W1018" t="str">
            <v>Jayme Truong Jul 1, 2025 9:10 AM</v>
          </cell>
          <cell r="X1018" t="str">
            <v/>
          </cell>
          <cell r="Y1018">
            <v>45827</v>
          </cell>
          <cell r="Z1018" t="str">
            <v/>
          </cell>
          <cell r="AA1018">
            <v>45827</v>
          </cell>
          <cell r="AB1018" t="str">
            <v>Jayme Truong Jun 19, 2025 11:40 AM</v>
          </cell>
          <cell r="AC1018" t="str">
            <v/>
          </cell>
          <cell r="AD1018" t="str">
            <v/>
          </cell>
          <cell r="AE1018" t="str">
            <v/>
          </cell>
          <cell r="AF1018" t="str">
            <v/>
          </cell>
          <cell r="AG1018">
            <v>45839</v>
          </cell>
          <cell r="AH1018" t="str">
            <v/>
          </cell>
          <cell r="AI1018" t="str">
            <v/>
          </cell>
        </row>
        <row r="1019">
          <cell r="C1019">
            <v>73153</v>
          </cell>
          <cell r="D1019" t="str">
            <v/>
          </cell>
          <cell r="E1019" t="str">
            <v/>
          </cell>
          <cell r="F1019" t="str">
            <v>Service</v>
          </cell>
          <cell r="G1019" t="str">
            <v>Service Collected</v>
          </cell>
          <cell r="H1019" t="str">
            <v>No</v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>https://panda-windows-and-doors.monday.com/protected_static/21046287/resources/2225669582/Service Form.pdf</v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>
            <v>100</v>
          </cell>
          <cell r="W1019" t="str">
            <v>Jayme Truong Jul 1, 2025 9:24 AM</v>
          </cell>
          <cell r="X1019" t="str">
            <v/>
          </cell>
          <cell r="Y1019">
            <v>45832</v>
          </cell>
          <cell r="Z1019" t="str">
            <v/>
          </cell>
          <cell r="AA1019">
            <v>45832</v>
          </cell>
          <cell r="AB1019" t="str">
            <v>Jayme Truong Jun 24, 2025 10:05 AM</v>
          </cell>
          <cell r="AC1019" t="str">
            <v/>
          </cell>
          <cell r="AD1019" t="str">
            <v/>
          </cell>
          <cell r="AE1019" t="str">
            <v/>
          </cell>
          <cell r="AF1019" t="str">
            <v/>
          </cell>
          <cell r="AG1019">
            <v>45839</v>
          </cell>
          <cell r="AH1019" t="str">
            <v/>
          </cell>
          <cell r="AI1019" t="str">
            <v/>
          </cell>
        </row>
        <row r="1020">
          <cell r="C1020">
            <v>1985</v>
          </cell>
          <cell r="D1020" t="str">
            <v/>
          </cell>
          <cell r="E1020" t="str">
            <v/>
          </cell>
          <cell r="F1020" t="str">
            <v>Service</v>
          </cell>
          <cell r="G1020" t="str">
            <v>Service Collected</v>
          </cell>
          <cell r="H1020" t="str">
            <v>No</v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>https://panda-windows-and-doors.monday.com/protected_static/21046287/resources/2222320376/Service Form.pdf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>
            <v>595</v>
          </cell>
          <cell r="W1020" t="str">
            <v>Jayme Truong Jul 1, 2025 9:58 AM</v>
          </cell>
          <cell r="X1020" t="str">
            <v/>
          </cell>
          <cell r="Y1020">
            <v>45831</v>
          </cell>
          <cell r="Z1020" t="str">
            <v/>
          </cell>
          <cell r="AA1020">
            <v>45831</v>
          </cell>
          <cell r="AB1020" t="str">
            <v>Jayme Truong Jun 23, 2025 9:44 AM</v>
          </cell>
          <cell r="AC1020" t="str">
            <v/>
          </cell>
          <cell r="AD1020" t="str">
            <v/>
          </cell>
          <cell r="AE1020" t="str">
            <v/>
          </cell>
          <cell r="AF1020" t="str">
            <v/>
          </cell>
          <cell r="AG1020">
            <v>45839</v>
          </cell>
          <cell r="AH1020" t="str">
            <v/>
          </cell>
          <cell r="AI1020" t="str">
            <v/>
          </cell>
        </row>
        <row r="1021">
          <cell r="C1021" t="str">
            <v>Whittier Glass &amp; Mirror</v>
          </cell>
          <cell r="D1021" t="str">
            <v/>
          </cell>
          <cell r="E1021" t="str">
            <v/>
          </cell>
          <cell r="F1021" t="str">
            <v>Service</v>
          </cell>
          <cell r="G1021" t="str">
            <v>Service Collected</v>
          </cell>
          <cell r="H1021" t="str">
            <v>No</v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>https://panda-windows-and-doors.monday.com/protected_static/21046287/resources/2179417705/Estimate 9715.pdf</v>
          </cell>
          <cell r="O1021" t="str">
            <v/>
          </cell>
          <cell r="P1021" t="str">
            <v/>
          </cell>
          <cell r="Q1021" t="str">
            <v>https://panda-windows-and-doors.monday.com/protected_static/21046287/resources/2179112003/Service Form (58).pdf</v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>
            <v>541.72</v>
          </cell>
          <cell r="W1021" t="str">
            <v>Jayme Truong Jul 1, 2025 10:27 AM</v>
          </cell>
          <cell r="X1021" t="str">
            <v/>
          </cell>
          <cell r="Y1021">
            <v>45810</v>
          </cell>
          <cell r="Z1021" t="str">
            <v/>
          </cell>
          <cell r="AA1021">
            <v>45810</v>
          </cell>
          <cell r="AB1021" t="str">
            <v>Jayme Truong Jun 2, 2025 11:51 AM</v>
          </cell>
          <cell r="AC1021" t="str">
            <v/>
          </cell>
          <cell r="AD1021" t="str">
            <v/>
          </cell>
          <cell r="AE1021" t="str">
            <v/>
          </cell>
          <cell r="AF1021" t="str">
            <v/>
          </cell>
          <cell r="AG1021">
            <v>45839</v>
          </cell>
          <cell r="AH1021" t="str">
            <v/>
          </cell>
          <cell r="AI1021" t="str">
            <v/>
          </cell>
        </row>
        <row r="1022">
          <cell r="C1022">
            <v>80074.2</v>
          </cell>
          <cell r="D1022" t="str">
            <v/>
          </cell>
          <cell r="E1022" t="str">
            <v/>
          </cell>
          <cell r="F1022" t="str">
            <v>Service</v>
          </cell>
          <cell r="G1022" t="str">
            <v>Service Collected</v>
          </cell>
          <cell r="H1022" t="str">
            <v>No</v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>https://panda-windows-and-doors.monday.com/protected_static/21046287/resources/2259656618/Service Form.pdf</v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>
            <v>800</v>
          </cell>
          <cell r="W1022" t="str">
            <v>Jayme Truong Jul 2, 2025 11:35 AM</v>
          </cell>
          <cell r="X1022" t="str">
            <v/>
          </cell>
          <cell r="Y1022">
            <v>45838</v>
          </cell>
          <cell r="Z1022" t="str">
            <v/>
          </cell>
          <cell r="AA1022">
            <v>45838</v>
          </cell>
          <cell r="AB1022" t="str">
            <v>Jayme Truong Jun 30, 2025 2:13 PM</v>
          </cell>
          <cell r="AC1022" t="str">
            <v/>
          </cell>
          <cell r="AD1022" t="str">
            <v/>
          </cell>
          <cell r="AE1022" t="str">
            <v/>
          </cell>
          <cell r="AF1022" t="str">
            <v/>
          </cell>
          <cell r="AG1022">
            <v>45840</v>
          </cell>
          <cell r="AH1022" t="str">
            <v/>
          </cell>
          <cell r="AI1022" t="str">
            <v/>
          </cell>
        </row>
        <row r="1023">
          <cell r="C1023">
            <v>130</v>
          </cell>
          <cell r="D1023" t="str">
            <v/>
          </cell>
          <cell r="E1023" t="str">
            <v/>
          </cell>
          <cell r="F1023" t="str">
            <v>Service</v>
          </cell>
          <cell r="G1023" t="str">
            <v>Service Collected</v>
          </cell>
          <cell r="H1023" t="str">
            <v>No</v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>https://panda-windows-and-doors.monday.com/protected_static/21046287/resources/2200044772/Service Form.pdf</v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>
            <v>143</v>
          </cell>
          <cell r="W1023" t="str">
            <v>Jayme Truong Jul 2, 2025 4:36 PM</v>
          </cell>
          <cell r="X1023" t="str">
            <v/>
          </cell>
          <cell r="Y1023">
            <v>45819</v>
          </cell>
          <cell r="Z1023" t="str">
            <v/>
          </cell>
          <cell r="AA1023">
            <v>45819</v>
          </cell>
          <cell r="AB1023" t="str">
            <v>Jayme Truong Jun 11, 2025 2:45 PM</v>
          </cell>
          <cell r="AC1023" t="str">
            <v/>
          </cell>
          <cell r="AD1023" t="str">
            <v/>
          </cell>
          <cell r="AE1023" t="str">
            <v/>
          </cell>
          <cell r="AF1023" t="str">
            <v/>
          </cell>
          <cell r="AG1023">
            <v>45840</v>
          </cell>
          <cell r="AH1023" t="str">
            <v/>
          </cell>
          <cell r="AI1023" t="str">
            <v/>
          </cell>
        </row>
        <row r="1024">
          <cell r="C1024">
            <v>20746</v>
          </cell>
          <cell r="D1024" t="str">
            <v/>
          </cell>
          <cell r="E1024" t="str">
            <v/>
          </cell>
          <cell r="F1024" t="str">
            <v>Service</v>
          </cell>
          <cell r="G1024" t="str">
            <v>Service Collected</v>
          </cell>
          <cell r="H1024" t="str">
            <v>No</v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>https://panda-windows-and-doors.monday.com/protected_static/21046287/resources/2259274270/9808 Caribbean Impact.pdf</v>
          </cell>
          <cell r="O1024" t="str">
            <v/>
          </cell>
          <cell r="P1024" t="str">
            <v/>
          </cell>
          <cell r="Q1024" t="str">
            <v>https://panda-windows-and-doors.monday.com/protected_static/21046287/resources/2259162003/Service Form (74).pdf</v>
          </cell>
          <cell r="R1024" t="str">
            <v/>
          </cell>
          <cell r="S1024" t="str">
            <v/>
          </cell>
          <cell r="T1024" t="str">
            <v/>
          </cell>
          <cell r="U1024">
            <v>0</v>
          </cell>
          <cell r="V1024">
            <v>3971</v>
          </cell>
          <cell r="W1024" t="str">
            <v>Jayme Truong Jul 3, 2025 2:15 PM</v>
          </cell>
          <cell r="X1024" t="str">
            <v/>
          </cell>
          <cell r="Y1024">
            <v>45838</v>
          </cell>
          <cell r="Z1024" t="str">
            <v/>
          </cell>
          <cell r="AA1024">
            <v>45838</v>
          </cell>
          <cell r="AB1024" t="str">
            <v>Jayme Truong Jun 30, 2025 11:28 AM</v>
          </cell>
          <cell r="AC1024" t="str">
            <v/>
          </cell>
          <cell r="AD1024" t="str">
            <v/>
          </cell>
          <cell r="AE1024" t="str">
            <v/>
          </cell>
          <cell r="AF1024" t="str">
            <v/>
          </cell>
          <cell r="AG1024">
            <v>45841</v>
          </cell>
          <cell r="AH1024" t="str">
            <v/>
          </cell>
          <cell r="AI1024" t="str">
            <v/>
          </cell>
        </row>
        <row r="1025">
          <cell r="C1025" t="str">
            <v>Kelly Lobas</v>
          </cell>
          <cell r="D1025" t="str">
            <v/>
          </cell>
          <cell r="E1025" t="str">
            <v/>
          </cell>
          <cell r="F1025" t="str">
            <v>Service</v>
          </cell>
          <cell r="G1025" t="str">
            <v>Service Collected</v>
          </cell>
          <cell r="H1025" t="str">
            <v>No</v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>https://panda-windows-and-doors.monday.com/protected_static/21046287/resources/2229223474/Service Form (49).pdf</v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>
            <v>572</v>
          </cell>
          <cell r="W1025" t="str">
            <v>Jayme Truong Jul 7, 2025 10:29 AM</v>
          </cell>
          <cell r="X1025" t="str">
            <v/>
          </cell>
          <cell r="Y1025">
            <v>45833</v>
          </cell>
          <cell r="Z1025" t="str">
            <v/>
          </cell>
          <cell r="AA1025">
            <v>45833</v>
          </cell>
          <cell r="AB1025" t="str">
            <v>Jayme Truong Jun 25, 2025 2:52 PM</v>
          </cell>
          <cell r="AC1025" t="str">
            <v/>
          </cell>
          <cell r="AD1025" t="str">
            <v/>
          </cell>
          <cell r="AE1025" t="str">
            <v/>
          </cell>
          <cell r="AF1025" t="str">
            <v/>
          </cell>
          <cell r="AG1025">
            <v>45845</v>
          </cell>
          <cell r="AH1025" t="str">
            <v/>
          </cell>
          <cell r="AI1025" t="str">
            <v/>
          </cell>
        </row>
        <row r="1026">
          <cell r="C1026">
            <v>67714</v>
          </cell>
          <cell r="D1026" t="str">
            <v/>
          </cell>
          <cell r="E1026" t="str">
            <v/>
          </cell>
          <cell r="F1026" t="str">
            <v>Service</v>
          </cell>
          <cell r="G1026" t="str">
            <v>Service Collected</v>
          </cell>
          <cell r="H1026" t="str">
            <v>No</v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>https://panda-windows-and-doors.monday.com/protected_static/21046287/resources/2202822558/Service Form.pdf</v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>
            <v>1683.74</v>
          </cell>
          <cell r="W1026" t="str">
            <v>Jayme Truong Jul 7, 2025 10:39 AM</v>
          </cell>
          <cell r="X1026" t="str">
            <v/>
          </cell>
          <cell r="Y1026">
            <v>45820</v>
          </cell>
          <cell r="Z1026" t="str">
            <v/>
          </cell>
          <cell r="AA1026">
            <v>45820</v>
          </cell>
          <cell r="AB1026" t="str">
            <v>Jayme Truong Jun 12, 2025 2:16 PM</v>
          </cell>
          <cell r="AC1026" t="str">
            <v/>
          </cell>
          <cell r="AD1026" t="str">
            <v/>
          </cell>
          <cell r="AE1026" t="str">
            <v/>
          </cell>
          <cell r="AF1026" t="str">
            <v/>
          </cell>
          <cell r="AG1026">
            <v>45845</v>
          </cell>
          <cell r="AH1026" t="str">
            <v/>
          </cell>
          <cell r="AI1026" t="str">
            <v/>
          </cell>
        </row>
        <row r="1027">
          <cell r="C1027">
            <v>65151</v>
          </cell>
          <cell r="D1027" t="str">
            <v/>
          </cell>
          <cell r="E1027" t="str">
            <v/>
          </cell>
          <cell r="F1027" t="str">
            <v>Service</v>
          </cell>
          <cell r="G1027" t="str">
            <v>Service Collected</v>
          </cell>
          <cell r="H1027" t="str">
            <v>No</v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>https://panda-windows-and-doors.monday.com/protected_static/21046287/resources/2275421079/9833 La Mesa Glass.pdf</v>
          </cell>
          <cell r="O1027" t="str">
            <v/>
          </cell>
          <cell r="P1027" t="str">
            <v/>
          </cell>
          <cell r="Q1027" t="str">
            <v>https://panda-windows-and-doors.monday.com/protected_static/21046287/resources/2274824441/Service Form (54).pdf</v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>
            <v>692</v>
          </cell>
          <cell r="W1027" t="str">
            <v>Jayme Truong Jul 10, 2025 11:34 AM</v>
          </cell>
          <cell r="X1027" t="str">
            <v/>
          </cell>
          <cell r="Y1027">
            <v>45846</v>
          </cell>
          <cell r="Z1027" t="str">
            <v/>
          </cell>
          <cell r="AA1027">
            <v>45846</v>
          </cell>
          <cell r="AB1027" t="str">
            <v>Jayme Truong Jul 8, 2025 8:07 AM</v>
          </cell>
          <cell r="AC1027" t="str">
            <v/>
          </cell>
          <cell r="AD1027">
            <v>45848</v>
          </cell>
          <cell r="AE1027" t="str">
            <v/>
          </cell>
          <cell r="AF1027" t="str">
            <v/>
          </cell>
          <cell r="AG1027">
            <v>45848</v>
          </cell>
          <cell r="AH1027" t="str">
            <v/>
          </cell>
          <cell r="AI1027" t="str">
            <v/>
          </cell>
        </row>
        <row r="1028">
          <cell r="C1028">
            <v>21111</v>
          </cell>
          <cell r="D1028" t="str">
            <v/>
          </cell>
          <cell r="E1028" t="str">
            <v/>
          </cell>
          <cell r="F1028" t="str">
            <v>Service</v>
          </cell>
          <cell r="G1028" t="str">
            <v>Service Collected</v>
          </cell>
          <cell r="H1028" t="str">
            <v>No</v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>https://panda-windows-and-doors.monday.com/protected_static/21046287/resources/2278661434/9843 Tony Bogey.pdf</v>
          </cell>
          <cell r="O1028" t="str">
            <v/>
          </cell>
          <cell r="P1028" t="str">
            <v/>
          </cell>
          <cell r="Q1028" t="str">
            <v>https://panda-windows-and-doors.monday.com/protected_static/21046287/resources/2278620463/Service Form (80).pdf</v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>Jayme Truong Jul 11, 2025 11:55 AM</v>
          </cell>
          <cell r="X1028" t="str">
            <v/>
          </cell>
          <cell r="Y1028">
            <v>45847</v>
          </cell>
          <cell r="Z1028" t="str">
            <v/>
          </cell>
          <cell r="AA1028">
            <v>45847</v>
          </cell>
          <cell r="AB1028" t="str">
            <v>Jayme Truong Jul 9, 2025 2:33 PM</v>
          </cell>
          <cell r="AC1028" t="str">
            <v/>
          </cell>
          <cell r="AD1028">
            <v>45849</v>
          </cell>
          <cell r="AE1028" t="str">
            <v/>
          </cell>
          <cell r="AF1028" t="str">
            <v/>
          </cell>
          <cell r="AG1028">
            <v>45849</v>
          </cell>
          <cell r="AH1028" t="str">
            <v/>
          </cell>
          <cell r="AI1028" t="str">
            <v/>
          </cell>
        </row>
        <row r="1029">
          <cell r="C1029">
            <v>70060</v>
          </cell>
          <cell r="D1029" t="str">
            <v/>
          </cell>
          <cell r="E1029" t="str">
            <v/>
          </cell>
          <cell r="F1029" t="str">
            <v>Service</v>
          </cell>
          <cell r="G1029" t="str">
            <v>Service Collected</v>
          </cell>
          <cell r="H1029" t="str">
            <v>No</v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>https://panda-windows-and-doors.monday.com/protected_static/21046287/resources/2277838932/Service Form (78).pdf</v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>
            <v>127.55</v>
          </cell>
          <cell r="W1029" t="str">
            <v>Jayme Truong Jul 14, 2025 2:03 PM</v>
          </cell>
          <cell r="X1029" t="str">
            <v/>
          </cell>
          <cell r="Y1029">
            <v>45847</v>
          </cell>
          <cell r="Z1029" t="str">
            <v/>
          </cell>
          <cell r="AA1029">
            <v>45847</v>
          </cell>
          <cell r="AB1029" t="str">
            <v>Jayme Truong Jul 9, 2025 9:48 AM</v>
          </cell>
          <cell r="AC1029" t="str">
            <v/>
          </cell>
          <cell r="AD1029" t="str">
            <v/>
          </cell>
          <cell r="AE1029" t="str">
            <v/>
          </cell>
          <cell r="AF1029" t="str">
            <v/>
          </cell>
          <cell r="AG1029">
            <v>45852</v>
          </cell>
          <cell r="AH1029" t="str">
            <v/>
          </cell>
          <cell r="AI1029" t="str">
            <v/>
          </cell>
        </row>
        <row r="1030">
          <cell r="C1030" t="str">
            <v>Pacific Rim - S</v>
          </cell>
          <cell r="D1030" t="str">
            <v/>
          </cell>
          <cell r="E1030" t="str">
            <v/>
          </cell>
          <cell r="F1030" t="str">
            <v>Service</v>
          </cell>
          <cell r="G1030" t="str">
            <v>Service Collected</v>
          </cell>
          <cell r="H1030" t="str">
            <v>No</v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>https://panda-windows-and-doors.monday.com/protected_static/21046287/resources/2281620281/Service Form (82).pdf</v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>
            <v>239</v>
          </cell>
          <cell r="W1030" t="str">
            <v>Jayme Truong Jul 14, 2025 2:08 PM</v>
          </cell>
          <cell r="X1030" t="str">
            <v/>
          </cell>
          <cell r="Y1030">
            <v>45848</v>
          </cell>
          <cell r="Z1030" t="str">
            <v/>
          </cell>
          <cell r="AA1030">
            <v>45849</v>
          </cell>
          <cell r="AB1030" t="str">
            <v>Jayme Truong Jul 10, 2025 3:58 PM</v>
          </cell>
          <cell r="AC1030" t="str">
            <v/>
          </cell>
          <cell r="AD1030" t="str">
            <v/>
          </cell>
          <cell r="AE1030" t="str">
            <v/>
          </cell>
          <cell r="AF1030" t="str">
            <v/>
          </cell>
          <cell r="AG1030">
            <v>45852</v>
          </cell>
          <cell r="AH1030" t="str">
            <v/>
          </cell>
          <cell r="AI1030" t="str">
            <v/>
          </cell>
        </row>
        <row r="1031">
          <cell r="C1031" t="str">
            <v>66974-S</v>
          </cell>
          <cell r="D1031" t="str">
            <v/>
          </cell>
          <cell r="E1031" t="str">
            <v/>
          </cell>
          <cell r="F1031" t="str">
            <v>Service</v>
          </cell>
          <cell r="G1031" t="str">
            <v>Service Collected</v>
          </cell>
          <cell r="H1031" t="str">
            <v>No</v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>https://panda-windows-and-doors.monday.com/protected_static/21046287/resources/2263444141/Service Form (51).pdf</v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>
            <v>3312</v>
          </cell>
          <cell r="W1031" t="str">
            <v>Jayme Truong Jul 15, 2025 3:04 PM</v>
          </cell>
          <cell r="X1031" t="str">
            <v/>
          </cell>
          <cell r="Y1031">
            <v>45839</v>
          </cell>
          <cell r="Z1031" t="str">
            <v/>
          </cell>
          <cell r="AA1031">
            <v>45839</v>
          </cell>
          <cell r="AB1031" t="str">
            <v>Jayme Truong Jul 1, 2025 3:57 PM</v>
          </cell>
          <cell r="AC1031" t="str">
            <v/>
          </cell>
          <cell r="AD1031" t="str">
            <v/>
          </cell>
          <cell r="AE1031" t="str">
            <v/>
          </cell>
          <cell r="AF1031" t="str">
            <v/>
          </cell>
          <cell r="AG1031">
            <v>45853</v>
          </cell>
          <cell r="AH1031" t="str">
            <v/>
          </cell>
          <cell r="AI1031" t="str">
            <v/>
          </cell>
        </row>
        <row r="1032">
          <cell r="C1032">
            <v>58603</v>
          </cell>
          <cell r="D1032" t="str">
            <v/>
          </cell>
          <cell r="E1032" t="str">
            <v/>
          </cell>
          <cell r="F1032" t="str">
            <v>Service</v>
          </cell>
          <cell r="G1032" t="str">
            <v>Service Collected</v>
          </cell>
          <cell r="H1032" t="str">
            <v>No</v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>No</v>
          </cell>
          <cell r="N1032" t="str">
            <v>https://panda-windows-and-doors.monday.com/protected_static/21046287/resources/2275496247/9834 Primary Glazing.pdf</v>
          </cell>
          <cell r="O1032" t="str">
            <v/>
          </cell>
          <cell r="P1032" t="str">
            <v/>
          </cell>
          <cell r="Q1032" t="str">
            <v>https://panda-windows-and-doors.monday.com/protected_static/21046287/resources/2275367659/Service Form (76).pdf</v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>
            <v>713</v>
          </cell>
          <cell r="W1032" t="str">
            <v>Jayme Truong Jul 16, 2025 11:55 AM</v>
          </cell>
          <cell r="X1032" t="str">
            <v/>
          </cell>
          <cell r="Y1032">
            <v>45846</v>
          </cell>
          <cell r="Z1032" t="str">
            <v/>
          </cell>
          <cell r="AA1032">
            <v>45846</v>
          </cell>
          <cell r="AB1032" t="str">
            <v>Jayme Truong Jul 8, 2025 10:43 AM</v>
          </cell>
          <cell r="AC1032" t="str">
            <v/>
          </cell>
          <cell r="AD1032" t="str">
            <v/>
          </cell>
          <cell r="AE1032" t="str">
            <v/>
          </cell>
          <cell r="AF1032" t="str">
            <v/>
          </cell>
          <cell r="AG1032">
            <v>45854</v>
          </cell>
          <cell r="AH1032" t="str">
            <v/>
          </cell>
          <cell r="AI1032" t="str">
            <v/>
          </cell>
        </row>
        <row r="1033">
          <cell r="C1033">
            <v>67434</v>
          </cell>
          <cell r="D1033" t="str">
            <v/>
          </cell>
          <cell r="E1033" t="str">
            <v/>
          </cell>
          <cell r="F1033" t="str">
            <v>Service</v>
          </cell>
          <cell r="G1033" t="str">
            <v>Service Collected</v>
          </cell>
          <cell r="H1033" t="str">
            <v>No</v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>https://panda-windows-and-doors.monday.com/protected_static/21046287/resources/2218570287/9782 Syrus Construction.pdf</v>
          </cell>
          <cell r="O1033" t="str">
            <v/>
          </cell>
          <cell r="P1033" t="str">
            <v/>
          </cell>
          <cell r="Q1033" t="str">
            <v>https://panda-windows-and-doors.monday.com/protected_static/21046287/resources/2217143987/Service Form (48).pdf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>
            <v>185</v>
          </cell>
          <cell r="W1033" t="str">
            <v>Jayme Truong Jul 18, 2025 11:33 AM</v>
          </cell>
          <cell r="X1033" t="str">
            <v/>
          </cell>
          <cell r="Y1033">
            <v>45827</v>
          </cell>
          <cell r="Z1033" t="str">
            <v/>
          </cell>
          <cell r="AA1033">
            <v>45827</v>
          </cell>
          <cell r="AB1033" t="str">
            <v>Jayme Truong Jun 19, 2025 3:18 PM</v>
          </cell>
          <cell r="AC1033" t="str">
            <v/>
          </cell>
          <cell r="AD1033" t="str">
            <v/>
          </cell>
          <cell r="AE1033" t="str">
            <v/>
          </cell>
          <cell r="AF1033" t="str">
            <v/>
          </cell>
          <cell r="AG1033">
            <v>45856</v>
          </cell>
          <cell r="AH1033" t="str">
            <v/>
          </cell>
          <cell r="AI1033" t="str">
            <v/>
          </cell>
        </row>
        <row r="1034">
          <cell r="C1034">
            <v>71105.100000000006</v>
          </cell>
          <cell r="D1034" t="str">
            <v/>
          </cell>
          <cell r="E1034" t="str">
            <v/>
          </cell>
          <cell r="F1034" t="str">
            <v>Service</v>
          </cell>
          <cell r="G1034" t="str">
            <v>Service Collected</v>
          </cell>
          <cell r="H1034" t="str">
            <v>No</v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>https://panda-windows-and-doors.monday.com/protected_static/21046287/resources/2195837172/Service Form (47).pdf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>
            <v>380</v>
          </cell>
          <cell r="W1034" t="str">
            <v>Jayme Truong Jul 21, 2025 2:47 PM</v>
          </cell>
          <cell r="X1034" t="str">
            <v/>
          </cell>
          <cell r="Y1034">
            <v>45818</v>
          </cell>
          <cell r="Z1034" t="str">
            <v/>
          </cell>
          <cell r="AA1034">
            <v>45818</v>
          </cell>
          <cell r="AB1034" t="str">
            <v>Jayme Truong Jun 10, 2025 8:28 AM</v>
          </cell>
          <cell r="AC1034" t="str">
            <v/>
          </cell>
          <cell r="AD1034" t="str">
            <v/>
          </cell>
          <cell r="AE1034" t="str">
            <v/>
          </cell>
          <cell r="AF1034" t="str">
            <v/>
          </cell>
          <cell r="AG1034">
            <v>45859</v>
          </cell>
          <cell r="AH1034" t="str">
            <v/>
          </cell>
          <cell r="AI1034" t="str">
            <v/>
          </cell>
        </row>
        <row r="1035">
          <cell r="C1035">
            <v>21111.200000000001</v>
          </cell>
          <cell r="D1035" t="str">
            <v/>
          </cell>
          <cell r="E1035" t="str">
            <v/>
          </cell>
          <cell r="F1035" t="str">
            <v>Service</v>
          </cell>
          <cell r="G1035" t="str">
            <v>Service Collected</v>
          </cell>
          <cell r="H1035" t="str">
            <v>No</v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>https://panda-windows-and-doors.monday.com/protected_static/21046287/resources/2297892444/Service Form.pdf</v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>
            <v>600</v>
          </cell>
          <cell r="W1035" t="str">
            <v>Jayme Truong Jul 21, 2025 4:50 PM</v>
          </cell>
          <cell r="X1035" t="str">
            <v/>
          </cell>
          <cell r="Y1035">
            <v>45856</v>
          </cell>
          <cell r="Z1035" t="str">
            <v/>
          </cell>
          <cell r="AA1035">
            <v>45856</v>
          </cell>
          <cell r="AB1035" t="str">
            <v>Jayme Truong Jul 18, 2025 12:13 PM</v>
          </cell>
          <cell r="AC1035" t="str">
            <v/>
          </cell>
          <cell r="AD1035" t="str">
            <v/>
          </cell>
          <cell r="AE1035" t="str">
            <v/>
          </cell>
          <cell r="AF1035" t="str">
            <v/>
          </cell>
          <cell r="AG1035">
            <v>45859</v>
          </cell>
          <cell r="AH1035" t="str">
            <v/>
          </cell>
          <cell r="AI1035" t="str">
            <v/>
          </cell>
        </row>
        <row r="1036">
          <cell r="C1036" t="str">
            <v>Pioneer Material</v>
          </cell>
          <cell r="D1036" t="str">
            <v/>
          </cell>
          <cell r="E1036" t="str">
            <v/>
          </cell>
          <cell r="F1036" t="str">
            <v>Service</v>
          </cell>
          <cell r="G1036" t="str">
            <v>Service Collected</v>
          </cell>
          <cell r="H1036" t="str">
            <v>No</v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>https://panda-windows-and-doors.monday.com/protected_static/21046287/resources/2295393045/Service Form (87).pdf</v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>
            <v>143</v>
          </cell>
          <cell r="W1036" t="str">
            <v>Jayme Truong Jul 24, 2025 12:52 PM</v>
          </cell>
          <cell r="X1036" t="str">
            <v/>
          </cell>
          <cell r="Y1036">
            <v>45855</v>
          </cell>
          <cell r="Z1036" t="str">
            <v/>
          </cell>
          <cell r="AA1036">
            <v>45855</v>
          </cell>
          <cell r="AB1036" t="str">
            <v>Jayme Truong Jul 17, 2025 1:19 PM</v>
          </cell>
          <cell r="AC1036" t="str">
            <v/>
          </cell>
          <cell r="AD1036" t="str">
            <v/>
          </cell>
          <cell r="AE1036" t="str">
            <v/>
          </cell>
          <cell r="AF1036" t="str">
            <v/>
          </cell>
          <cell r="AG1036">
            <v>45862</v>
          </cell>
          <cell r="AH1036" t="str">
            <v/>
          </cell>
          <cell r="AI1036" t="str">
            <v/>
          </cell>
        </row>
        <row r="1037">
          <cell r="C1037">
            <v>75284</v>
          </cell>
          <cell r="D1037" t="str">
            <v/>
          </cell>
          <cell r="E1037" t="str">
            <v/>
          </cell>
          <cell r="F1037" t="str">
            <v>Service</v>
          </cell>
          <cell r="G1037" t="str">
            <v>Service Collected</v>
          </cell>
          <cell r="H1037" t="str">
            <v>No</v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>https://panda-windows-and-doors.monday.com/protected_static/21046287/resources/2295662234/Service Form.pdf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>
            <v>260</v>
          </cell>
          <cell r="W1037" t="str">
            <v>Jayme Truong Jul 25, 2025 2:30 PM</v>
          </cell>
          <cell r="X1037" t="str">
            <v/>
          </cell>
          <cell r="Y1037">
            <v>45855</v>
          </cell>
          <cell r="Z1037" t="str">
            <v/>
          </cell>
          <cell r="AA1037">
            <v>45855</v>
          </cell>
          <cell r="AB1037" t="str">
            <v>Jayme Truong Jul 17, 2025 2:48 PM</v>
          </cell>
          <cell r="AC1037" t="str">
            <v/>
          </cell>
          <cell r="AD1037" t="str">
            <v/>
          </cell>
          <cell r="AE1037" t="str">
            <v/>
          </cell>
          <cell r="AF1037" t="str">
            <v/>
          </cell>
          <cell r="AG1037">
            <v>45863</v>
          </cell>
          <cell r="AH1037" t="str">
            <v/>
          </cell>
          <cell r="AI1037" t="str">
            <v/>
          </cell>
        </row>
        <row r="1038">
          <cell r="C1038">
            <v>70247</v>
          </cell>
          <cell r="D1038" t="str">
            <v/>
          </cell>
          <cell r="E1038" t="str">
            <v/>
          </cell>
          <cell r="F1038" t="str">
            <v>Service</v>
          </cell>
          <cell r="G1038" t="str">
            <v>Service Collected</v>
          </cell>
          <cell r="H1038" t="str">
            <v>No</v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>https://panda-windows-and-doors.monday.com/protected_static/21046287/resources/2278752451/Service Form.pdf</v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>
            <v>3712.06</v>
          </cell>
          <cell r="W1038" t="str">
            <v>Jayme Truong Jul 25, 2025 2:46 PM</v>
          </cell>
          <cell r="X1038" t="str">
            <v/>
          </cell>
          <cell r="Y1038">
            <v>45847</v>
          </cell>
          <cell r="Z1038" t="str">
            <v/>
          </cell>
          <cell r="AA1038">
            <v>45847</v>
          </cell>
          <cell r="AB1038" t="str">
            <v>Jayme Truong Jul 9, 2025 3:22 PM</v>
          </cell>
          <cell r="AC1038" t="str">
            <v/>
          </cell>
          <cell r="AD1038" t="str">
            <v/>
          </cell>
          <cell r="AE1038" t="str">
            <v/>
          </cell>
          <cell r="AF1038" t="str">
            <v/>
          </cell>
          <cell r="AG1038">
            <v>45863</v>
          </cell>
          <cell r="AH1038" t="str">
            <v/>
          </cell>
          <cell r="AI1038" t="str">
            <v/>
          </cell>
        </row>
        <row r="1039">
          <cell r="C1039" t="str">
            <v>Rosies NY-S</v>
          </cell>
          <cell r="D1039" t="str">
            <v/>
          </cell>
          <cell r="E1039" t="str">
            <v/>
          </cell>
          <cell r="F1039" t="str">
            <v>Service</v>
          </cell>
          <cell r="G1039" t="str">
            <v>Service Collected</v>
          </cell>
          <cell r="H1039" t="str">
            <v>No</v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>https://panda-windows-and-doors.monday.com/protected_static/21046287/resources/2295344932/Service Form (56).pdf</v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>
            <v>1209.72</v>
          </cell>
          <cell r="W1039" t="str">
            <v>Jayme Truong Jul 28, 2025 11:41 AM</v>
          </cell>
          <cell r="X1039" t="str">
            <v/>
          </cell>
          <cell r="Y1039">
            <v>45855</v>
          </cell>
          <cell r="Z1039" t="str">
            <v/>
          </cell>
          <cell r="AA1039">
            <v>45859</v>
          </cell>
          <cell r="AB1039" t="str">
            <v>Jayme Truong Jul 17, 2025 1:08 PM</v>
          </cell>
          <cell r="AC1039" t="str">
            <v/>
          </cell>
          <cell r="AD1039" t="str">
            <v/>
          </cell>
          <cell r="AE1039" t="str">
            <v/>
          </cell>
          <cell r="AF1039" t="str">
            <v/>
          </cell>
          <cell r="AG1039">
            <v>45866</v>
          </cell>
          <cell r="AH1039" t="str">
            <v/>
          </cell>
          <cell r="AI1039" t="str">
            <v/>
          </cell>
        </row>
        <row r="1040">
          <cell r="C1040">
            <v>59470</v>
          </cell>
          <cell r="D1040" t="str">
            <v/>
          </cell>
          <cell r="E1040" t="str">
            <v/>
          </cell>
          <cell r="F1040" t="str">
            <v>Service</v>
          </cell>
          <cell r="G1040" t="str">
            <v>Service Collected</v>
          </cell>
          <cell r="H1040" t="str">
            <v>No</v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>https://panda-windows-and-doors.monday.com/protected_static/21046287/resources/2311951978/9897 Manko Window Systems.pdf</v>
          </cell>
          <cell r="O1040" t="str">
            <v/>
          </cell>
          <cell r="P1040" t="str">
            <v/>
          </cell>
          <cell r="Q1040" t="str">
            <v>https://panda-windows-and-doors.monday.com/protected_static/21046287/resources/2311417127/Service Form (91).pdf</v>
          </cell>
          <cell r="R1040" t="str">
            <v>https://panda-windows-and-doors.monday.com/protected_static/21046287/resources/2289329130/Manko Window Systems - Kansas Resale Exemption Certificate Effective 2-28-19 - KS.pdf</v>
          </cell>
          <cell r="S1040" t="str">
            <v/>
          </cell>
          <cell r="T1040" t="str">
            <v/>
          </cell>
          <cell r="U1040" t="str">
            <v/>
          </cell>
          <cell r="V1040">
            <v>257</v>
          </cell>
          <cell r="W1040" t="str">
            <v>Jayme Truong Jul 28, 2025 12:11 PM</v>
          </cell>
          <cell r="X1040" t="str">
            <v/>
          </cell>
          <cell r="Y1040">
            <v>45863</v>
          </cell>
          <cell r="Z1040" t="str">
            <v/>
          </cell>
          <cell r="AA1040">
            <v>45863</v>
          </cell>
          <cell r="AB1040" t="str">
            <v>Jayme Truong Jul 25, 2025 8:03 AM</v>
          </cell>
          <cell r="AC1040" t="str">
            <v/>
          </cell>
          <cell r="AD1040" t="str">
            <v/>
          </cell>
          <cell r="AE1040" t="str">
            <v/>
          </cell>
          <cell r="AF1040" t="str">
            <v/>
          </cell>
          <cell r="AG1040">
            <v>45866</v>
          </cell>
          <cell r="AH1040" t="str">
            <v/>
          </cell>
          <cell r="AI1040" t="str">
            <v/>
          </cell>
        </row>
        <row r="1041">
          <cell r="C1041" t="str">
            <v>Window Crafters-S</v>
          </cell>
          <cell r="D1041" t="str">
            <v/>
          </cell>
          <cell r="E1041" t="str">
            <v/>
          </cell>
          <cell r="F1041" t="str">
            <v>Service</v>
          </cell>
          <cell r="G1041" t="str">
            <v>Service Collected</v>
          </cell>
          <cell r="H1041" t="str">
            <v>No</v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>https://panda-windows-and-doors.monday.com/protected_static/21046287/resources/2280839558/Service Form (81).pdf</v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>
            <v>382</v>
          </cell>
          <cell r="W1041" t="str">
            <v>Jayme Truong Jul 28, 2025 12:23 PM</v>
          </cell>
          <cell r="X1041" t="str">
            <v/>
          </cell>
          <cell r="Y1041">
            <v>45848</v>
          </cell>
          <cell r="Z1041" t="str">
            <v/>
          </cell>
          <cell r="AA1041">
            <v>45848</v>
          </cell>
          <cell r="AB1041" t="str">
            <v>Jayme Truong Jul 10, 2025 11:32 AM</v>
          </cell>
          <cell r="AC1041" t="str">
            <v/>
          </cell>
          <cell r="AD1041" t="str">
            <v/>
          </cell>
          <cell r="AE1041" t="str">
            <v/>
          </cell>
          <cell r="AF1041" t="str">
            <v/>
          </cell>
          <cell r="AG1041">
            <v>45866</v>
          </cell>
          <cell r="AH1041" t="str">
            <v/>
          </cell>
          <cell r="AI1041" t="str">
            <v/>
          </cell>
        </row>
        <row r="1042">
          <cell r="C1042">
            <v>72014</v>
          </cell>
          <cell r="D1042" t="str">
            <v/>
          </cell>
          <cell r="E1042" t="str">
            <v/>
          </cell>
          <cell r="F1042" t="str">
            <v>Service</v>
          </cell>
          <cell r="G1042" t="str">
            <v>Service Collected</v>
          </cell>
          <cell r="H1042" t="str">
            <v>No</v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>https://panda-windows-and-doors.monday.com/protected_static/21046287/resources/2292430316/Service Form (85).pdf</v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>
            <v>559</v>
          </cell>
          <cell r="W1042" t="str">
            <v>Jayme Truong Jul 28, 2025 1:03 PM</v>
          </cell>
          <cell r="X1042" t="str">
            <v/>
          </cell>
          <cell r="Y1042">
            <v>45854</v>
          </cell>
          <cell r="Z1042" t="str">
            <v/>
          </cell>
          <cell r="AA1042">
            <v>45854</v>
          </cell>
          <cell r="AB1042" t="str">
            <v>Jayme Truong Jul 16, 2025 11:18 AM</v>
          </cell>
          <cell r="AC1042" t="str">
            <v/>
          </cell>
          <cell r="AD1042" t="str">
            <v/>
          </cell>
          <cell r="AE1042" t="str">
            <v/>
          </cell>
          <cell r="AF1042" t="str">
            <v/>
          </cell>
          <cell r="AG1042">
            <v>45866</v>
          </cell>
          <cell r="AH1042" t="str">
            <v/>
          </cell>
          <cell r="AI1042" t="str">
            <v/>
          </cell>
        </row>
        <row r="1043">
          <cell r="C1043">
            <v>54445</v>
          </cell>
          <cell r="D1043" t="str">
            <v/>
          </cell>
          <cell r="E1043" t="str">
            <v/>
          </cell>
          <cell r="F1043" t="str">
            <v>Service</v>
          </cell>
          <cell r="G1043" t="str">
            <v>Service Collected</v>
          </cell>
          <cell r="H1043" t="str">
            <v>No</v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>https://panda-windows-and-doors.monday.com/protected_static/21046287/resources/2287017619/Service Form (84).pdf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>Jayme Truong Jul 29, 2025 5:07 PM</v>
          </cell>
          <cell r="X1043" t="str">
            <v/>
          </cell>
          <cell r="Y1043">
            <v>45852</v>
          </cell>
          <cell r="Z1043" t="str">
            <v/>
          </cell>
          <cell r="AA1043">
            <v>45852</v>
          </cell>
          <cell r="AB1043" t="str">
            <v>Jayme Truong Jul 14, 2025 11:55 AM</v>
          </cell>
          <cell r="AC1043" t="str">
            <v/>
          </cell>
          <cell r="AD1043" t="str">
            <v/>
          </cell>
          <cell r="AE1043" t="str">
            <v/>
          </cell>
          <cell r="AF1043" t="str">
            <v/>
          </cell>
          <cell r="AG1043">
            <v>45867</v>
          </cell>
          <cell r="AH1043" t="str">
            <v/>
          </cell>
          <cell r="AI1043" t="str">
            <v/>
          </cell>
        </row>
        <row r="1044">
          <cell r="C1044" t="str">
            <v>74569-S</v>
          </cell>
          <cell r="D1044" t="str">
            <v/>
          </cell>
          <cell r="E1044" t="str">
            <v/>
          </cell>
          <cell r="F1044" t="str">
            <v>Service</v>
          </cell>
          <cell r="G1044" t="str">
            <v>Service Collected</v>
          </cell>
          <cell r="H1044" t="str">
            <v>No</v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>https://panda-windows-and-doors.monday.com/protected_static/21046287/resources/2290079469/Service Form (55).pdf</v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>
            <v>240</v>
          </cell>
          <cell r="W1044" t="str">
            <v>Jayme Truong Jul 30, 2025 11:21 AM</v>
          </cell>
          <cell r="X1044" t="str">
            <v/>
          </cell>
          <cell r="Y1044">
            <v>45853</v>
          </cell>
          <cell r="Z1044" t="str">
            <v/>
          </cell>
          <cell r="AA1044">
            <v>45853</v>
          </cell>
          <cell r="AB1044" t="str">
            <v>Jayme Truong Jul 15, 2025 1:09 PM</v>
          </cell>
          <cell r="AC1044" t="str">
            <v/>
          </cell>
          <cell r="AD1044" t="str">
            <v/>
          </cell>
          <cell r="AE1044" t="str">
            <v/>
          </cell>
          <cell r="AF1044" t="str">
            <v/>
          </cell>
          <cell r="AG1044">
            <v>45868</v>
          </cell>
          <cell r="AH1044" t="str">
            <v/>
          </cell>
          <cell r="AI1044" t="str">
            <v/>
          </cell>
        </row>
        <row r="1045">
          <cell r="C1045" t="str">
            <v>60679-S1.1</v>
          </cell>
          <cell r="D1045" t="str">
            <v/>
          </cell>
          <cell r="E1045" t="str">
            <v/>
          </cell>
          <cell r="F1045" t="str">
            <v>Service</v>
          </cell>
          <cell r="G1045" t="str">
            <v>Service Collected</v>
          </cell>
          <cell r="H1045" t="str">
            <v>No</v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>https://panda-windows-and-doors.monday.com/protected_static/21046287/resources/2312012133/9899 Polk Architectural SHipping.pdf</v>
          </cell>
          <cell r="O1045" t="str">
            <v/>
          </cell>
          <cell r="P1045" t="str">
            <v/>
          </cell>
          <cell r="Q1045" t="str">
            <v>https://panda-windows-and-doors.monday.com/protected_static/21046287/resources/2311655278/Service Form (92).pdf</v>
          </cell>
          <cell r="R1045" t="str">
            <v>https://panda-windows-and-doors.monday.com/protected_static/21046287/resources/2289664617/Polk Architectural - Sales &amp; Use Tax Permit  12-3-2019 - TX.pdf</v>
          </cell>
          <cell r="S1045" t="str">
            <v/>
          </cell>
          <cell r="T1045" t="str">
            <v/>
          </cell>
          <cell r="U1045" t="str">
            <v/>
          </cell>
          <cell r="V1045">
            <v>163</v>
          </cell>
          <cell r="W1045" t="str">
            <v>Jayme Truong Jul 30, 2025 11:35 AM</v>
          </cell>
          <cell r="X1045" t="str">
            <v/>
          </cell>
          <cell r="Y1045">
            <v>45863</v>
          </cell>
          <cell r="Z1045" t="str">
            <v/>
          </cell>
          <cell r="AA1045">
            <v>45863</v>
          </cell>
          <cell r="AB1045" t="str">
            <v>Jayme Truong Jul 25, 2025 9:29 AM</v>
          </cell>
          <cell r="AC1045" t="str">
            <v/>
          </cell>
          <cell r="AD1045" t="str">
            <v/>
          </cell>
          <cell r="AE1045" t="str">
            <v/>
          </cell>
          <cell r="AF1045" t="str">
            <v/>
          </cell>
          <cell r="AG1045">
            <v>45868</v>
          </cell>
          <cell r="AH1045" t="str">
            <v/>
          </cell>
          <cell r="AI1045" t="str">
            <v/>
          </cell>
        </row>
        <row r="1046">
          <cell r="C1046" t="str">
            <v>60679-S1</v>
          </cell>
          <cell r="D1046" t="str">
            <v/>
          </cell>
          <cell r="E1046" t="str">
            <v/>
          </cell>
          <cell r="F1046" t="str">
            <v>Service</v>
          </cell>
          <cell r="G1046" t="str">
            <v>Service Collected</v>
          </cell>
          <cell r="H1046" t="str">
            <v>No</v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>https://panda-windows-and-doors.monday.com/protected_static/21046287/resources/2306594830/Service Form (90).pdf</v>
          </cell>
          <cell r="R1046" t="str">
            <v>https://panda-windows-and-doors.monday.com/protected_static/21046287/resources/2289664617/Polk Architectural - Sales &amp; Use Tax Permit  12-3-2019 - TX.pdf</v>
          </cell>
          <cell r="S1046" t="str">
            <v/>
          </cell>
          <cell r="T1046" t="str">
            <v/>
          </cell>
          <cell r="U1046" t="str">
            <v/>
          </cell>
          <cell r="V1046">
            <v>364</v>
          </cell>
          <cell r="W1046" t="str">
            <v>Jayme Truong Jul 30, 2025 11:38 AM</v>
          </cell>
          <cell r="X1046" t="str">
            <v/>
          </cell>
          <cell r="Y1046">
            <v>45861</v>
          </cell>
          <cell r="Z1046" t="str">
            <v/>
          </cell>
          <cell r="AA1046">
            <v>45861</v>
          </cell>
          <cell r="AB1046" t="str">
            <v>Jayme Truong Jul 23, 2025 10:55 AM</v>
          </cell>
          <cell r="AC1046" t="str">
            <v/>
          </cell>
          <cell r="AD1046" t="str">
            <v/>
          </cell>
          <cell r="AE1046" t="str">
            <v/>
          </cell>
          <cell r="AF1046" t="str">
            <v/>
          </cell>
          <cell r="AG1046">
            <v>45868</v>
          </cell>
          <cell r="AH1046" t="str">
            <v/>
          </cell>
          <cell r="AI1046" t="str">
            <v/>
          </cell>
        </row>
        <row r="1047">
          <cell r="C1047" t="str">
            <v>69867-S</v>
          </cell>
          <cell r="D1047" t="str">
            <v/>
          </cell>
          <cell r="E1047" t="str">
            <v/>
          </cell>
          <cell r="F1047" t="str">
            <v>Service</v>
          </cell>
          <cell r="G1047" t="str">
            <v>Service Collected</v>
          </cell>
          <cell r="H1047" t="str">
            <v>No</v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>https://panda-windows-and-doors.monday.com/protected_static/21046287/resources/2312075655/Service Form (93).pdf</v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>
            <v>850</v>
          </cell>
          <cell r="W1047" t="str">
            <v>Jayme Truong Jul 30, 2025 2:51 PM</v>
          </cell>
          <cell r="X1047" t="str">
            <v/>
          </cell>
          <cell r="Y1047">
            <v>45863</v>
          </cell>
          <cell r="Z1047" t="str">
            <v/>
          </cell>
          <cell r="AA1047">
            <v>45863</v>
          </cell>
          <cell r="AB1047" t="str">
            <v>Jayme Truong Jul 25, 2025 12:13 PM</v>
          </cell>
          <cell r="AC1047" t="str">
            <v/>
          </cell>
          <cell r="AD1047" t="str">
            <v/>
          </cell>
          <cell r="AE1047" t="str">
            <v/>
          </cell>
          <cell r="AF1047" t="str">
            <v/>
          </cell>
          <cell r="AG1047">
            <v>45868</v>
          </cell>
          <cell r="AH1047" t="str">
            <v/>
          </cell>
          <cell r="AI1047" t="str">
            <v/>
          </cell>
        </row>
        <row r="1048">
          <cell r="C1048">
            <v>72788</v>
          </cell>
          <cell r="D1048" t="str">
            <v/>
          </cell>
          <cell r="E1048" t="str">
            <v/>
          </cell>
          <cell r="F1048" t="str">
            <v>Service</v>
          </cell>
          <cell r="G1048" t="str">
            <v>Service Collected</v>
          </cell>
          <cell r="H1048" t="str">
            <v>No</v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>https://panda-windows-and-doors.monday.com/protected_static/21046287/resources/2216578453/9779 Walters &amp; Wolf.pdf</v>
          </cell>
          <cell r="O1048" t="str">
            <v/>
          </cell>
          <cell r="P1048" t="str">
            <v/>
          </cell>
          <cell r="Q1048" t="str">
            <v>https://panda-windows-and-doors.monday.com/protected_static/21046287/resources/2210801683/Service Form (67).pdf</v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>
            <v>960</v>
          </cell>
          <cell r="W1048" t="str">
            <v>Jayme Truong Jul 31, 2025 12:19 PM</v>
          </cell>
          <cell r="X1048" t="str">
            <v/>
          </cell>
          <cell r="Y1048">
            <v>45825</v>
          </cell>
          <cell r="Z1048" t="str">
            <v/>
          </cell>
          <cell r="AA1048">
            <v>45825</v>
          </cell>
          <cell r="AB1048" t="str">
            <v>Jayme Truong Jun 17, 2025 10:11 AM</v>
          </cell>
          <cell r="AC1048" t="str">
            <v/>
          </cell>
          <cell r="AD1048" t="str">
            <v/>
          </cell>
          <cell r="AE1048" t="str">
            <v/>
          </cell>
          <cell r="AF1048" t="str">
            <v/>
          </cell>
          <cell r="AG1048">
            <v>45869</v>
          </cell>
          <cell r="AH1048" t="str">
            <v/>
          </cell>
          <cell r="AI1048" t="str">
            <v/>
          </cell>
        </row>
        <row r="1049">
          <cell r="C1049" t="str">
            <v>77705-S</v>
          </cell>
          <cell r="D1049" t="str">
            <v/>
          </cell>
          <cell r="E1049" t="str">
            <v/>
          </cell>
          <cell r="F1049" t="str">
            <v>Service</v>
          </cell>
          <cell r="G1049" t="str">
            <v>Service Collected</v>
          </cell>
          <cell r="H1049" t="str">
            <v>No</v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>https://panda-windows-and-doors.monday.com/protected_static/21046287/resources/2311964017/9898 Castle Rock Homes.pdf</v>
          </cell>
          <cell r="O1049" t="str">
            <v/>
          </cell>
          <cell r="P1049" t="str">
            <v/>
          </cell>
          <cell r="Q1049" t="str">
            <v>https://panda-windows-and-doors.monday.com/protected_static/21046287/resources/2311510651/Service Form (58).pdf</v>
          </cell>
          <cell r="R1049" t="str">
            <v>https://panda-windows-and-doors.monday.com/protected_static/21046287/resources/2287313892/Castle Rock Homes - Tax Exempt Certificate 2024 - AZ.pdf</v>
          </cell>
          <cell r="S1049" t="str">
            <v/>
          </cell>
          <cell r="T1049" t="str">
            <v/>
          </cell>
          <cell r="U1049" t="str">
            <v/>
          </cell>
          <cell r="V1049">
            <v>2000</v>
          </cell>
          <cell r="W1049" t="str">
            <v>Jayme Truong Jul 31, 2025 12:33 PM</v>
          </cell>
          <cell r="X1049" t="str">
            <v/>
          </cell>
          <cell r="Y1049">
            <v>45863</v>
          </cell>
          <cell r="Z1049" t="str">
            <v/>
          </cell>
          <cell r="AA1049">
            <v>45863</v>
          </cell>
          <cell r="AB1049" t="str">
            <v>Jayme Truong Jul 25, 2025 8:41 AM</v>
          </cell>
          <cell r="AC1049" t="str">
            <v/>
          </cell>
          <cell r="AD1049" t="str">
            <v/>
          </cell>
          <cell r="AE1049" t="str">
            <v/>
          </cell>
          <cell r="AF1049" t="str">
            <v/>
          </cell>
          <cell r="AG1049">
            <v>45869</v>
          </cell>
          <cell r="AH1049" t="str">
            <v/>
          </cell>
          <cell r="AI1049" t="str">
            <v/>
          </cell>
        </row>
        <row r="1050">
          <cell r="C1050">
            <v>1824</v>
          </cell>
          <cell r="D1050" t="str">
            <v/>
          </cell>
          <cell r="E1050" t="str">
            <v/>
          </cell>
          <cell r="F1050" t="str">
            <v>Service</v>
          </cell>
          <cell r="G1050" t="str">
            <v>Service Collected</v>
          </cell>
          <cell r="H1050" t="str">
            <v>No</v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>https://panda-windows-and-doors.monday.com/protected_static/21046287/resources/2321312564/9915 Terminal Hardware.pdf</v>
          </cell>
          <cell r="O1050" t="str">
            <v/>
          </cell>
          <cell r="P1050" t="str">
            <v/>
          </cell>
          <cell r="Q1050" t="str">
            <v>https://panda-windows-and-doors.monday.com/protected_static/21046287/resources/2317559405/Service Form.pdf</v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>Jayme Truong Aug 4, 2025 11:21 AM</v>
          </cell>
          <cell r="X1050" t="str">
            <v/>
          </cell>
          <cell r="Y1050">
            <v>45867</v>
          </cell>
          <cell r="Z1050" t="str">
            <v/>
          </cell>
          <cell r="AA1050">
            <v>45867</v>
          </cell>
          <cell r="AB1050" t="str">
            <v>Jayme Truong Jul 29, 2025 8:15 AM</v>
          </cell>
          <cell r="AC1050" t="str">
            <v/>
          </cell>
          <cell r="AD1050" t="str">
            <v/>
          </cell>
          <cell r="AE1050" t="str">
            <v/>
          </cell>
          <cell r="AF1050" t="str">
            <v/>
          </cell>
          <cell r="AG1050">
            <v>45873</v>
          </cell>
          <cell r="AH1050" t="str">
            <v/>
          </cell>
          <cell r="AI1050" t="str">
            <v/>
          </cell>
        </row>
        <row r="1051">
          <cell r="C1051" t="str">
            <v>Mickey Gilbert-S</v>
          </cell>
          <cell r="D1051" t="str">
            <v/>
          </cell>
          <cell r="E1051" t="str">
            <v/>
          </cell>
          <cell r="F1051" t="str">
            <v>Service</v>
          </cell>
          <cell r="G1051" t="str">
            <v>Service Collected</v>
          </cell>
          <cell r="H1051" t="str">
            <v>No</v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>https://panda-windows-and-doors.monday.com/protected_static/21046287/resources/2325153050/9921 Mickey Gilbert.pdf</v>
          </cell>
          <cell r="O1051" t="str">
            <v/>
          </cell>
          <cell r="P1051" t="str">
            <v/>
          </cell>
          <cell r="Q1051" t="str">
            <v>https://panda-windows-and-doors.monday.com/protected_static/21046287/resources/2325030786/Service Form (60).pdf</v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>
            <v>39</v>
          </cell>
          <cell r="W1051" t="str">
            <v>Jayme Truong Aug 4, 2025 11:30 AM</v>
          </cell>
          <cell r="X1051" t="str">
            <v/>
          </cell>
          <cell r="Y1051">
            <v>45869</v>
          </cell>
          <cell r="Z1051" t="str">
            <v/>
          </cell>
          <cell r="AA1051">
            <v>45869</v>
          </cell>
          <cell r="AB1051" t="str">
            <v>Jayme Truong Jul 31, 2025 2:26 PM</v>
          </cell>
          <cell r="AC1051" t="str">
            <v/>
          </cell>
          <cell r="AD1051" t="str">
            <v/>
          </cell>
          <cell r="AE1051" t="str">
            <v/>
          </cell>
          <cell r="AF1051" t="str">
            <v/>
          </cell>
          <cell r="AG1051">
            <v>45873</v>
          </cell>
          <cell r="AH1051" t="str">
            <v/>
          </cell>
          <cell r="AI1051" t="str">
            <v/>
          </cell>
        </row>
        <row r="1052">
          <cell r="C1052">
            <v>1985.2</v>
          </cell>
          <cell r="D1052" t="str">
            <v/>
          </cell>
          <cell r="E1052" t="str">
            <v/>
          </cell>
          <cell r="F1052" t="str">
            <v>Service</v>
          </cell>
          <cell r="G1052" t="str">
            <v>Service Collected</v>
          </cell>
          <cell r="H1052" t="str">
            <v>No</v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>https://panda-windows-and-doors.monday.com/protected_static/21046287/resources/2321254578/9914 Vortex.pdf</v>
          </cell>
          <cell r="O1052" t="str">
            <v/>
          </cell>
          <cell r="P1052" t="str">
            <v/>
          </cell>
          <cell r="Q1052" t="str">
            <v>https://panda-windows-and-doors.monday.com/protected_static/21046287/resources/2318178974/Service Form.pdf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>
            <v>255</v>
          </cell>
          <cell r="W1052" t="str">
            <v>Jayme Truong Aug 5, 2025 8:55 AM</v>
          </cell>
          <cell r="X1052" t="str">
            <v/>
          </cell>
          <cell r="Y1052">
            <v>45867</v>
          </cell>
          <cell r="Z1052" t="str">
            <v/>
          </cell>
          <cell r="AA1052">
            <v>45867</v>
          </cell>
          <cell r="AB1052" t="str">
            <v>Jayme Truong Jul 29, 2025 10:47 AM</v>
          </cell>
          <cell r="AC1052" t="str">
            <v/>
          </cell>
          <cell r="AD1052" t="str">
            <v/>
          </cell>
          <cell r="AE1052" t="str">
            <v/>
          </cell>
          <cell r="AF1052" t="str">
            <v/>
          </cell>
          <cell r="AG1052">
            <v>45874</v>
          </cell>
          <cell r="AH1052" t="str">
            <v/>
          </cell>
          <cell r="AI1052" t="str">
            <v/>
          </cell>
        </row>
        <row r="1053">
          <cell r="C1053" t="str">
            <v>69867-S1</v>
          </cell>
          <cell r="D1053" t="str">
            <v/>
          </cell>
          <cell r="E1053" t="str">
            <v/>
          </cell>
          <cell r="F1053" t="str">
            <v>Service</v>
          </cell>
          <cell r="G1053" t="str">
            <v>Service Collected</v>
          </cell>
          <cell r="H1053" t="str">
            <v>No</v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>https://panda-windows-and-doors.monday.com/protected_static/21046287/resources/2330596151/Service Form (96).pdf</v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>Jayme Truong Aug 8, 2025 3:49 PM</v>
          </cell>
          <cell r="X1053" t="str">
            <v/>
          </cell>
          <cell r="Y1053">
            <v>45873</v>
          </cell>
          <cell r="Z1053" t="str">
            <v/>
          </cell>
          <cell r="AA1053">
            <v>45873</v>
          </cell>
          <cell r="AB1053" t="str">
            <v>Jayme Truong Aug 4, 2025 10:48 AM</v>
          </cell>
          <cell r="AC1053" t="str">
            <v/>
          </cell>
          <cell r="AD1053" t="str">
            <v/>
          </cell>
          <cell r="AE1053" t="str">
            <v/>
          </cell>
          <cell r="AF1053" t="str">
            <v/>
          </cell>
          <cell r="AG1053">
            <v>45877</v>
          </cell>
          <cell r="AH1053" t="str">
            <v/>
          </cell>
          <cell r="AI1053" t="str">
            <v/>
          </cell>
        </row>
        <row r="1054">
          <cell r="C1054">
            <v>83341</v>
          </cell>
          <cell r="D1054" t="str">
            <v/>
          </cell>
          <cell r="E1054" t="str">
            <v/>
          </cell>
          <cell r="F1054" t="str">
            <v>Service</v>
          </cell>
          <cell r="G1054" t="str">
            <v>Service Collected</v>
          </cell>
          <cell r="H1054" t="str">
            <v>No</v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>https://panda-windows-and-doors.monday.com/protected_static/21046287/resources/2331640743/9929 Deposit Invoice.pdf</v>
          </cell>
          <cell r="O1054" t="str">
            <v/>
          </cell>
          <cell r="P1054" t="str">
            <v/>
          </cell>
          <cell r="Q1054" t="str">
            <v>https://panda-windows-and-doors.monday.com/protected_static/21046287/resources/2331568228/Service Form (98).pdf</v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>
            <v>329</v>
          </cell>
          <cell r="W1054" t="str">
            <v>Jayme Truong Aug 11, 2025 3:56 PM</v>
          </cell>
          <cell r="X1054" t="str">
            <v/>
          </cell>
          <cell r="Y1054">
            <v>45873</v>
          </cell>
          <cell r="Z1054" t="str">
            <v/>
          </cell>
          <cell r="AA1054">
            <v>45873</v>
          </cell>
          <cell r="AB1054" t="str">
            <v>Jayme Truong Aug 4, 2025 4:15 PM</v>
          </cell>
          <cell r="AC1054" t="str">
            <v/>
          </cell>
          <cell r="AD1054" t="str">
            <v/>
          </cell>
          <cell r="AE1054" t="str">
            <v/>
          </cell>
          <cell r="AF1054" t="str">
            <v/>
          </cell>
          <cell r="AG1054">
            <v>45880</v>
          </cell>
          <cell r="AH1054" t="str">
            <v/>
          </cell>
          <cell r="AI1054" t="str">
            <v/>
          </cell>
        </row>
        <row r="1055">
          <cell r="C1055">
            <v>74577</v>
          </cell>
          <cell r="D1055" t="str">
            <v/>
          </cell>
          <cell r="E1055" t="str">
            <v/>
          </cell>
          <cell r="F1055" t="str">
            <v>Service</v>
          </cell>
          <cell r="G1055" t="str">
            <v>Service Collected</v>
          </cell>
          <cell r="H1055" t="str">
            <v>No</v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>https://panda-windows-and-doors.monday.com/protected_static/21046287/resources/2317677119/9905  Enhance Openings.pdf</v>
          </cell>
          <cell r="O1055" t="str">
            <v/>
          </cell>
          <cell r="P1055" t="str">
            <v/>
          </cell>
          <cell r="Q1055" t="str">
            <v>https://panda-windows-and-doors.monday.com/protected_static/21046287/resources/2316064300/Service Form.pdf</v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>
            <v>400</v>
          </cell>
          <cell r="W1055" t="str">
            <v>Jayme Truong Aug 11, 2025 4:19 PM</v>
          </cell>
          <cell r="X1055" t="str">
            <v/>
          </cell>
          <cell r="Y1055">
            <v>45866</v>
          </cell>
          <cell r="Z1055" t="str">
            <v/>
          </cell>
          <cell r="AA1055">
            <v>45866</v>
          </cell>
          <cell r="AB1055" t="str">
            <v>Jayme Truong Jul 28, 2025 2:48 PM</v>
          </cell>
          <cell r="AC1055" t="str">
            <v/>
          </cell>
          <cell r="AD1055" t="str">
            <v/>
          </cell>
          <cell r="AE1055" t="str">
            <v/>
          </cell>
          <cell r="AF1055" t="str">
            <v/>
          </cell>
          <cell r="AG1055">
            <v>45880</v>
          </cell>
          <cell r="AH1055" t="str">
            <v/>
          </cell>
          <cell r="AI1055" t="str">
            <v/>
          </cell>
        </row>
        <row r="1056">
          <cell r="C1056">
            <v>54445.1</v>
          </cell>
          <cell r="D1056" t="str">
            <v/>
          </cell>
          <cell r="E1056" t="str">
            <v/>
          </cell>
          <cell r="F1056" t="str">
            <v>Service</v>
          </cell>
          <cell r="G1056" t="str">
            <v>Service Collected</v>
          </cell>
          <cell r="H1056" t="str">
            <v>No</v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>https://panda-windows-and-doors.monday.com/protected_static/21046287/resources/2333281716/Service Form (99).pdf</v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>
            <v>45</v>
          </cell>
          <cell r="W1056" t="str">
            <v>Jayme Truong Aug 13, 2025 2:32 PM</v>
          </cell>
          <cell r="X1056" t="str">
            <v/>
          </cell>
          <cell r="Y1056">
            <v>45874</v>
          </cell>
          <cell r="Z1056" t="str">
            <v/>
          </cell>
          <cell r="AA1056">
            <v>45875</v>
          </cell>
          <cell r="AB1056" t="str">
            <v>Jayme Truong Aug 5, 2025 9:41 AM</v>
          </cell>
          <cell r="AC1056" t="str">
            <v/>
          </cell>
          <cell r="AD1056" t="str">
            <v/>
          </cell>
          <cell r="AE1056" t="str">
            <v/>
          </cell>
          <cell r="AF1056" t="str">
            <v/>
          </cell>
          <cell r="AG1056">
            <v>45882</v>
          </cell>
          <cell r="AH1056" t="str">
            <v/>
          </cell>
          <cell r="AI1056" t="str">
            <v/>
          </cell>
        </row>
        <row r="1057">
          <cell r="C1057">
            <v>55863</v>
          </cell>
          <cell r="D1057" t="str">
            <v/>
          </cell>
          <cell r="E1057" t="str">
            <v/>
          </cell>
          <cell r="F1057" t="str">
            <v>Service</v>
          </cell>
          <cell r="G1057" t="str">
            <v>Service Collected</v>
          </cell>
          <cell r="H1057" t="str">
            <v>No</v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>https://panda-windows-and-doors.monday.com/protected_static/21046287/resources/2283706082/Service Form.pdf</v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>
            <v>490</v>
          </cell>
          <cell r="W1057" t="str">
            <v>Jayme Truong Aug 13, 2025 2:41 PM</v>
          </cell>
          <cell r="X1057" t="str">
            <v/>
          </cell>
          <cell r="Y1057">
            <v>45849</v>
          </cell>
          <cell r="Z1057" t="str">
            <v/>
          </cell>
          <cell r="AA1057">
            <v>45849</v>
          </cell>
          <cell r="AB1057" t="str">
            <v>Jayme Truong Jul 11, 2025 2:01 PM</v>
          </cell>
          <cell r="AC1057" t="str">
            <v/>
          </cell>
          <cell r="AD1057" t="str">
            <v/>
          </cell>
          <cell r="AE1057" t="str">
            <v/>
          </cell>
          <cell r="AF1057" t="str">
            <v/>
          </cell>
          <cell r="AG1057">
            <v>45882</v>
          </cell>
          <cell r="AH1057" t="str">
            <v/>
          </cell>
          <cell r="AI1057" t="str">
            <v/>
          </cell>
        </row>
        <row r="1058">
          <cell r="C1058">
            <v>80491</v>
          </cell>
          <cell r="D1058" t="str">
            <v/>
          </cell>
          <cell r="E1058" t="str">
            <v/>
          </cell>
          <cell r="F1058" t="str">
            <v>Service</v>
          </cell>
          <cell r="G1058" t="str">
            <v>Service Collected</v>
          </cell>
          <cell r="H1058" t="str">
            <v>No</v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>https://panda-windows-and-doors.monday.com/protected_static/21046287/resources/2339530267/9951 Keystone Distribution.pdf</v>
          </cell>
          <cell r="O1058" t="str">
            <v/>
          </cell>
          <cell r="P1058" t="str">
            <v/>
          </cell>
          <cell r="Q1058" t="str">
            <v>https://panda-windows-and-doors.monday.com/protected_static/21046287/resources/2339325505/Service Form - 2025-08-07_80491.pdf</v>
          </cell>
          <cell r="R1058" t="str">
            <v>https://panda-windows-and-doors.monday.com/protected_static/21046287/resources/2289238717/Keystone Distrubution LLC  TX - Resale Certificate 12-6-2022 - TX.pdf</v>
          </cell>
          <cell r="S1058" t="str">
            <v/>
          </cell>
          <cell r="T1058" t="str">
            <v/>
          </cell>
          <cell r="U1058" t="str">
            <v/>
          </cell>
          <cell r="V1058">
            <v>329</v>
          </cell>
          <cell r="W1058" t="str">
            <v>Jayme Truong Aug 14, 2025 4:10 PM</v>
          </cell>
          <cell r="X1058" t="str">
            <v/>
          </cell>
          <cell r="Y1058">
            <v>45876</v>
          </cell>
          <cell r="Z1058" t="str">
            <v/>
          </cell>
          <cell r="AA1058">
            <v>45876</v>
          </cell>
          <cell r="AB1058" t="str">
            <v>Jayme Truong Aug 7, 2025 1:14 PM</v>
          </cell>
          <cell r="AC1058" t="str">
            <v/>
          </cell>
          <cell r="AD1058" t="str">
            <v/>
          </cell>
          <cell r="AE1058" t="str">
            <v/>
          </cell>
          <cell r="AF1058" t="str">
            <v/>
          </cell>
          <cell r="AG1058">
            <v>45883</v>
          </cell>
          <cell r="AH1058" t="str">
            <v/>
          </cell>
          <cell r="AI1058" t="str">
            <v/>
          </cell>
        </row>
        <row r="1059">
          <cell r="C1059" t="str">
            <v>Arun Raghunath-S</v>
          </cell>
          <cell r="D1059" t="str">
            <v/>
          </cell>
          <cell r="E1059" t="str">
            <v/>
          </cell>
          <cell r="F1059" t="str">
            <v>Service</v>
          </cell>
          <cell r="G1059" t="str">
            <v>Service Collected</v>
          </cell>
          <cell r="H1059" t="str">
            <v>No</v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>https://panda-windows-and-doors.monday.com/protected_static/21046287/resources/2318813303/9908 BV Glazing SYstems.pdf</v>
          </cell>
          <cell r="O1059" t="str">
            <v/>
          </cell>
          <cell r="P1059" t="str">
            <v/>
          </cell>
          <cell r="Q1059" t="str">
            <v>https://panda-windows-and-doors.monday.com/protected_static/21046287/resources/2317971672/Service Form (59).pdf</v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>
            <v>630</v>
          </cell>
          <cell r="W1059" t="str">
            <v>Jayme Truong Aug 14, 2025 4:19 PM</v>
          </cell>
          <cell r="X1059" t="str">
            <v/>
          </cell>
          <cell r="Y1059">
            <v>45867</v>
          </cell>
          <cell r="Z1059" t="str">
            <v/>
          </cell>
          <cell r="AA1059">
            <v>45867</v>
          </cell>
          <cell r="AB1059" t="str">
            <v>Jayme Truong Jul 29, 2025 9:41 AM</v>
          </cell>
          <cell r="AC1059" t="str">
            <v/>
          </cell>
          <cell r="AD1059" t="str">
            <v/>
          </cell>
          <cell r="AE1059" t="str">
            <v/>
          </cell>
          <cell r="AF1059" t="str">
            <v/>
          </cell>
          <cell r="AG1059">
            <v>45883</v>
          </cell>
          <cell r="AH1059" t="str">
            <v/>
          </cell>
          <cell r="AI1059" t="str">
            <v/>
          </cell>
        </row>
        <row r="1060">
          <cell r="C1060">
            <v>20746.099999999999</v>
          </cell>
          <cell r="D1060" t="str">
            <v/>
          </cell>
          <cell r="E1060" t="str">
            <v/>
          </cell>
          <cell r="F1060" t="str">
            <v>Service</v>
          </cell>
          <cell r="G1060" t="str">
            <v>Service Collected</v>
          </cell>
          <cell r="H1060" t="str">
            <v>No</v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>https://panda-windows-and-doors.monday.com/protected_static/21046287/resources/2330626834/Service Form (97).pdf</v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>
            <v>3971</v>
          </cell>
          <cell r="W1060" t="str">
            <v>Jayme Truong Aug 15, 2025 4:33 PM</v>
          </cell>
          <cell r="X1060" t="str">
            <v/>
          </cell>
          <cell r="Y1060">
            <v>45873</v>
          </cell>
          <cell r="Z1060" t="str">
            <v/>
          </cell>
          <cell r="AA1060">
            <v>45873</v>
          </cell>
          <cell r="AB1060" t="str">
            <v>Jayme Truong Aug 4, 2025 11:00 AM</v>
          </cell>
          <cell r="AC1060" t="str">
            <v/>
          </cell>
          <cell r="AD1060" t="str">
            <v/>
          </cell>
          <cell r="AE1060" t="str">
            <v/>
          </cell>
          <cell r="AF1060" t="str">
            <v/>
          </cell>
          <cell r="AG1060">
            <v>45884</v>
          </cell>
          <cell r="AH1060" t="str">
            <v/>
          </cell>
          <cell r="AI1060" t="str">
            <v/>
          </cell>
        </row>
        <row r="1061">
          <cell r="C1061" t="str">
            <v>72110-S</v>
          </cell>
          <cell r="D1061" t="str">
            <v/>
          </cell>
          <cell r="E1061" t="str">
            <v/>
          </cell>
          <cell r="F1061" t="str">
            <v>Service</v>
          </cell>
          <cell r="G1061" t="str">
            <v>Service Collected</v>
          </cell>
          <cell r="H1061" t="str">
            <v>No</v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>https://panda-windows-and-doors.monday.com/protected_static/21046287/resources/2338924649/9947 Window Installation Specialists.pdf</v>
          </cell>
          <cell r="O1061" t="str">
            <v/>
          </cell>
          <cell r="P1061" t="str">
            <v/>
          </cell>
          <cell r="Q1061" t="str">
            <v>https://panda-windows-and-doors.monday.com/protected_static/21046287/resources/2338911537/Service Form - 2025-08-07_WIS.pdf</v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>
            <v>289</v>
          </cell>
          <cell r="W1061" t="str">
            <v>Jayme Truong Aug 15, 2025 5:02 PM</v>
          </cell>
          <cell r="X1061" t="str">
            <v/>
          </cell>
          <cell r="Y1061">
            <v>45876</v>
          </cell>
          <cell r="Z1061" t="str">
            <v/>
          </cell>
          <cell r="AA1061">
            <v>45876</v>
          </cell>
          <cell r="AB1061" t="str">
            <v>Jayme Truong Aug 7, 2025 10:10 AM</v>
          </cell>
          <cell r="AC1061" t="str">
            <v/>
          </cell>
          <cell r="AD1061" t="str">
            <v/>
          </cell>
          <cell r="AE1061" t="str">
            <v/>
          </cell>
          <cell r="AF1061" t="str">
            <v/>
          </cell>
          <cell r="AG1061">
            <v>45884</v>
          </cell>
          <cell r="AH1061" t="str">
            <v/>
          </cell>
          <cell r="AI1061" t="str">
            <v/>
          </cell>
        </row>
        <row r="1062">
          <cell r="C1062" t="str">
            <v>SoCal Glass</v>
          </cell>
          <cell r="D1062" t="str">
            <v/>
          </cell>
          <cell r="E1062" t="str">
            <v/>
          </cell>
          <cell r="F1062" t="str">
            <v>Service</v>
          </cell>
          <cell r="G1062" t="str">
            <v>Service Collected</v>
          </cell>
          <cell r="H1062" t="str">
            <v>No</v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>https://panda-windows-and-doors.monday.com/protected_static/21046287/resources/2344962524/9960 Socal Glass Inc.pdf</v>
          </cell>
          <cell r="O1062" t="str">
            <v/>
          </cell>
          <cell r="P1062" t="str">
            <v/>
          </cell>
          <cell r="Q1062" t="str">
            <v>https://panda-windows-and-doors.monday.com/protected_static/21046287/resources/2342253384/Service Form - 2025-08-08_SoCal.pdf</v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>Jayme Truong Aug 15, 2025 5:07 PM</v>
          </cell>
          <cell r="X1062" t="str">
            <v/>
          </cell>
          <cell r="Y1062">
            <v>45877</v>
          </cell>
          <cell r="Z1062" t="str">
            <v/>
          </cell>
          <cell r="AA1062">
            <v>45877</v>
          </cell>
          <cell r="AB1062" t="str">
            <v>Jayme Truong Aug 8, 2025 3:38 PM</v>
          </cell>
          <cell r="AC1062" t="str">
            <v/>
          </cell>
          <cell r="AD1062" t="str">
            <v/>
          </cell>
          <cell r="AE1062" t="str">
            <v/>
          </cell>
          <cell r="AF1062" t="str">
            <v/>
          </cell>
          <cell r="AG1062">
            <v>45884</v>
          </cell>
          <cell r="AH1062" t="str">
            <v/>
          </cell>
          <cell r="AI1062" t="str">
            <v/>
          </cell>
        </row>
        <row r="1063">
          <cell r="C1063" t="str">
            <v>16188-S</v>
          </cell>
          <cell r="D1063" t="str">
            <v/>
          </cell>
          <cell r="E1063" t="str">
            <v/>
          </cell>
          <cell r="F1063" t="str">
            <v>Service</v>
          </cell>
          <cell r="G1063" t="str">
            <v>Service Collected</v>
          </cell>
          <cell r="H1063" t="str">
            <v>No</v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>https://panda-windows-and-doors.monday.com/protected_static/21046287/resources/2362318738/Service Form - 2025-08-19_Tiffany.pdf</v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>Jayme Truong Aug 23, 2025 9:36 AM</v>
          </cell>
          <cell r="X1063" t="str">
            <v/>
          </cell>
          <cell r="Y1063">
            <v>45888</v>
          </cell>
          <cell r="Z1063" t="str">
            <v/>
          </cell>
          <cell r="AA1063">
            <v>45888</v>
          </cell>
          <cell r="AB1063" t="str">
            <v>Jayme Truong Aug 19, 2025 10:16 AM</v>
          </cell>
          <cell r="AC1063" t="str">
            <v/>
          </cell>
          <cell r="AD1063" t="str">
            <v/>
          </cell>
          <cell r="AE1063" t="str">
            <v/>
          </cell>
          <cell r="AF1063" t="str">
            <v/>
          </cell>
          <cell r="AG1063">
            <v>45892</v>
          </cell>
          <cell r="AH1063" t="str">
            <v/>
          </cell>
          <cell r="AI1063" t="str">
            <v/>
          </cell>
        </row>
        <row r="1064">
          <cell r="C1064" t="str">
            <v>Fontainebleau La Cote-S</v>
          </cell>
          <cell r="D1064" t="str">
            <v/>
          </cell>
          <cell r="E1064" t="str">
            <v/>
          </cell>
          <cell r="F1064" t="str">
            <v>Service</v>
          </cell>
          <cell r="G1064" t="str">
            <v>Service Collected</v>
          </cell>
          <cell r="H1064" t="str">
            <v>No</v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>https://panda-windows-and-doors.monday.com/protected_static/21046287/resources/2365568677/Service Form (64).pdf</v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>
            <v>1924</v>
          </cell>
          <cell r="W1064" t="str">
            <v>Jayme Truong Aug 25, 2025 2:41 PM</v>
          </cell>
          <cell r="X1064" t="str">
            <v/>
          </cell>
          <cell r="Y1064">
            <v>45889</v>
          </cell>
          <cell r="Z1064" t="str">
            <v/>
          </cell>
          <cell r="AA1064">
            <v>45889</v>
          </cell>
          <cell r="AB1064" t="str">
            <v>Jayme Truong Aug 20, 2025 10:14 AM</v>
          </cell>
          <cell r="AC1064" t="str">
            <v/>
          </cell>
          <cell r="AD1064" t="str">
            <v/>
          </cell>
          <cell r="AE1064" t="str">
            <v/>
          </cell>
          <cell r="AF1064" t="str">
            <v/>
          </cell>
          <cell r="AG1064">
            <v>45894</v>
          </cell>
          <cell r="AH1064" t="str">
            <v/>
          </cell>
          <cell r="AI1064" t="str">
            <v/>
          </cell>
        </row>
        <row r="1065">
          <cell r="C1065" t="str">
            <v>63528-S</v>
          </cell>
          <cell r="D1065" t="str">
            <v/>
          </cell>
          <cell r="E1065" t="str">
            <v/>
          </cell>
          <cell r="F1065" t="str">
            <v>Service</v>
          </cell>
          <cell r="G1065" t="str">
            <v>Service Collected</v>
          </cell>
          <cell r="H1065" t="str">
            <v>No</v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>https://panda-windows-and-doors.monday.com/protected_static/21046287/resources/2370944223/Service Form (68).pdf, https://panda-windows-and-doors.monday.com/protected_static/21046287/resources/2371594751/Whatcom.PNG</v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>
            <v>285.60000000000002</v>
          </cell>
          <cell r="W1065" t="str">
            <v>Jayme Truong Aug 25, 2025 2:50 PM</v>
          </cell>
          <cell r="X1065" t="str">
            <v/>
          </cell>
          <cell r="Y1065">
            <v>45891</v>
          </cell>
          <cell r="Z1065" t="str">
            <v/>
          </cell>
          <cell r="AA1065">
            <v>45891</v>
          </cell>
          <cell r="AB1065" t="str">
            <v>Jayme Truong Aug 22, 2025 10:23 AM</v>
          </cell>
          <cell r="AC1065" t="str">
            <v/>
          </cell>
          <cell r="AD1065" t="str">
            <v/>
          </cell>
          <cell r="AE1065" t="str">
            <v/>
          </cell>
          <cell r="AF1065" t="str">
            <v/>
          </cell>
          <cell r="AG1065">
            <v>45894</v>
          </cell>
          <cell r="AH1065" t="str">
            <v/>
          </cell>
          <cell r="AI1065" t="str">
            <v/>
          </cell>
        </row>
        <row r="1066">
          <cell r="C1066" t="str">
            <v>70276.S</v>
          </cell>
          <cell r="D1066" t="str">
            <v/>
          </cell>
          <cell r="E1066" t="str">
            <v/>
          </cell>
          <cell r="F1066" t="str">
            <v>Service</v>
          </cell>
          <cell r="G1066" t="str">
            <v>Service Collected</v>
          </cell>
          <cell r="H1066" t="str">
            <v>No</v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>https://panda-windows-and-doors.monday.com/protected_static/21046287/resources/2368887463/9998 Ken Caryl Glass.pdf</v>
          </cell>
          <cell r="O1066" t="str">
            <v/>
          </cell>
          <cell r="P1066" t="str">
            <v/>
          </cell>
          <cell r="Q1066" t="str">
            <v>https://panda-windows-and-doors.monday.com/protected_static/21046287/resources/2368658746/Service Form.pdf</v>
          </cell>
          <cell r="R1066" t="str">
            <v>https://panda-windows-and-doors.monday.com/protected_static/21046287/resources/2289230373/Ken Caryl Glass Inc - Sales Tax License effective 12-22-2023- CO.pdf</v>
          </cell>
          <cell r="S1066" t="str">
            <v/>
          </cell>
          <cell r="T1066" t="str">
            <v/>
          </cell>
          <cell r="U1066" t="str">
            <v/>
          </cell>
          <cell r="V1066">
            <v>229</v>
          </cell>
          <cell r="W1066" t="str">
            <v>Jayme Truong Aug 26, 2025 10:21 AM</v>
          </cell>
          <cell r="X1066" t="str">
            <v/>
          </cell>
          <cell r="Y1066">
            <v>45890</v>
          </cell>
          <cell r="Z1066" t="str">
            <v/>
          </cell>
          <cell r="AA1066">
            <v>45890</v>
          </cell>
          <cell r="AB1066" t="str">
            <v>Jayme Truong Aug 21, 2025 11:49 AM</v>
          </cell>
          <cell r="AC1066" t="str">
            <v/>
          </cell>
          <cell r="AD1066" t="str">
            <v/>
          </cell>
          <cell r="AE1066" t="str">
            <v/>
          </cell>
          <cell r="AF1066" t="str">
            <v/>
          </cell>
          <cell r="AG1066">
            <v>45895</v>
          </cell>
          <cell r="AH1066" t="str">
            <v/>
          </cell>
          <cell r="AI1066" t="str">
            <v/>
          </cell>
        </row>
        <row r="1067">
          <cell r="C1067" t="str">
            <v>Fontainebleau Moonstone-S</v>
          </cell>
          <cell r="D1067" t="str">
            <v/>
          </cell>
          <cell r="E1067" t="str">
            <v/>
          </cell>
          <cell r="F1067" t="str">
            <v>Service</v>
          </cell>
          <cell r="G1067" t="str">
            <v>Service Collected</v>
          </cell>
          <cell r="H1067" t="str">
            <v>No</v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>https://panda-windows-and-doors.monday.com/protected_static/21046287/resources/2365598512/Service Form (65).pdf</v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>
            <v>2036.36</v>
          </cell>
          <cell r="W1067" t="str">
            <v>Jayme Truong Aug 26, 2025 11:11 AM</v>
          </cell>
          <cell r="X1067" t="str">
            <v/>
          </cell>
          <cell r="Y1067">
            <v>45889</v>
          </cell>
          <cell r="Z1067" t="str">
            <v/>
          </cell>
          <cell r="AA1067">
            <v>45889</v>
          </cell>
          <cell r="AB1067" t="str">
            <v>Jayme Truong Aug 20, 2025 10:24 AM</v>
          </cell>
          <cell r="AC1067" t="str">
            <v/>
          </cell>
          <cell r="AD1067" t="str">
            <v/>
          </cell>
          <cell r="AE1067" t="str">
            <v/>
          </cell>
          <cell r="AF1067" t="str">
            <v/>
          </cell>
          <cell r="AG1067">
            <v>45895</v>
          </cell>
          <cell r="AH1067" t="str">
            <v/>
          </cell>
          <cell r="AI1067" t="str">
            <v/>
          </cell>
        </row>
        <row r="1068">
          <cell r="C1068" t="str">
            <v>Q76651-S</v>
          </cell>
          <cell r="D1068" t="str">
            <v/>
          </cell>
          <cell r="E1068" t="str">
            <v/>
          </cell>
          <cell r="F1068" t="str">
            <v>Service</v>
          </cell>
          <cell r="G1068" t="str">
            <v>Service Collected</v>
          </cell>
          <cell r="H1068" t="str">
            <v>No</v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>https://panda-windows-and-doors.monday.com/protected_static/21046287/resources/2344822015/9958 Polk Architectural.pdf</v>
          </cell>
          <cell r="O1068" t="str">
            <v/>
          </cell>
          <cell r="P1068" t="str">
            <v/>
          </cell>
          <cell r="Q1068" t="str">
            <v>https://panda-windows-and-doors.monday.com/protected_static/21046287/resources/2341640609/Service Form - 2025-08-08_Waller Creek.pdf</v>
          </cell>
          <cell r="R1068" t="str">
            <v>https://panda-windows-and-doors.monday.com/protected_static/21046287/resources/2289664617/Polk Architectural - Sales &amp; Use Tax Permit  12-3-2019 - TX.pdf</v>
          </cell>
          <cell r="S1068" t="str">
            <v/>
          </cell>
          <cell r="T1068" t="str">
            <v/>
          </cell>
          <cell r="U1068" t="str">
            <v/>
          </cell>
          <cell r="V1068">
            <v>594</v>
          </cell>
          <cell r="W1068" t="str">
            <v>Jayme Truong Aug 27, 2025 3:37 PM</v>
          </cell>
          <cell r="X1068" t="str">
            <v/>
          </cell>
          <cell r="Y1068">
            <v>45877</v>
          </cell>
          <cell r="Z1068" t="str">
            <v/>
          </cell>
          <cell r="AA1068">
            <v>45877</v>
          </cell>
          <cell r="AB1068" t="str">
            <v>Jayme Truong Aug 8, 2025 11:36 AM</v>
          </cell>
          <cell r="AC1068" t="str">
            <v/>
          </cell>
          <cell r="AD1068" t="str">
            <v/>
          </cell>
          <cell r="AE1068" t="str">
            <v/>
          </cell>
          <cell r="AF1068" t="str">
            <v/>
          </cell>
          <cell r="AG1068">
            <v>45896</v>
          </cell>
          <cell r="AH1068" t="str">
            <v/>
          </cell>
          <cell r="AI1068" t="str">
            <v/>
          </cell>
        </row>
        <row r="1069">
          <cell r="C1069">
            <v>16738</v>
          </cell>
          <cell r="D1069" t="str">
            <v/>
          </cell>
          <cell r="E1069" t="str">
            <v/>
          </cell>
          <cell r="F1069" t="str">
            <v>Service</v>
          </cell>
          <cell r="G1069" t="str">
            <v>Service Collected</v>
          </cell>
          <cell r="H1069" t="str">
            <v>No</v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>https://panda-windows-and-doors.monday.com/protected_static/21046287/resources/2359209532/Service Form.pdf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>
            <v>8600.61</v>
          </cell>
          <cell r="W1069" t="str">
            <v>Jayme Truong Aug 27, 2025 3:53 PM</v>
          </cell>
          <cell r="X1069" t="str">
            <v/>
          </cell>
          <cell r="Y1069">
            <v>45887</v>
          </cell>
          <cell r="Z1069" t="str">
            <v/>
          </cell>
          <cell r="AA1069">
            <v>45887</v>
          </cell>
          <cell r="AB1069" t="str">
            <v>Jayme Truong Aug 18, 2025 8:51 AM</v>
          </cell>
          <cell r="AC1069" t="str">
            <v/>
          </cell>
          <cell r="AD1069" t="str">
            <v/>
          </cell>
          <cell r="AE1069" t="str">
            <v/>
          </cell>
          <cell r="AF1069" t="str">
            <v/>
          </cell>
          <cell r="AG1069">
            <v>45896</v>
          </cell>
          <cell r="AH1069" t="str">
            <v/>
          </cell>
          <cell r="AI1069" t="str">
            <v/>
          </cell>
        </row>
        <row r="1070">
          <cell r="C1070">
            <v>12034</v>
          </cell>
          <cell r="D1070" t="str">
            <v/>
          </cell>
          <cell r="E1070" t="str">
            <v/>
          </cell>
          <cell r="F1070" t="str">
            <v>Service</v>
          </cell>
          <cell r="G1070" t="str">
            <v>Service Collected</v>
          </cell>
          <cell r="H1070" t="str">
            <v>No</v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>https://panda-windows-and-doors.monday.com/protected_static/21046287/resources/2138313849/Service Form (49).pdf</v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>
            <v>1455</v>
          </cell>
          <cell r="W1070" t="str">
            <v>Jayme Truong Aug 28, 2025 11:27 AM</v>
          </cell>
          <cell r="X1070" t="str">
            <v/>
          </cell>
          <cell r="Y1070">
            <v>45790</v>
          </cell>
          <cell r="Z1070" t="str">
            <v/>
          </cell>
          <cell r="AA1070">
            <v>45790</v>
          </cell>
          <cell r="AB1070" t="str">
            <v>Jayme Truong May 13, 2025 1:09 PM</v>
          </cell>
          <cell r="AC1070" t="str">
            <v/>
          </cell>
          <cell r="AD1070" t="str">
            <v/>
          </cell>
          <cell r="AE1070" t="str">
            <v/>
          </cell>
          <cell r="AF1070" t="str">
            <v/>
          </cell>
          <cell r="AG1070">
            <v>45897</v>
          </cell>
          <cell r="AH1070" t="str">
            <v/>
          </cell>
          <cell r="AI1070" t="str">
            <v/>
          </cell>
        </row>
        <row r="1071">
          <cell r="C1071">
            <v>1599</v>
          </cell>
          <cell r="D1071" t="str">
            <v/>
          </cell>
          <cell r="E1071" t="str">
            <v/>
          </cell>
          <cell r="F1071" t="str">
            <v>Service</v>
          </cell>
          <cell r="G1071" t="str">
            <v>Service Collected</v>
          </cell>
          <cell r="H1071" t="str">
            <v>No</v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>https://panda-windows-and-doors.monday.com/protected_static/21046287/resources/2353317805/9970 A Doors Window &amp; Screen.pdf</v>
          </cell>
          <cell r="O1071" t="str">
            <v/>
          </cell>
          <cell r="P1071" t="str">
            <v/>
          </cell>
          <cell r="Q1071" t="str">
            <v>https://panda-windows-and-doors.monday.com/protected_static/21046287/resources/2353165109/Service Form.pdf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>
            <v>412</v>
          </cell>
          <cell r="W1071" t="str">
            <v>Jayme Truong Aug 28, 2025 11:30 AM</v>
          </cell>
          <cell r="X1071" t="str">
            <v/>
          </cell>
          <cell r="Y1071">
            <v>45883</v>
          </cell>
          <cell r="Z1071" t="str">
            <v/>
          </cell>
          <cell r="AA1071">
            <v>45883</v>
          </cell>
          <cell r="AB1071" t="str">
            <v>Jayme Truong Aug 14, 2025 8:22 AM</v>
          </cell>
          <cell r="AC1071" t="str">
            <v/>
          </cell>
          <cell r="AD1071" t="str">
            <v/>
          </cell>
          <cell r="AE1071" t="str">
            <v/>
          </cell>
          <cell r="AF1071" t="str">
            <v/>
          </cell>
          <cell r="AG1071">
            <v>45897</v>
          </cell>
          <cell r="AH1071" t="str">
            <v/>
          </cell>
          <cell r="AI1071" t="str">
            <v/>
          </cell>
        </row>
        <row r="1072">
          <cell r="C1072" t="str">
            <v>Shannon Guyer-S</v>
          </cell>
          <cell r="D1072" t="str">
            <v/>
          </cell>
          <cell r="E1072" t="str">
            <v/>
          </cell>
          <cell r="F1072" t="str">
            <v>Service</v>
          </cell>
          <cell r="G1072" t="str">
            <v>Service Collected</v>
          </cell>
          <cell r="H1072" t="str">
            <v>No</v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>https://panda-windows-and-doors.monday.com/protected_static/21046287/resources/2304195184/Service Form (57).pdf</v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>
            <v>350</v>
          </cell>
          <cell r="W1072" t="str">
            <v>Jayme Truong Aug 29, 2025 4:28 PM</v>
          </cell>
          <cell r="X1072" t="str">
            <v/>
          </cell>
          <cell r="Y1072">
            <v>45860</v>
          </cell>
          <cell r="Z1072" t="str">
            <v/>
          </cell>
          <cell r="AA1072">
            <v>45860</v>
          </cell>
          <cell r="AB1072" t="str">
            <v>Jayme Truong Jul 22, 2025 12:41 PM</v>
          </cell>
          <cell r="AC1072" t="str">
            <v/>
          </cell>
          <cell r="AD1072" t="str">
            <v/>
          </cell>
          <cell r="AE1072" t="str">
            <v/>
          </cell>
          <cell r="AF1072" t="str">
            <v/>
          </cell>
          <cell r="AG1072">
            <v>45898</v>
          </cell>
          <cell r="AH1072" t="str">
            <v/>
          </cell>
          <cell r="AI1072" t="str">
            <v/>
          </cell>
        </row>
        <row r="1073">
          <cell r="C1073" t="str">
            <v>JMI</v>
          </cell>
          <cell r="D1073" t="str">
            <v/>
          </cell>
          <cell r="E1073" t="str">
            <v/>
          </cell>
          <cell r="F1073" t="str">
            <v>Service</v>
          </cell>
          <cell r="G1073" t="str">
            <v>Service Collected</v>
          </cell>
          <cell r="H1073" t="str">
            <v>No</v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>https://panda-windows-and-doors.monday.com/protected_static/21046287/resources/2267971313/Service Form (53).pdf</v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>
            <v>77</v>
          </cell>
          <cell r="W1073" t="str">
            <v>Jayme Truong Sep 2, 2025 4:36 PM</v>
          </cell>
          <cell r="X1073" t="str">
            <v/>
          </cell>
          <cell r="Y1073">
            <v>45841</v>
          </cell>
          <cell r="Z1073" t="str">
            <v/>
          </cell>
          <cell r="AA1073">
            <v>45847</v>
          </cell>
          <cell r="AB1073" t="str">
            <v>Jayme Truong Jul 3, 2025 11:20 AM</v>
          </cell>
          <cell r="AC1073" t="str">
            <v/>
          </cell>
          <cell r="AD1073" t="str">
            <v/>
          </cell>
          <cell r="AE1073" t="str">
            <v/>
          </cell>
          <cell r="AF1073" t="str">
            <v/>
          </cell>
          <cell r="AG1073">
            <v>45902</v>
          </cell>
          <cell r="AH1073" t="str">
            <v/>
          </cell>
          <cell r="AI1073" t="str">
            <v/>
          </cell>
        </row>
        <row r="1074">
          <cell r="C1074">
            <v>64541</v>
          </cell>
          <cell r="D1074" t="str">
            <v/>
          </cell>
          <cell r="E1074" t="str">
            <v/>
          </cell>
          <cell r="F1074" t="str">
            <v>Service</v>
          </cell>
          <cell r="G1074" t="str">
            <v>Service Collected</v>
          </cell>
          <cell r="H1074" t="str">
            <v>No</v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>https://panda-windows-and-doors.monday.com/protected_static/21046287/resources/2366131377/Service Form - 2025-08-20_Long.pdf</v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>
            <v>1658.18</v>
          </cell>
          <cell r="W1074" t="str">
            <v>Jayme Truong Sep 2, 2025 5:26 PM</v>
          </cell>
          <cell r="X1074" t="str">
            <v/>
          </cell>
          <cell r="Y1074">
            <v>45889</v>
          </cell>
          <cell r="Z1074" t="str">
            <v/>
          </cell>
          <cell r="AA1074">
            <v>45889</v>
          </cell>
          <cell r="AB1074" t="str">
            <v>Jayme Truong Aug 20, 2025 1:11 PM</v>
          </cell>
          <cell r="AC1074" t="str">
            <v/>
          </cell>
          <cell r="AD1074" t="str">
            <v/>
          </cell>
          <cell r="AE1074" t="str">
            <v/>
          </cell>
          <cell r="AF1074" t="str">
            <v/>
          </cell>
          <cell r="AG1074">
            <v>45902</v>
          </cell>
          <cell r="AH1074" t="str">
            <v/>
          </cell>
          <cell r="AI1074" t="str">
            <v/>
          </cell>
        </row>
        <row r="1075">
          <cell r="C1075">
            <v>85529</v>
          </cell>
          <cell r="D1075" t="str">
            <v/>
          </cell>
          <cell r="E1075" t="str">
            <v/>
          </cell>
          <cell r="F1075" t="str">
            <v>Service</v>
          </cell>
          <cell r="G1075" t="str">
            <v>Service Collected</v>
          </cell>
          <cell r="H1075" t="str">
            <v>No</v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>https://panda-windows-and-doors.monday.com/protected_static/21046287/resources/2394516701/10021 Eddy Luh.pdf</v>
          </cell>
          <cell r="O1075" t="str">
            <v/>
          </cell>
          <cell r="P1075" t="str">
            <v/>
          </cell>
          <cell r="Q1075" t="str">
            <v>https://panda-windows-and-doors.monday.com/protected_static/21046287/resources/2392189187/Service Form.pdf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>
            <v>350</v>
          </cell>
          <cell r="W1075" t="str">
            <v>Jayme Truong Sep 4, 2025 4:39 PM</v>
          </cell>
          <cell r="X1075" t="str">
            <v/>
          </cell>
          <cell r="Y1075">
            <v>45902</v>
          </cell>
          <cell r="Z1075" t="str">
            <v/>
          </cell>
          <cell r="AA1075">
            <v>45902</v>
          </cell>
          <cell r="AB1075" t="str">
            <v>Jayme Truong Sep 2, 2025 12:12 PM</v>
          </cell>
          <cell r="AC1075" t="str">
            <v/>
          </cell>
          <cell r="AD1075" t="str">
            <v/>
          </cell>
          <cell r="AE1075" t="str">
            <v/>
          </cell>
          <cell r="AF1075" t="str">
            <v/>
          </cell>
          <cell r="AG1075">
            <v>45904</v>
          </cell>
          <cell r="AH1075" t="str">
            <v/>
          </cell>
          <cell r="AI1075" t="str">
            <v/>
          </cell>
        </row>
        <row r="1076">
          <cell r="C1076" t="str">
            <v>Priority Doors 1</v>
          </cell>
          <cell r="D1076" t="str">
            <v/>
          </cell>
          <cell r="E1076" t="str">
            <v/>
          </cell>
          <cell r="F1076" t="str">
            <v>Service</v>
          </cell>
          <cell r="G1076" t="str">
            <v>Service Collected</v>
          </cell>
          <cell r="H1076" t="str">
            <v>No</v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>https://panda-windows-and-doors.monday.com/protected_static/21046287/resources/2380085234/10012 Priorty Doors Systems.pdf</v>
          </cell>
          <cell r="O1076" t="str">
            <v/>
          </cell>
          <cell r="P1076" t="str">
            <v/>
          </cell>
          <cell r="Q1076" t="str">
            <v>https://panda-windows-and-doors.monday.com/protected_static/21046287/resources/2379764766/Service Form - 2025-08-27_Priority Doors.pdf</v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>Jayme Truong Sep 5, 2025 12:40 PM</v>
          </cell>
          <cell r="X1076" t="str">
            <v/>
          </cell>
          <cell r="Y1076">
            <v>45896</v>
          </cell>
          <cell r="Z1076" t="str">
            <v/>
          </cell>
          <cell r="AA1076">
            <v>45896</v>
          </cell>
          <cell r="AB1076" t="str">
            <v>Jayme Truong Aug 27, 2025 8:43 AM</v>
          </cell>
          <cell r="AC1076" t="str">
            <v/>
          </cell>
          <cell r="AD1076" t="str">
            <v/>
          </cell>
          <cell r="AE1076" t="str">
            <v/>
          </cell>
          <cell r="AF1076" t="str">
            <v/>
          </cell>
          <cell r="AG1076">
            <v>45905</v>
          </cell>
          <cell r="AH1076" t="str">
            <v/>
          </cell>
          <cell r="AI1076" t="str">
            <v/>
          </cell>
        </row>
        <row r="1077">
          <cell r="C1077">
            <v>58594</v>
          </cell>
          <cell r="D1077" t="str">
            <v/>
          </cell>
          <cell r="E1077" t="str">
            <v/>
          </cell>
          <cell r="F1077" t="str">
            <v>Service</v>
          </cell>
          <cell r="G1077" t="str">
            <v>Service Collected</v>
          </cell>
          <cell r="H1077" t="str">
            <v>No</v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>https://panda-windows-and-doors.monday.com/protected_static/21046287/resources/2395970542/10022 It works glass.pdf</v>
          </cell>
          <cell r="O1077" t="str">
            <v/>
          </cell>
          <cell r="P1077" t="str">
            <v/>
          </cell>
          <cell r="Q1077" t="str">
            <v>https://panda-windows-and-doors.monday.com/protected_static/21046287/resources/2395943734/Service Form.pdf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>Jayme Truong Sep 8, 2025 2:28 PM</v>
          </cell>
          <cell r="X1077" t="str">
            <v/>
          </cell>
          <cell r="Y1077">
            <v>45903</v>
          </cell>
          <cell r="Z1077" t="str">
            <v/>
          </cell>
          <cell r="AA1077">
            <v>45903</v>
          </cell>
          <cell r="AB1077" t="str">
            <v>Jayme Truong Sep 3, 2025 10:55 AM</v>
          </cell>
          <cell r="AC1077" t="str">
            <v/>
          </cell>
          <cell r="AD1077" t="str">
            <v/>
          </cell>
          <cell r="AE1077" t="str">
            <v/>
          </cell>
          <cell r="AF1077" t="str">
            <v/>
          </cell>
          <cell r="AG1077">
            <v>45908</v>
          </cell>
          <cell r="AH1077" t="str">
            <v/>
          </cell>
          <cell r="AI1077" t="str">
            <v/>
          </cell>
        </row>
        <row r="1078">
          <cell r="C1078" t="str">
            <v>Vortex SA</v>
          </cell>
          <cell r="D1078" t="str">
            <v/>
          </cell>
          <cell r="E1078" t="str">
            <v/>
          </cell>
          <cell r="F1078" t="str">
            <v>Service</v>
          </cell>
          <cell r="G1078" t="str">
            <v>Service Collected</v>
          </cell>
          <cell r="H1078" t="str">
            <v>No</v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>https://panda-windows-and-doors.monday.com/protected_static/21046287/resources/2400981771/10026 Vortex.pdf</v>
          </cell>
          <cell r="O1078" t="str">
            <v/>
          </cell>
          <cell r="P1078" t="str">
            <v/>
          </cell>
          <cell r="Q1078" t="str">
            <v>https://panda-windows-and-doors.monday.com/protected_static/21046287/resources/2398997615/Service Form - 2025-09-04T_Vortex.pdf</v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>
            <v>209</v>
          </cell>
          <cell r="W1078" t="str">
            <v>Jayme Truong Sep 8, 2025 2:59 PM</v>
          </cell>
          <cell r="X1078" t="str">
            <v/>
          </cell>
          <cell r="Y1078">
            <v>45904</v>
          </cell>
          <cell r="Z1078" t="str">
            <v/>
          </cell>
          <cell r="AA1078">
            <v>45904</v>
          </cell>
          <cell r="AB1078" t="str">
            <v>Jayme Truong Sep 4, 2025 3:49 PM</v>
          </cell>
          <cell r="AC1078" t="str">
            <v/>
          </cell>
          <cell r="AD1078" t="str">
            <v/>
          </cell>
          <cell r="AE1078" t="str">
            <v/>
          </cell>
          <cell r="AF1078" t="str">
            <v/>
          </cell>
          <cell r="AG1078">
            <v>45908</v>
          </cell>
          <cell r="AH1078" t="str">
            <v/>
          </cell>
          <cell r="AI1078" t="str">
            <v/>
          </cell>
        </row>
        <row r="1079">
          <cell r="C1079">
            <v>79961</v>
          </cell>
          <cell r="D1079" t="str">
            <v/>
          </cell>
          <cell r="E1079" t="str">
            <v/>
          </cell>
          <cell r="F1079" t="str">
            <v>Service</v>
          </cell>
          <cell r="G1079" t="str">
            <v>Service Collected</v>
          </cell>
          <cell r="H1079" t="str">
            <v>No</v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>https://panda-windows-and-doors.monday.com/protected_static/21046287/resources/2371598603/10003 Custom Glass Inc.pdf</v>
          </cell>
          <cell r="O1079" t="str">
            <v/>
          </cell>
          <cell r="P1079" t="str">
            <v/>
          </cell>
          <cell r="Q1079" t="str">
            <v>https://panda-windows-and-doors.monday.com/protected_static/21046287/resources/2370588681/Service Form.pdf</v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>
            <v>970</v>
          </cell>
          <cell r="W1079" t="str">
            <v>Jayme Truong Sep 8, 2025 4:01 PM</v>
          </cell>
          <cell r="X1079" t="str">
            <v/>
          </cell>
          <cell r="Y1079">
            <v>45891</v>
          </cell>
          <cell r="Z1079" t="str">
            <v/>
          </cell>
          <cell r="AA1079">
            <v>45891</v>
          </cell>
          <cell r="AB1079" t="str">
            <v>Jayme Truong Aug 22, 2025 8:21 AM</v>
          </cell>
          <cell r="AC1079" t="str">
            <v/>
          </cell>
          <cell r="AD1079" t="str">
            <v/>
          </cell>
          <cell r="AE1079" t="str">
            <v/>
          </cell>
          <cell r="AF1079" t="str">
            <v/>
          </cell>
          <cell r="AG1079">
            <v>45908</v>
          </cell>
          <cell r="AH1079" t="str">
            <v/>
          </cell>
          <cell r="AI1079" t="str">
            <v/>
          </cell>
        </row>
        <row r="1080">
          <cell r="C1080" t="str">
            <v>67680-S</v>
          </cell>
          <cell r="D1080" t="str">
            <v/>
          </cell>
          <cell r="E1080" t="str">
            <v/>
          </cell>
          <cell r="F1080" t="str">
            <v>Service</v>
          </cell>
          <cell r="G1080" t="str">
            <v>Service Collected</v>
          </cell>
          <cell r="H1080" t="str">
            <v>No</v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>https://panda-windows-and-doors.monday.com/protected_static/21046287/resources/2385979188/10017 Marci Leith.pdf</v>
          </cell>
          <cell r="O1080" t="str">
            <v/>
          </cell>
          <cell r="P1080" t="str">
            <v/>
          </cell>
          <cell r="Q1080" t="str">
            <v>https://panda-windows-and-doors.monday.com/protected_static/21046287/resources/2385751210/Service Form (69).pdf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>
            <v>506</v>
          </cell>
          <cell r="W1080" t="str">
            <v>Jayme Truong Sep 8, 2025 4:06 PM</v>
          </cell>
          <cell r="X1080" t="str">
            <v/>
          </cell>
          <cell r="Y1080">
            <v>45898</v>
          </cell>
          <cell r="Z1080" t="str">
            <v/>
          </cell>
          <cell r="AA1080">
            <v>45898</v>
          </cell>
          <cell r="AB1080" t="str">
            <v>Jayme Truong Aug 29, 2025 10:32 AM</v>
          </cell>
          <cell r="AC1080" t="str">
            <v/>
          </cell>
          <cell r="AD1080" t="str">
            <v/>
          </cell>
          <cell r="AE1080" t="str">
            <v/>
          </cell>
          <cell r="AF1080" t="str">
            <v/>
          </cell>
          <cell r="AG1080">
            <v>45908</v>
          </cell>
          <cell r="AH1080" t="str">
            <v/>
          </cell>
          <cell r="AI1080" t="str">
            <v/>
          </cell>
        </row>
        <row r="1081">
          <cell r="C1081">
            <v>82577</v>
          </cell>
          <cell r="D1081" t="str">
            <v/>
          </cell>
          <cell r="E1081" t="str">
            <v/>
          </cell>
          <cell r="F1081" t="str">
            <v>Service</v>
          </cell>
          <cell r="G1081" t="str">
            <v>Service Collected</v>
          </cell>
          <cell r="H1081" t="str">
            <v>No</v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>https://panda-windows-and-doors.monday.com/protected_static/21046287/resources/2378052881/10011 Tangent Construction.pdf</v>
          </cell>
          <cell r="O1081" t="str">
            <v/>
          </cell>
          <cell r="P1081" t="str">
            <v/>
          </cell>
          <cell r="Q1081" t="str">
            <v>https://panda-windows-and-doors.monday.com/protected_static/21046287/resources/2376994745/Service Form - 2025-08-26_Lowes AZ.pdf</v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>
            <v>1700</v>
          </cell>
          <cell r="W1081" t="str">
            <v>Jayme Truong Sep 10, 2025 12:30 PM</v>
          </cell>
          <cell r="X1081" t="str">
            <v/>
          </cell>
          <cell r="Y1081">
            <v>45895</v>
          </cell>
          <cell r="Z1081" t="str">
            <v/>
          </cell>
          <cell r="AA1081">
            <v>45895</v>
          </cell>
          <cell r="AB1081" t="str">
            <v>Jayme Truong Aug 26, 2025 9:36 AM</v>
          </cell>
          <cell r="AC1081" t="str">
            <v/>
          </cell>
          <cell r="AD1081" t="str">
            <v/>
          </cell>
          <cell r="AE1081" t="str">
            <v/>
          </cell>
          <cell r="AF1081" t="str">
            <v/>
          </cell>
          <cell r="AG1081">
            <v>45910</v>
          </cell>
          <cell r="AH1081" t="str">
            <v/>
          </cell>
          <cell r="AI1081" t="str">
            <v/>
          </cell>
        </row>
        <row r="1082">
          <cell r="C1082" t="str">
            <v>CDO Glass</v>
          </cell>
          <cell r="D1082" t="str">
            <v/>
          </cell>
          <cell r="E1082" t="str">
            <v/>
          </cell>
          <cell r="F1082" t="str">
            <v>Service</v>
          </cell>
          <cell r="G1082" t="str">
            <v>Service Collected</v>
          </cell>
          <cell r="H1082" t="str">
            <v>No</v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>https://panda-windows-and-doors.monday.com/protected_static/21046287/resources/2401759048/10031 CDO Glass.pdf</v>
          </cell>
          <cell r="O1082" t="str">
            <v/>
          </cell>
          <cell r="P1082" t="str">
            <v/>
          </cell>
          <cell r="Q1082" t="str">
            <v>https://panda-windows-and-doors.monday.com/protected_static/21046287/resources/2401707387/Service Form - 2025-09-05_CDO.pdf</v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>Jayme Truong Sep 10, 2025 4:17 PM</v>
          </cell>
          <cell r="X1082" t="str">
            <v/>
          </cell>
          <cell r="Y1082">
            <v>45905</v>
          </cell>
          <cell r="Z1082" t="str">
            <v/>
          </cell>
          <cell r="AA1082">
            <v>45905</v>
          </cell>
          <cell r="AB1082" t="str">
            <v>Jayme Truong Sep 5, 2025 4:07 PM</v>
          </cell>
          <cell r="AC1082" t="str">
            <v/>
          </cell>
          <cell r="AD1082" t="str">
            <v/>
          </cell>
          <cell r="AE1082" t="str">
            <v/>
          </cell>
          <cell r="AF1082" t="str">
            <v/>
          </cell>
          <cell r="AG1082">
            <v>45910</v>
          </cell>
          <cell r="AH1082" t="str">
            <v/>
          </cell>
          <cell r="AI1082" t="str">
            <v/>
          </cell>
        </row>
        <row r="1083">
          <cell r="C1083">
            <v>13021</v>
          </cell>
          <cell r="D1083" t="str">
            <v/>
          </cell>
          <cell r="E1083" t="str">
            <v/>
          </cell>
          <cell r="F1083" t="str">
            <v>Service</v>
          </cell>
          <cell r="G1083" t="str">
            <v>Service Collected</v>
          </cell>
          <cell r="H1083" t="str">
            <v>No</v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>https://panda-windows-and-doors.monday.com/protected_static/21046287/resources/2348414687/9966 Vortex.pdf</v>
          </cell>
          <cell r="O1083" t="str">
            <v/>
          </cell>
          <cell r="P1083" t="str">
            <v/>
          </cell>
          <cell r="Q1083" t="str">
            <v>https://panda-windows-and-doors.monday.com/protected_static/21046287/resources/2348110623/Service Form.pdf</v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>
            <v>827</v>
          </cell>
          <cell r="W1083" t="str">
            <v>Jayme Truong Sep 11, 2025 11:45 AM</v>
          </cell>
          <cell r="X1083" t="str">
            <v/>
          </cell>
          <cell r="Y1083">
            <v>45881</v>
          </cell>
          <cell r="Z1083" t="str">
            <v/>
          </cell>
          <cell r="AA1083">
            <v>45881</v>
          </cell>
          <cell r="AB1083" t="str">
            <v>Jayme Truong Aug 12, 2025 11:29 AM</v>
          </cell>
          <cell r="AC1083" t="str">
            <v/>
          </cell>
          <cell r="AD1083" t="str">
            <v/>
          </cell>
          <cell r="AE1083" t="str">
            <v/>
          </cell>
          <cell r="AF1083" t="str">
            <v/>
          </cell>
          <cell r="AG1083">
            <v>45911</v>
          </cell>
          <cell r="AH1083" t="str">
            <v/>
          </cell>
          <cell r="AI1083" t="str">
            <v/>
          </cell>
        </row>
        <row r="1084">
          <cell r="C1084">
            <v>53196</v>
          </cell>
          <cell r="D1084" t="str">
            <v/>
          </cell>
          <cell r="E1084" t="str">
            <v/>
          </cell>
          <cell r="F1084" t="str">
            <v>Service</v>
          </cell>
          <cell r="G1084" t="str">
            <v>Service Collected</v>
          </cell>
          <cell r="H1084" t="str">
            <v>No</v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>https://panda-windows-and-doors.monday.com/protected_static/21046287/resources/2408460047/10037 Precision Glass Co.pdf</v>
          </cell>
          <cell r="O1084" t="str">
            <v/>
          </cell>
          <cell r="P1084" t="str">
            <v/>
          </cell>
          <cell r="Q1084" t="str">
            <v>https://panda-windows-and-doors.monday.com/protected_static/21046287/resources/2408422410/Service Form - 2025-09-09_Frendale.pdf</v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>Jayme Truong Sep 11, 2025 11:53 AM</v>
          </cell>
          <cell r="X1084" t="str">
            <v/>
          </cell>
          <cell r="Y1084">
            <v>45909</v>
          </cell>
          <cell r="Z1084" t="str">
            <v/>
          </cell>
          <cell r="AA1084">
            <v>45909</v>
          </cell>
          <cell r="AB1084" t="str">
            <v>Jayme Truong Sep 9, 2025 2:19 PM</v>
          </cell>
          <cell r="AC1084" t="str">
            <v/>
          </cell>
          <cell r="AD1084" t="str">
            <v/>
          </cell>
          <cell r="AE1084" t="str">
            <v/>
          </cell>
          <cell r="AF1084" t="str">
            <v/>
          </cell>
          <cell r="AG1084">
            <v>45911</v>
          </cell>
          <cell r="AH1084" t="str">
            <v/>
          </cell>
          <cell r="AI1084" t="str">
            <v/>
          </cell>
        </row>
        <row r="1085">
          <cell r="C1085">
            <v>22590</v>
          </cell>
          <cell r="D1085" t="str">
            <v/>
          </cell>
          <cell r="E1085" t="str">
            <v/>
          </cell>
          <cell r="F1085" t="str">
            <v>Service</v>
          </cell>
          <cell r="G1085" t="str">
            <v>Service Collected</v>
          </cell>
          <cell r="H1085" t="str">
            <v>No</v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>https://panda-windows-and-doors.monday.com/protected_static/21046287/resources/2407595203/10033 Kam Brian.pdf</v>
          </cell>
          <cell r="O1085" t="str">
            <v/>
          </cell>
          <cell r="P1085" t="str">
            <v/>
          </cell>
          <cell r="Q1085" t="str">
            <v>https://panda-windows-and-doors.monday.com/protected_static/21046287/resources/2407272559/Service Form.pdf</v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>Jayme Truong Sep 11, 2025 12:09 PM</v>
          </cell>
          <cell r="X1085" t="str">
            <v/>
          </cell>
          <cell r="Y1085">
            <v>45909</v>
          </cell>
          <cell r="Z1085" t="str">
            <v/>
          </cell>
          <cell r="AA1085">
            <v>45909</v>
          </cell>
          <cell r="AB1085" t="str">
            <v>Jayme Truong Sep 9, 2025 8:57 AM</v>
          </cell>
          <cell r="AC1085" t="str">
            <v/>
          </cell>
          <cell r="AD1085" t="str">
            <v/>
          </cell>
          <cell r="AE1085" t="str">
            <v/>
          </cell>
          <cell r="AF1085" t="str">
            <v/>
          </cell>
          <cell r="AG1085">
            <v>45911</v>
          </cell>
          <cell r="AH1085" t="str">
            <v/>
          </cell>
          <cell r="AI1085" t="str">
            <v/>
          </cell>
        </row>
        <row r="1086">
          <cell r="C1086">
            <v>66697</v>
          </cell>
          <cell r="D1086" t="str">
            <v/>
          </cell>
          <cell r="E1086" t="str">
            <v/>
          </cell>
          <cell r="F1086" t="str">
            <v>Service</v>
          </cell>
          <cell r="G1086" t="str">
            <v>Service Collected</v>
          </cell>
          <cell r="H1086" t="str">
            <v>No</v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>https://panda-windows-and-doors.monday.com/protected_static/21046287/resources/2414127743/Service Form - 2025-09-11_Kevin Riley.pdf</v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>Jayme Truong Sep 11, 2025 12:24 PM</v>
          </cell>
          <cell r="X1086" t="str">
            <v/>
          </cell>
          <cell r="Y1086">
            <v>45911</v>
          </cell>
          <cell r="Z1086" t="str">
            <v/>
          </cell>
          <cell r="AA1086">
            <v>45911</v>
          </cell>
          <cell r="AB1086" t="str">
            <v>Jayme Truong Sep 11, 2025 12:14 PM</v>
          </cell>
          <cell r="AC1086" t="str">
            <v/>
          </cell>
          <cell r="AD1086" t="str">
            <v/>
          </cell>
          <cell r="AE1086" t="str">
            <v/>
          </cell>
          <cell r="AF1086" t="str">
            <v/>
          </cell>
          <cell r="AG1086">
            <v>45911</v>
          </cell>
          <cell r="AH1086" t="str">
            <v/>
          </cell>
          <cell r="AI1086" t="str">
            <v/>
          </cell>
        </row>
        <row r="1087">
          <cell r="C1087" t="str">
            <v>18788-S</v>
          </cell>
          <cell r="D1087" t="str">
            <v/>
          </cell>
          <cell r="E1087" t="str">
            <v/>
          </cell>
          <cell r="F1087" t="str">
            <v>Service</v>
          </cell>
          <cell r="G1087" t="str">
            <v>Service Collected</v>
          </cell>
          <cell r="H1087" t="str">
            <v>No</v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>https://panda-windows-and-doors.monday.com/protected_static/21046287/resources/2368870785/9997 Move4Less LLC.pdf</v>
          </cell>
          <cell r="O1087" t="str">
            <v/>
          </cell>
          <cell r="P1087" t="str">
            <v/>
          </cell>
          <cell r="Q1087" t="str">
            <v>https://panda-windows-and-doors.monday.com/protected_static/21046287/resources/2368580670/Service Form (67).pdf</v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>
            <v>938</v>
          </cell>
          <cell r="W1087" t="str">
            <v>Jayme Truong Sep 15, 2025 3:00 PM</v>
          </cell>
          <cell r="X1087" t="str">
            <v/>
          </cell>
          <cell r="Y1087">
            <v>45890</v>
          </cell>
          <cell r="Z1087" t="str">
            <v/>
          </cell>
          <cell r="AA1087">
            <v>45890</v>
          </cell>
          <cell r="AB1087" t="str">
            <v>Jayme Truong Aug 21, 2025 11:24 AM</v>
          </cell>
          <cell r="AC1087" t="str">
            <v/>
          </cell>
          <cell r="AD1087" t="str">
            <v/>
          </cell>
          <cell r="AE1087" t="str">
            <v/>
          </cell>
          <cell r="AF1087" t="str">
            <v/>
          </cell>
          <cell r="AG1087">
            <v>45915</v>
          </cell>
          <cell r="AH1087" t="str">
            <v/>
          </cell>
          <cell r="AI1087" t="str">
            <v/>
          </cell>
        </row>
        <row r="1088">
          <cell r="C1088" t="str">
            <v>Vortex Doors-S</v>
          </cell>
          <cell r="D1088" t="str">
            <v/>
          </cell>
          <cell r="E1088" t="str">
            <v/>
          </cell>
          <cell r="F1088" t="str">
            <v>Service</v>
          </cell>
          <cell r="G1088" t="str">
            <v>Service Collected</v>
          </cell>
          <cell r="H1088" t="str">
            <v>No</v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>https://panda-windows-and-doors.monday.com/protected_static/21046287/resources/2400899650/10025 Vortex Doors.pdf</v>
          </cell>
          <cell r="O1088" t="str">
            <v/>
          </cell>
          <cell r="P1088" t="str">
            <v/>
          </cell>
          <cell r="Q1088" t="str">
            <v>https://panda-windows-and-doors.monday.com/protected_static/21046287/resources/2398714035/Service Form - 2025-09-04_Vortex.pdf</v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>
            <v>1833</v>
          </cell>
          <cell r="W1088" t="str">
            <v>Jayme Truong Sep 19, 2025 4:04 PM</v>
          </cell>
          <cell r="X1088" t="str">
            <v/>
          </cell>
          <cell r="Y1088">
            <v>45904</v>
          </cell>
          <cell r="Z1088" t="str">
            <v/>
          </cell>
          <cell r="AA1088">
            <v>45904</v>
          </cell>
          <cell r="AB1088" t="str">
            <v>Jayme Truong Sep 4, 2025 1:53 PM</v>
          </cell>
          <cell r="AC1088" t="str">
            <v/>
          </cell>
          <cell r="AD1088" t="str">
            <v/>
          </cell>
          <cell r="AE1088" t="str">
            <v/>
          </cell>
          <cell r="AF1088" t="str">
            <v/>
          </cell>
          <cell r="AG1088">
            <v>45919</v>
          </cell>
          <cell r="AH1088" t="str">
            <v/>
          </cell>
          <cell r="AI1088" t="str">
            <v/>
          </cell>
        </row>
        <row r="1089">
          <cell r="C1089">
            <v>60806</v>
          </cell>
          <cell r="D1089" t="str">
            <v/>
          </cell>
          <cell r="E1089" t="str">
            <v/>
          </cell>
          <cell r="F1089" t="str">
            <v>Service</v>
          </cell>
          <cell r="G1089" t="str">
            <v>Service Collected</v>
          </cell>
          <cell r="H1089" t="str">
            <v>No</v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>https://panda-windows-and-doors.monday.com/protected_static/21046287/resources/2420793416/10056 Glass Arrow Services.pdf</v>
          </cell>
          <cell r="O1089" t="str">
            <v/>
          </cell>
          <cell r="P1089" t="str">
            <v/>
          </cell>
          <cell r="Q1089" t="str">
            <v>https://panda-windows-and-doors.monday.com/protected_static/21046287/resources/2420733038/Service Form.pdf</v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>Jayme Truong Sep 19, 2025 4:07 PM</v>
          </cell>
          <cell r="X1089" t="str">
            <v/>
          </cell>
          <cell r="Y1089">
            <v>45915</v>
          </cell>
          <cell r="Z1089" t="str">
            <v/>
          </cell>
          <cell r="AA1089">
            <v>45915</v>
          </cell>
          <cell r="AB1089" t="str">
            <v>Jayme Truong Sep 15, 2025 12:26 PM</v>
          </cell>
          <cell r="AC1089" t="str">
            <v/>
          </cell>
          <cell r="AD1089" t="str">
            <v/>
          </cell>
          <cell r="AE1089" t="str">
            <v/>
          </cell>
          <cell r="AF1089" t="str">
            <v/>
          </cell>
          <cell r="AG1089">
            <v>45919</v>
          </cell>
          <cell r="AH1089" t="str">
            <v/>
          </cell>
          <cell r="AI1089" t="str">
            <v/>
          </cell>
        </row>
        <row r="1090">
          <cell r="C1090" t="str">
            <v>20910-S</v>
          </cell>
          <cell r="D1090" t="str">
            <v/>
          </cell>
          <cell r="E1090" t="str">
            <v/>
          </cell>
          <cell r="F1090" t="str">
            <v>Service</v>
          </cell>
          <cell r="G1090" t="str">
            <v>Service Collected</v>
          </cell>
          <cell r="H1090" t="str">
            <v>No</v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>https://panda-windows-and-doors.monday.com/protected_static/21046287/resources/2420711962/10055 Magik Glass.pdf</v>
          </cell>
          <cell r="O1090" t="str">
            <v/>
          </cell>
          <cell r="P1090" t="str">
            <v/>
          </cell>
          <cell r="Q1090" t="str">
            <v>https://panda-windows-and-doors.monday.com/protected_static/21046287/resources/2420623456/Service Form (1)_Kimpton.pdf</v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>
            <v>258</v>
          </cell>
          <cell r="W1090" t="str">
            <v>Jayme Truong Sep 19, 2025 4:26 PM</v>
          </cell>
          <cell r="X1090" t="str">
            <v/>
          </cell>
          <cell r="Y1090">
            <v>45915</v>
          </cell>
          <cell r="Z1090" t="str">
            <v/>
          </cell>
          <cell r="AA1090">
            <v>45915</v>
          </cell>
          <cell r="AB1090" t="str">
            <v>Jayme Truong Sep 15, 2025 11:52 AM</v>
          </cell>
          <cell r="AC1090" t="str">
            <v/>
          </cell>
          <cell r="AD1090" t="str">
            <v/>
          </cell>
          <cell r="AE1090" t="str">
            <v/>
          </cell>
          <cell r="AF1090" t="str">
            <v/>
          </cell>
          <cell r="AG1090">
            <v>45919</v>
          </cell>
          <cell r="AH1090" t="str">
            <v/>
          </cell>
          <cell r="AI1090" t="str">
            <v/>
          </cell>
        </row>
        <row r="1091">
          <cell r="C1091">
            <v>85384</v>
          </cell>
          <cell r="D1091" t="str">
            <v/>
          </cell>
          <cell r="E1091" t="str">
            <v/>
          </cell>
          <cell r="F1091" t="str">
            <v>Service</v>
          </cell>
          <cell r="G1091" t="str">
            <v>Service Collected</v>
          </cell>
          <cell r="H1091" t="str">
            <v>No</v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>https://panda-windows-and-doors.monday.com/protected_static/21046287/resources/2424103412/10059 Aydin Karadeniz.pdf</v>
          </cell>
          <cell r="O1091" t="str">
            <v/>
          </cell>
          <cell r="P1091" t="str">
            <v/>
          </cell>
          <cell r="Q1091" t="str">
            <v>https://panda-windows-and-doors.monday.com/protected_static/21046287/resources/2423680143/Aydin.pdf</v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>Jayme Truong Sep 19, 2025 4:31 PM</v>
          </cell>
          <cell r="X1091" t="str">
            <v/>
          </cell>
          <cell r="Y1091">
            <v>45916</v>
          </cell>
          <cell r="Z1091" t="str">
            <v/>
          </cell>
          <cell r="AA1091">
            <v>45916</v>
          </cell>
          <cell r="AB1091" t="str">
            <v>Jayme Truong Sep 16, 2025 2:13 PM</v>
          </cell>
          <cell r="AC1091" t="str">
            <v/>
          </cell>
          <cell r="AD1091" t="str">
            <v/>
          </cell>
          <cell r="AE1091" t="str">
            <v/>
          </cell>
          <cell r="AF1091" t="str">
            <v/>
          </cell>
          <cell r="AG1091">
            <v>45919</v>
          </cell>
          <cell r="AH1091" t="str">
            <v/>
          </cell>
          <cell r="AI1091" t="str">
            <v/>
          </cell>
        </row>
        <row r="1092">
          <cell r="C1092" t="str">
            <v>Del Ray Glass</v>
          </cell>
          <cell r="D1092" t="str">
            <v/>
          </cell>
          <cell r="E1092" t="str">
            <v/>
          </cell>
          <cell r="F1092" t="str">
            <v>Service</v>
          </cell>
          <cell r="G1092" t="str">
            <v>Service Collected</v>
          </cell>
          <cell r="H1092" t="str">
            <v>No</v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>https://panda-windows-and-doors.monday.com/protected_static/21046287/resources/2413772031/Service Form - 2025-09-11_Stepp.pdf</v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>
            <v>545</v>
          </cell>
          <cell r="W1092" t="str">
            <v>Jayme Truong Sep 19, 2025 4:50 PM</v>
          </cell>
          <cell r="X1092" t="str">
            <v/>
          </cell>
          <cell r="Y1092">
            <v>45911</v>
          </cell>
          <cell r="Z1092" t="str">
            <v/>
          </cell>
          <cell r="AA1092">
            <v>45911</v>
          </cell>
          <cell r="AB1092" t="str">
            <v>Jayme Truong Sep 11, 2025 10:19 AM</v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  <cell r="AG1092">
            <v>45919</v>
          </cell>
          <cell r="AH1092" t="str">
            <v/>
          </cell>
          <cell r="AI1092" t="str">
            <v/>
          </cell>
        </row>
        <row r="1093">
          <cell r="C1093" t="str">
            <v>59814.1-S</v>
          </cell>
          <cell r="D1093" t="str">
            <v/>
          </cell>
          <cell r="E1093" t="str">
            <v/>
          </cell>
          <cell r="F1093" t="str">
            <v>Service</v>
          </cell>
          <cell r="G1093" t="str">
            <v>Service Collected</v>
          </cell>
          <cell r="H1093" t="str">
            <v>No</v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>https://panda-windows-and-doors.monday.com/protected_static/21046287/resources/2368480799/9996 CBRE-WA.pdf</v>
          </cell>
          <cell r="O1093" t="str">
            <v/>
          </cell>
          <cell r="P1093" t="str">
            <v/>
          </cell>
          <cell r="Q1093" t="str">
            <v>https://panda-windows-and-doors.monday.com/protected_static/21046287/resources/2366510846/Service Form (66).pdf</v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>
            <v>5785.5</v>
          </cell>
          <cell r="W1093" t="str">
            <v>Sean Lopez Dec 1, 2025 2:32 PM</v>
          </cell>
          <cell r="X1093" t="str">
            <v/>
          </cell>
          <cell r="Y1093">
            <v>45889</v>
          </cell>
          <cell r="Z1093" t="str">
            <v/>
          </cell>
          <cell r="AA1093">
            <v>45889</v>
          </cell>
          <cell r="AB1093" t="str">
            <v>Jayme Truong Aug 20, 2025 3:39 PM</v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  <cell r="AG1093">
            <v>45923</v>
          </cell>
          <cell r="AH1093" t="str">
            <v/>
          </cell>
          <cell r="AI1093" t="str">
            <v/>
          </cell>
        </row>
        <row r="1094">
          <cell r="C1094" t="str">
            <v>John Leonard</v>
          </cell>
          <cell r="D1094" t="str">
            <v/>
          </cell>
          <cell r="E1094" t="str">
            <v/>
          </cell>
          <cell r="F1094" t="str">
            <v>Service</v>
          </cell>
          <cell r="G1094" t="str">
            <v>Service Collected</v>
          </cell>
          <cell r="H1094" t="str">
            <v>No</v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>https://panda-windows-and-doors.monday.com/protected_static/21046287/resources/2440842320/10093 John Leonard.pdf</v>
          </cell>
          <cell r="O1094" t="str">
            <v/>
          </cell>
          <cell r="P1094" t="str">
            <v/>
          </cell>
          <cell r="Q1094" t="str">
            <v>https://panda-windows-and-doors.monday.com/protected_static/21046287/resources/2440597131/Service Form (8).pdf</v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>
            <v>407</v>
          </cell>
          <cell r="W1094" t="str">
            <v>Jayme Truong Sep 24, 2025 4:29 PM</v>
          </cell>
          <cell r="X1094" t="str">
            <v/>
          </cell>
          <cell r="Y1094">
            <v>45924</v>
          </cell>
          <cell r="Z1094" t="str">
            <v/>
          </cell>
          <cell r="AA1094">
            <v>45924</v>
          </cell>
          <cell r="AB1094" t="str">
            <v>Jayme Truong Sep 24, 2025 10:43 AM</v>
          </cell>
          <cell r="AC1094" t="str">
            <v/>
          </cell>
          <cell r="AD1094" t="str">
            <v/>
          </cell>
          <cell r="AE1094" t="str">
            <v/>
          </cell>
          <cell r="AF1094" t="str">
            <v/>
          </cell>
          <cell r="AG1094">
            <v>45924</v>
          </cell>
          <cell r="AH1094" t="str">
            <v/>
          </cell>
          <cell r="AI1094" t="str">
            <v/>
          </cell>
        </row>
        <row r="1095">
          <cell r="C1095">
            <v>135</v>
          </cell>
          <cell r="D1095" t="str">
            <v/>
          </cell>
          <cell r="E1095" t="str">
            <v/>
          </cell>
          <cell r="F1095" t="str">
            <v>Service</v>
          </cell>
          <cell r="G1095" t="str">
            <v>Service Collected</v>
          </cell>
          <cell r="H1095" t="str">
            <v>No</v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>https://panda-windows-and-doors.monday.com/protected_static/21046287/resources/2440620923/10090 Karl Jonsson.pdf</v>
          </cell>
          <cell r="O1095" t="str">
            <v/>
          </cell>
          <cell r="P1095" t="str">
            <v/>
          </cell>
          <cell r="Q1095" t="str">
            <v>https://panda-windows-and-doors.monday.com/protected_static/21046287/resources/2440203056/Service Form.pdf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>
            <v>785</v>
          </cell>
          <cell r="W1095" t="str">
            <v>Elizabet Lopez May 4, 2026 8:51 AM</v>
          </cell>
          <cell r="X1095" t="str">
            <v/>
          </cell>
          <cell r="Y1095">
            <v>45924</v>
          </cell>
          <cell r="Z1095" t="str">
            <v/>
          </cell>
          <cell r="AA1095">
            <v>45924</v>
          </cell>
          <cell r="AB1095" t="str">
            <v>Jayme Truong Sep 24, 2025 8:48 AM</v>
          </cell>
          <cell r="AC1095" t="str">
            <v/>
          </cell>
          <cell r="AD1095" t="str">
            <v/>
          </cell>
          <cell r="AE1095" t="str">
            <v/>
          </cell>
          <cell r="AF1095" t="str">
            <v/>
          </cell>
          <cell r="AG1095">
            <v>45924</v>
          </cell>
          <cell r="AH1095" t="str">
            <v/>
          </cell>
          <cell r="AI1095" t="str">
            <v/>
          </cell>
        </row>
        <row r="1096">
          <cell r="C1096" t="str">
            <v>75814-S</v>
          </cell>
          <cell r="D1096" t="str">
            <v/>
          </cell>
          <cell r="E1096" t="str">
            <v/>
          </cell>
          <cell r="F1096" t="str">
            <v>Service</v>
          </cell>
          <cell r="G1096" t="str">
            <v>Service Collected</v>
          </cell>
          <cell r="H1096" t="str">
            <v>No</v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>https://panda-windows-and-doors.monday.com/protected_static/21046287/resources/2286229595/Service Form (83).pdf</v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>
            <v>103</v>
          </cell>
          <cell r="W1096" t="str">
            <v>Jayme Truong Sep 24, 2025 4:53 PM</v>
          </cell>
          <cell r="X1096" t="str">
            <v/>
          </cell>
          <cell r="Y1096">
            <v>45852</v>
          </cell>
          <cell r="Z1096" t="str">
            <v/>
          </cell>
          <cell r="AA1096">
            <v>45852</v>
          </cell>
          <cell r="AB1096" t="str">
            <v>Jayme Truong Jul 14, 2025 8:09 AM</v>
          </cell>
          <cell r="AC1096" t="str">
            <v/>
          </cell>
          <cell r="AD1096" t="str">
            <v/>
          </cell>
          <cell r="AE1096" t="str">
            <v/>
          </cell>
          <cell r="AF1096" t="str">
            <v/>
          </cell>
          <cell r="AG1096">
            <v>45924</v>
          </cell>
          <cell r="AH1096" t="str">
            <v/>
          </cell>
          <cell r="AI1096" t="str">
            <v/>
          </cell>
        </row>
        <row r="1097">
          <cell r="C1097">
            <v>79258</v>
          </cell>
          <cell r="D1097" t="str">
            <v/>
          </cell>
          <cell r="E1097" t="str">
            <v/>
          </cell>
          <cell r="F1097" t="str">
            <v>Service</v>
          </cell>
          <cell r="G1097" t="str">
            <v>Service Collected</v>
          </cell>
          <cell r="H1097" t="str">
            <v>No</v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>https://panda-windows-and-doors.monday.com/protected_static/21046287/resources/2429711698/10071 US-Glass.pdf</v>
          </cell>
          <cell r="O1097" t="str">
            <v/>
          </cell>
          <cell r="P1097" t="str">
            <v/>
          </cell>
          <cell r="Q1097" t="str">
            <v>https://panda-windows-and-doors.monday.com/protected_static/21046287/resources/2429398157/Service Form (4).pdf</v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>
            <v>198</v>
          </cell>
          <cell r="W1097" t="str">
            <v>Jayme Truong Sep 25, 2025 11:43 AM</v>
          </cell>
          <cell r="X1097" t="str">
            <v/>
          </cell>
          <cell r="Y1097">
            <v>45918</v>
          </cell>
          <cell r="Z1097" t="str">
            <v/>
          </cell>
          <cell r="AA1097">
            <v>45918</v>
          </cell>
          <cell r="AB1097" t="str">
            <v>Jayme Truong Sep 18, 2025 2:05 PM</v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  <cell r="AG1097">
            <v>45925</v>
          </cell>
          <cell r="AH1097" t="str">
            <v/>
          </cell>
          <cell r="AI1097" t="str">
            <v/>
          </cell>
        </row>
        <row r="1098">
          <cell r="C1098" t="str">
            <v>EZ Service-S</v>
          </cell>
          <cell r="D1098" t="str">
            <v/>
          </cell>
          <cell r="E1098" t="str">
            <v/>
          </cell>
          <cell r="F1098" t="str">
            <v>Service</v>
          </cell>
          <cell r="G1098" t="str">
            <v>Service Collected</v>
          </cell>
          <cell r="H1098" t="str">
            <v>No</v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>https://panda-windows-and-doors.monday.com/protected_static/21046287/resources/2347524443/9962 E-Z Automated Systems Inc.pdf</v>
          </cell>
          <cell r="O1098" t="str">
            <v/>
          </cell>
          <cell r="P1098" t="str">
            <v/>
          </cell>
          <cell r="Q1098" t="str">
            <v>https://panda-windows-and-doors.monday.com/protected_static/21046287/resources/2345520666/Service Form (62).pdf</v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>Jayme Truong Sep 26, 2025 1:46 PM</v>
          </cell>
          <cell r="X1098" t="str">
            <v/>
          </cell>
          <cell r="Y1098">
            <v>45880</v>
          </cell>
          <cell r="Z1098" t="str">
            <v/>
          </cell>
          <cell r="AA1098">
            <v>45880</v>
          </cell>
          <cell r="AB1098" t="str">
            <v>Jayme Truong Aug 11, 2025 12:26 PM</v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  <cell r="AG1098">
            <v>45926</v>
          </cell>
          <cell r="AH1098" t="str">
            <v/>
          </cell>
          <cell r="AI1098" t="str">
            <v/>
          </cell>
        </row>
        <row r="1099">
          <cell r="C1099">
            <v>7007</v>
          </cell>
          <cell r="D1099" t="str">
            <v/>
          </cell>
          <cell r="E1099" t="str">
            <v/>
          </cell>
          <cell r="F1099" t="str">
            <v>Service</v>
          </cell>
          <cell r="G1099" t="str">
            <v>Service Collected</v>
          </cell>
          <cell r="H1099" t="str">
            <v>No</v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>https://panda-windows-and-doors.monday.com/protected_static/21046287/resources/2443847859/Service Form.pdf</v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>
            <v>700</v>
          </cell>
          <cell r="W1099" t="str">
            <v>Jayme Truong Sep 30, 2025 4:47 PM</v>
          </cell>
          <cell r="X1099" t="str">
            <v/>
          </cell>
          <cell r="Y1099">
            <v>45925</v>
          </cell>
          <cell r="Z1099" t="str">
            <v/>
          </cell>
          <cell r="AA1099">
            <v>45925</v>
          </cell>
          <cell r="AB1099" t="str">
            <v>Jayme Truong Sep 25, 2025 12:49 PM</v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  <cell r="AG1099">
            <v>45930</v>
          </cell>
          <cell r="AH1099" t="str">
            <v/>
          </cell>
          <cell r="AI1099" t="str">
            <v/>
          </cell>
        </row>
        <row r="1100">
          <cell r="C1100">
            <v>22063</v>
          </cell>
          <cell r="D1100" t="str">
            <v/>
          </cell>
          <cell r="E1100" t="str">
            <v/>
          </cell>
          <cell r="F1100" t="str">
            <v>Service</v>
          </cell>
          <cell r="G1100" t="str">
            <v>Service Collected</v>
          </cell>
          <cell r="H1100" t="str">
            <v>No</v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>https://panda-windows-and-doors.monday.com/protected_static/21046287/resources/2450223769/10110 Vortex industries.pdf</v>
          </cell>
          <cell r="O1100" t="str">
            <v/>
          </cell>
          <cell r="P1100" t="str">
            <v/>
          </cell>
          <cell r="Q1100" t="str">
            <v>https://panda-windows-and-doors.monday.com/protected_static/21046287/resources/2446771116/Service Form (11).pdf</v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>Annalene Conde Oct 3, 2025 5:08 PM</v>
          </cell>
          <cell r="X1100" t="str">
            <v/>
          </cell>
          <cell r="Y1100">
            <v>45926</v>
          </cell>
          <cell r="Z1100" t="str">
            <v/>
          </cell>
          <cell r="AA1100">
            <v>45926</v>
          </cell>
          <cell r="AB1100" t="str">
            <v>Jayme Truong Sep 26, 2025 2:25 PM</v>
          </cell>
          <cell r="AC1100" t="str">
            <v/>
          </cell>
          <cell r="AD1100" t="str">
            <v/>
          </cell>
          <cell r="AE1100" t="str">
            <v/>
          </cell>
          <cell r="AF1100" t="str">
            <v/>
          </cell>
          <cell r="AG1100">
            <v>45933</v>
          </cell>
          <cell r="AH1100" t="str">
            <v/>
          </cell>
          <cell r="AI1100" t="str">
            <v/>
          </cell>
        </row>
        <row r="1101">
          <cell r="C1101">
            <v>11419</v>
          </cell>
          <cell r="D1101" t="str">
            <v/>
          </cell>
          <cell r="E1101" t="str">
            <v/>
          </cell>
          <cell r="F1101" t="str">
            <v>Service</v>
          </cell>
          <cell r="G1101" t="str">
            <v>Service Collected</v>
          </cell>
          <cell r="H1101" t="str">
            <v>No</v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>https://panda-windows-and-doors.monday.com/protected_static/21046287/resources/2440857389/10094 Pacific Rim Door Services Inc.pdf</v>
          </cell>
          <cell r="O1101" t="str">
            <v/>
          </cell>
          <cell r="P1101" t="str">
            <v/>
          </cell>
          <cell r="Q1101" t="str">
            <v>https://panda-windows-and-doors.monday.com/protected_static/21046287/resources/2440695879/Service Form.pdf</v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>
            <v>69</v>
          </cell>
          <cell r="W1101" t="str">
            <v>Annalene Conde Oct 6, 2025 2:50 PM</v>
          </cell>
          <cell r="X1101" t="str">
            <v/>
          </cell>
          <cell r="Y1101">
            <v>45924</v>
          </cell>
          <cell r="Z1101" t="str">
            <v/>
          </cell>
          <cell r="AA1101">
            <v>45924</v>
          </cell>
          <cell r="AB1101" t="str">
            <v>Jayme Truong Sep 24, 2025 11:13 AM</v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  <cell r="AG1101">
            <v>45936</v>
          </cell>
          <cell r="AH1101" t="str">
            <v/>
          </cell>
          <cell r="AI1101" t="str">
            <v/>
          </cell>
        </row>
        <row r="1102">
          <cell r="C1102" t="str">
            <v>Charles Schwab</v>
          </cell>
          <cell r="D1102" t="str">
            <v/>
          </cell>
          <cell r="E1102" t="str">
            <v/>
          </cell>
          <cell r="F1102" t="str">
            <v>Service</v>
          </cell>
          <cell r="G1102" t="str">
            <v>Service Collected</v>
          </cell>
          <cell r="H1102" t="str">
            <v>No</v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>https://panda-windows-and-doors.monday.com/protected_static/21046287/resources/2444532603/10101 Charles Schwab.pdf</v>
          </cell>
          <cell r="O1102" t="str">
            <v/>
          </cell>
          <cell r="P1102" t="str">
            <v/>
          </cell>
          <cell r="Q1102" t="str">
            <v>https://panda-windows-and-doors.monday.com/protected_static/21046287/resources/2441623675/Service Form (9).pdf</v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>
            <v>1125</v>
          </cell>
          <cell r="W1102" t="str">
            <v>Annalene Conde Oct 7, 2025 3:12 PM</v>
          </cell>
          <cell r="X1102" t="str">
            <v/>
          </cell>
          <cell r="Y1102">
            <v>45924</v>
          </cell>
          <cell r="Z1102" t="str">
            <v/>
          </cell>
          <cell r="AA1102">
            <v>45924</v>
          </cell>
          <cell r="AB1102" t="str">
            <v>Jayme Truong Sep 24, 2025 4:17 PM</v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  <cell r="AG1102">
            <v>45937</v>
          </cell>
          <cell r="AH1102" t="str">
            <v/>
          </cell>
          <cell r="AI1102" t="str">
            <v/>
          </cell>
        </row>
        <row r="1103">
          <cell r="C1103">
            <v>17765</v>
          </cell>
          <cell r="D1103" t="str">
            <v/>
          </cell>
          <cell r="E1103" t="str">
            <v/>
          </cell>
          <cell r="F1103" t="str">
            <v>Service</v>
          </cell>
          <cell r="G1103" t="str">
            <v>Service Collected</v>
          </cell>
          <cell r="H1103" t="str">
            <v>No</v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>https://panda-windows-and-doors.monday.com/protected_static/21046287/resources/2469204970/10129 M-Core Const.pdf</v>
          </cell>
          <cell r="O1103" t="str">
            <v/>
          </cell>
          <cell r="P1103" t="str">
            <v/>
          </cell>
          <cell r="Q1103" t="str">
            <v>https://panda-windows-and-doors.monday.com/protected_static/21046287/resources/2468649599/Service Form.pdf</v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>
            <v>756</v>
          </cell>
          <cell r="W1103" t="str">
            <v>Annalene Conde Oct 8, 2025 2:26 PM</v>
          </cell>
          <cell r="X1103" t="str">
            <v/>
          </cell>
          <cell r="Y1103">
            <v>45937</v>
          </cell>
          <cell r="Z1103" t="str">
            <v/>
          </cell>
          <cell r="AA1103">
            <v>45937</v>
          </cell>
          <cell r="AB1103" t="str">
            <v>Jayme Truong Oct 7, 2025 8:38 AM</v>
          </cell>
          <cell r="AC1103" t="str">
            <v/>
          </cell>
          <cell r="AD1103" t="str">
            <v/>
          </cell>
          <cell r="AE1103" t="str">
            <v/>
          </cell>
          <cell r="AF1103" t="str">
            <v/>
          </cell>
          <cell r="AG1103">
            <v>45938</v>
          </cell>
          <cell r="AH1103" t="str">
            <v/>
          </cell>
          <cell r="AI1103" t="str">
            <v/>
          </cell>
        </row>
        <row r="1104">
          <cell r="C1104">
            <v>7644</v>
          </cell>
          <cell r="D1104" t="str">
            <v/>
          </cell>
          <cell r="E1104" t="str">
            <v/>
          </cell>
          <cell r="F1104" t="str">
            <v>Service</v>
          </cell>
          <cell r="G1104" t="str">
            <v>Service Collected</v>
          </cell>
          <cell r="H1104" t="str">
            <v>No</v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>https://panda-windows-and-doors.monday.com/protected_static/21046287/resources/2429693275/10070 Ultimate Installz.pdf</v>
          </cell>
          <cell r="O1104" t="str">
            <v/>
          </cell>
          <cell r="P1104" t="str">
            <v/>
          </cell>
          <cell r="Q1104" t="str">
            <v>https://panda-windows-and-doors.monday.com/protected_static/21046287/resources/2426120014/Service Form.pdf</v>
          </cell>
          <cell r="R1104" t="str">
            <v>https://panda-windows-and-doors.monday.com/protected_static/21046287/resources/2287468527/Ultimiate Installz Resale Certificate effective - 6-30-2025 - CA.pdf, https://panda-windows-and-doors.monday.com/protected_static/21046287/resources/2292062872/Ultimate Installz - California Resale Certificate  2-12- 2020 - CA.pdf</v>
          </cell>
          <cell r="S1104" t="str">
            <v/>
          </cell>
          <cell r="T1104" t="str">
            <v/>
          </cell>
          <cell r="U1104" t="str">
            <v/>
          </cell>
          <cell r="V1104">
            <v>129</v>
          </cell>
          <cell r="W1104" t="str">
            <v>Annalene Conde Oct 9, 2025 11:41 AM</v>
          </cell>
          <cell r="X1104" t="str">
            <v/>
          </cell>
          <cell r="Y1104">
            <v>45917</v>
          </cell>
          <cell r="Z1104" t="str">
            <v/>
          </cell>
          <cell r="AA1104">
            <v>45917</v>
          </cell>
          <cell r="AB1104" t="str">
            <v>Jayme Truong Sep 17, 2025 12:06 PM</v>
          </cell>
          <cell r="AC1104" t="str">
            <v/>
          </cell>
          <cell r="AD1104" t="str">
            <v/>
          </cell>
          <cell r="AE1104" t="str">
            <v/>
          </cell>
          <cell r="AF1104" t="str">
            <v/>
          </cell>
          <cell r="AG1104">
            <v>45939</v>
          </cell>
          <cell r="AH1104" t="str">
            <v/>
          </cell>
          <cell r="AI1104" t="str">
            <v/>
          </cell>
        </row>
        <row r="1105">
          <cell r="C1105">
            <v>20551</v>
          </cell>
          <cell r="D1105" t="str">
            <v/>
          </cell>
          <cell r="E1105" t="str">
            <v/>
          </cell>
          <cell r="F1105" t="str">
            <v>Service</v>
          </cell>
          <cell r="G1105" t="str">
            <v>Service Collected</v>
          </cell>
          <cell r="H1105" t="str">
            <v>No</v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>https://panda-windows-and-doors.monday.com/protected_static/21046287/resources/2454050882/10116 West Coast Window Glass.pdf</v>
          </cell>
          <cell r="O1105" t="str">
            <v/>
          </cell>
          <cell r="P1105" t="str">
            <v/>
          </cell>
          <cell r="Q1105" t="str">
            <v>https://panda-windows-and-doors.monday.com/protected_static/21046287/resources/2454018459/Service Form.pdf</v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>Annalene Conde Oct 9, 2025 4:51 PM</v>
          </cell>
          <cell r="X1105" t="str">
            <v/>
          </cell>
          <cell r="Y1105">
            <v>45930</v>
          </cell>
          <cell r="Z1105" t="str">
            <v/>
          </cell>
          <cell r="AA1105">
            <v>45930</v>
          </cell>
          <cell r="AB1105" t="str">
            <v>Jayme Truong Sep 30, 2025 8:32 AM</v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  <cell r="AG1105">
            <v>45939</v>
          </cell>
          <cell r="AH1105" t="str">
            <v/>
          </cell>
          <cell r="AI1105" t="str">
            <v/>
          </cell>
        </row>
        <row r="1106">
          <cell r="C1106" t="str">
            <v>BB Kite</v>
          </cell>
          <cell r="D1106" t="str">
            <v/>
          </cell>
          <cell r="E1106" t="str">
            <v/>
          </cell>
          <cell r="F1106" t="str">
            <v>Service</v>
          </cell>
          <cell r="G1106" t="str">
            <v>Service Collected</v>
          </cell>
          <cell r="H1106" t="str">
            <v>No</v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>https://panda-windows-and-doors.monday.com/protected_static/21046287/resources/2469327870/10130 Storm Frame Windows.pdf</v>
          </cell>
          <cell r="O1106" t="str">
            <v/>
          </cell>
          <cell r="P1106" t="str">
            <v/>
          </cell>
          <cell r="Q1106" t="str">
            <v>https://panda-windows-and-doors.monday.com/protected_static/21046287/resources/2469165668/Service Form (16).pdf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>
            <v>593</v>
          </cell>
          <cell r="W1106" t="str">
            <v>Annalene Conde Oct 10, 2025 2:12 PM</v>
          </cell>
          <cell r="X1106" t="str">
            <v/>
          </cell>
          <cell r="Y1106">
            <v>45937</v>
          </cell>
          <cell r="Z1106" t="str">
            <v/>
          </cell>
          <cell r="AA1106">
            <v>45937</v>
          </cell>
          <cell r="AB1106" t="str">
            <v>Jayme Truong Oct 7, 2025 10:36 AM</v>
          </cell>
          <cell r="AC1106" t="str">
            <v/>
          </cell>
          <cell r="AD1106" t="str">
            <v/>
          </cell>
          <cell r="AE1106" t="str">
            <v/>
          </cell>
          <cell r="AF1106" t="str">
            <v/>
          </cell>
          <cell r="AG1106">
            <v>45940</v>
          </cell>
          <cell r="AH1106" t="str">
            <v/>
          </cell>
          <cell r="AI1106" t="str">
            <v/>
          </cell>
        </row>
        <row r="1107">
          <cell r="C1107">
            <v>54704</v>
          </cell>
          <cell r="D1107" t="str">
            <v/>
          </cell>
          <cell r="E1107" t="str">
            <v/>
          </cell>
          <cell r="F1107" t="str">
            <v>Service</v>
          </cell>
          <cell r="G1107" t="str">
            <v>Service Collected</v>
          </cell>
          <cell r="H1107" t="str">
            <v>No</v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>https://panda-windows-and-doors.monday.com/protected_static/21046287/resources/2467019136/7650  Ultimate Installz.pdf</v>
          </cell>
          <cell r="O1107" t="str">
            <v/>
          </cell>
          <cell r="P1107" t="str">
            <v/>
          </cell>
          <cell r="Q1107" t="str">
            <v>https://panda-windows-and-doors.monday.com/protected_static/21046287/resources/2466810482/Service Form.pdf</v>
          </cell>
          <cell r="R1107" t="str">
            <v>https://panda-windows-and-doors.monday.com/protected_static/21046287/resources/2287468527/Ultimiate Installz Resale Certificate effective - 6-30-2025 - CA.pdf, https://panda-windows-and-doors.monday.com/protected_static/21046287/resources/2292062872/Ultimate Installz - California Resale Certificate  2-12- 2020 - CA.pdf</v>
          </cell>
          <cell r="S1107" t="str">
            <v/>
          </cell>
          <cell r="T1107" t="str">
            <v/>
          </cell>
          <cell r="U1107" t="str">
            <v/>
          </cell>
          <cell r="V1107">
            <v>272.60000000000002</v>
          </cell>
          <cell r="W1107" t="str">
            <v>Annalene Conde Oct 10, 2025 2:43 PM</v>
          </cell>
          <cell r="X1107" t="str">
            <v/>
          </cell>
          <cell r="Y1107">
            <v>45936</v>
          </cell>
          <cell r="Z1107" t="str">
            <v/>
          </cell>
          <cell r="AA1107">
            <v>45936</v>
          </cell>
          <cell r="AB1107" t="str">
            <v>Jayme Truong Oct 6, 2025 2:12 PM</v>
          </cell>
          <cell r="AC1107" t="str">
            <v/>
          </cell>
          <cell r="AD1107" t="str">
            <v/>
          </cell>
          <cell r="AE1107" t="str">
            <v/>
          </cell>
          <cell r="AF1107" t="str">
            <v/>
          </cell>
          <cell r="AG1107">
            <v>45940</v>
          </cell>
          <cell r="AH1107" t="str">
            <v/>
          </cell>
          <cell r="AI1107" t="str">
            <v/>
          </cell>
        </row>
        <row r="1108">
          <cell r="C1108">
            <v>58924</v>
          </cell>
          <cell r="D1108" t="str">
            <v/>
          </cell>
          <cell r="E1108" t="str">
            <v/>
          </cell>
          <cell r="F1108" t="str">
            <v>Service</v>
          </cell>
          <cell r="G1108" t="str">
            <v>Service Collected</v>
          </cell>
          <cell r="H1108" t="str">
            <v>No</v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>https://panda-windows-and-doors.monday.com/protected_static/21046287/resources/2463118671/10127 Ultimate installz.pdf</v>
          </cell>
          <cell r="O1108" t="str">
            <v/>
          </cell>
          <cell r="P1108" t="str">
            <v/>
          </cell>
          <cell r="Q1108" t="str">
            <v>https://panda-windows-and-doors.monday.com/protected_static/21046287/resources/2462442927/Service Form.pdf</v>
          </cell>
          <cell r="R1108" t="str">
            <v>https://panda-windows-and-doors.monday.com/protected_static/21046287/resources/2287468527/Ultimiate Installz Resale Certificate effective - 6-30-2025 - CA.pdf, https://panda-windows-and-doors.monday.com/protected_static/21046287/resources/2292062872/Ultimate Installz - California Resale Certificate  2-12- 2020 - CA.pdf</v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>Annalene Conde Oct 10, 2025 2:50 PM</v>
          </cell>
          <cell r="X1108" t="str">
            <v/>
          </cell>
          <cell r="Y1108">
            <v>45933</v>
          </cell>
          <cell r="Z1108" t="str">
            <v/>
          </cell>
          <cell r="AA1108">
            <v>45933</v>
          </cell>
          <cell r="AB1108" t="str">
            <v>Jayme Truong Oct 3, 2025 10:33 AM</v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  <cell r="AG1108">
            <v>45940</v>
          </cell>
          <cell r="AH1108" t="str">
            <v/>
          </cell>
          <cell r="AI1108" t="str">
            <v/>
          </cell>
        </row>
        <row r="1109">
          <cell r="C1109" t="str">
            <v>Douglas Schnorr</v>
          </cell>
          <cell r="D1109" t="str">
            <v/>
          </cell>
          <cell r="E1109" t="str">
            <v/>
          </cell>
          <cell r="F1109" t="str">
            <v>Service</v>
          </cell>
          <cell r="G1109" t="str">
            <v>Service Collected</v>
          </cell>
          <cell r="H1109" t="str">
            <v>No</v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>https://panda-windows-and-doors.monday.com/protected_static/21046287/resources/2472624888/10133 Douglas Schnorr.pdf</v>
          </cell>
          <cell r="O1109" t="str">
            <v/>
          </cell>
          <cell r="P1109" t="str">
            <v/>
          </cell>
          <cell r="Q1109" t="str">
            <v>https://panda-windows-and-doors.monday.com/protected_static/21046287/resources/2472514606/Service Form (18).pdf</v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>Annalene Conde Oct 10, 2025 3:18 PM</v>
          </cell>
          <cell r="X1109" t="str">
            <v/>
          </cell>
          <cell r="Y1109">
            <v>45938</v>
          </cell>
          <cell r="Z1109" t="str">
            <v/>
          </cell>
          <cell r="AA1109">
            <v>45938</v>
          </cell>
          <cell r="AB1109" t="str">
            <v>Jayme Truong Oct 8, 2025 11:16 AM</v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  <cell r="AG1109">
            <v>45940</v>
          </cell>
          <cell r="AH1109" t="str">
            <v/>
          </cell>
          <cell r="AI1109" t="str">
            <v/>
          </cell>
        </row>
        <row r="1110">
          <cell r="C1110">
            <v>18773.099999999999</v>
          </cell>
          <cell r="D1110" t="str">
            <v/>
          </cell>
          <cell r="E1110" t="str">
            <v/>
          </cell>
          <cell r="F1110" t="str">
            <v>Service</v>
          </cell>
          <cell r="G1110" t="str">
            <v>Service Collected</v>
          </cell>
          <cell r="H1110" t="str">
            <v>No</v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>https://panda-windows-and-doors.monday.com/protected_static/21046287/resources/2473380347/Service Form.pdf</v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>
            <v>407</v>
          </cell>
          <cell r="W1110" t="str">
            <v>Annalene Conde Oct 14, 2025 10:33 AM</v>
          </cell>
          <cell r="X1110" t="str">
            <v/>
          </cell>
          <cell r="Y1110">
            <v>45938</v>
          </cell>
          <cell r="Z1110" t="str">
            <v/>
          </cell>
          <cell r="AA1110">
            <v>45938</v>
          </cell>
          <cell r="AB1110" t="str">
            <v>Jayme Truong Oct 8, 2025 3:31 PM</v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  <cell r="AG1110">
            <v>45944</v>
          </cell>
          <cell r="AH1110" t="str">
            <v/>
          </cell>
          <cell r="AI1110" t="str">
            <v/>
          </cell>
        </row>
        <row r="1111">
          <cell r="C1111" t="str">
            <v>United California</v>
          </cell>
          <cell r="D1111" t="str">
            <v/>
          </cell>
          <cell r="E1111" t="str">
            <v/>
          </cell>
          <cell r="F1111" t="str">
            <v>Service</v>
          </cell>
          <cell r="G1111" t="str">
            <v>Service Collected</v>
          </cell>
          <cell r="H1111" t="str">
            <v>No</v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>https://panda-windows-and-doors.monday.com/protected_static/21046287/resources/2463135891/10128 United California Glass.pdf</v>
          </cell>
          <cell r="O1111" t="str">
            <v/>
          </cell>
          <cell r="P1111" t="str">
            <v/>
          </cell>
          <cell r="Q1111" t="str">
            <v>https://panda-windows-and-doors.monday.com/protected_static/21046287/resources/2462795552/Service Form (14).pdf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>
            <v>1962</v>
          </cell>
          <cell r="W1111" t="str">
            <v>Annalene Conde Oct 15, 2025 8:55 AM</v>
          </cell>
          <cell r="X1111" t="str">
            <v/>
          </cell>
          <cell r="Y1111">
            <v>45933</v>
          </cell>
          <cell r="Z1111" t="str">
            <v/>
          </cell>
          <cell r="AA1111">
            <v>45933</v>
          </cell>
          <cell r="AB1111" t="str">
            <v>Jayme Truong Oct 3, 2025 12:56 PM</v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  <cell r="AG1111">
            <v>45945</v>
          </cell>
          <cell r="AH1111" t="str">
            <v/>
          </cell>
          <cell r="AI1111" t="str">
            <v/>
          </cell>
        </row>
        <row r="1112">
          <cell r="C1112">
            <v>61348</v>
          </cell>
          <cell r="D1112" t="str">
            <v/>
          </cell>
          <cell r="E1112" t="str">
            <v/>
          </cell>
          <cell r="F1112" t="str">
            <v>Service</v>
          </cell>
          <cell r="G1112" t="str">
            <v>Service Collected</v>
          </cell>
          <cell r="H1112" t="str">
            <v>No</v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>https://panda-windows-and-doors.monday.com/protected_static/21046287/resources/2479173767/10138 Colorado West const.pdf</v>
          </cell>
          <cell r="O1112" t="str">
            <v/>
          </cell>
          <cell r="P1112" t="str">
            <v/>
          </cell>
          <cell r="Q1112" t="str">
            <v>https://panda-windows-and-doors.monday.com/protected_static/21046287/resources/2478742100/Service Form (19).pdf</v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>
            <v>279</v>
          </cell>
          <cell r="W1112" t="str">
            <v>Annalene Conde Oct 17, 2025 1:00 PM</v>
          </cell>
          <cell r="X1112" t="str">
            <v/>
          </cell>
          <cell r="Y1112">
            <v>45940</v>
          </cell>
          <cell r="Z1112" t="str">
            <v/>
          </cell>
          <cell r="AA1112">
            <v>45940</v>
          </cell>
          <cell r="AB1112" t="str">
            <v>Jayme Truong Oct 10, 2025 1:10 PM</v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  <cell r="AG1112">
            <v>45947</v>
          </cell>
          <cell r="AH1112" t="str">
            <v/>
          </cell>
          <cell r="AI1112" t="str">
            <v/>
          </cell>
        </row>
        <row r="1113">
          <cell r="C1113" t="str">
            <v>Academy Glass</v>
          </cell>
          <cell r="D1113" t="str">
            <v/>
          </cell>
          <cell r="E1113" t="str">
            <v/>
          </cell>
          <cell r="F1113" t="str">
            <v>Service</v>
          </cell>
          <cell r="G1113" t="str">
            <v>Service Collected</v>
          </cell>
          <cell r="H1113" t="str">
            <v>No</v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>https://panda-windows-and-doors.monday.com/protected_static/21046287/resources/2487723163/Service Form (20).pdf</v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>
            <v>160</v>
          </cell>
          <cell r="W1113" t="str">
            <v>Annalene Conde Oct 20, 2025 2:36 PM</v>
          </cell>
          <cell r="X1113" t="str">
            <v/>
          </cell>
          <cell r="Y1113">
            <v>45945</v>
          </cell>
          <cell r="Z1113" t="str">
            <v/>
          </cell>
          <cell r="AA1113">
            <v>45945</v>
          </cell>
          <cell r="AB1113" t="str">
            <v>Jayme Truong Oct 15, 2025 9:15 AM</v>
          </cell>
          <cell r="AC1113" t="str">
            <v/>
          </cell>
          <cell r="AD1113" t="str">
            <v/>
          </cell>
          <cell r="AE1113" t="str">
            <v/>
          </cell>
          <cell r="AF1113" t="str">
            <v/>
          </cell>
          <cell r="AG1113">
            <v>45950</v>
          </cell>
          <cell r="AH1113" t="str">
            <v/>
          </cell>
          <cell r="AI1113" t="str">
            <v/>
          </cell>
        </row>
        <row r="1114">
          <cell r="C1114">
            <v>20775</v>
          </cell>
          <cell r="D1114" t="str">
            <v/>
          </cell>
          <cell r="E1114" t="str">
            <v/>
          </cell>
          <cell r="F1114" t="str">
            <v>Service</v>
          </cell>
          <cell r="G1114" t="str">
            <v>Service Collected</v>
          </cell>
          <cell r="H1114" t="str">
            <v>No</v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>https://panda-windows-and-doors.monday.com/protected_static/21046287/resources/2459865271/10121 Marshall Zerbo.pdf</v>
          </cell>
          <cell r="O1114" t="str">
            <v/>
          </cell>
          <cell r="P1114" t="str">
            <v/>
          </cell>
          <cell r="Q1114" t="str">
            <v>https://panda-windows-and-doors.monday.com/protected_static/21046287/resources/2459723176/Service Form.pdf</v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>Annalene Conde Oct 20, 2025 2:39 PM</v>
          </cell>
          <cell r="X1114" t="str">
            <v/>
          </cell>
          <cell r="Y1114">
            <v>45932</v>
          </cell>
          <cell r="Z1114" t="str">
            <v/>
          </cell>
          <cell r="AA1114">
            <v>45932</v>
          </cell>
          <cell r="AB1114" t="str">
            <v>Jayme Truong Oct 2, 2025 10:43 AM</v>
          </cell>
          <cell r="AC1114" t="str">
            <v/>
          </cell>
          <cell r="AD1114" t="str">
            <v/>
          </cell>
          <cell r="AE1114" t="str">
            <v/>
          </cell>
          <cell r="AF1114" t="str">
            <v/>
          </cell>
          <cell r="AG1114">
            <v>45950</v>
          </cell>
          <cell r="AH1114" t="str">
            <v/>
          </cell>
          <cell r="AI1114" t="str">
            <v/>
          </cell>
        </row>
        <row r="1115">
          <cell r="C1115" t="str">
            <v>83055-S</v>
          </cell>
          <cell r="D1115" t="str">
            <v/>
          </cell>
          <cell r="E1115" t="str">
            <v/>
          </cell>
          <cell r="F1115" t="str">
            <v>Service</v>
          </cell>
          <cell r="G1115" t="str">
            <v>Service Collected</v>
          </cell>
          <cell r="H1115" t="str">
            <v>No</v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>https://panda-windows-and-doors.monday.com/protected_static/21046287/resources/2434831027/10075 Haley Greer Inc.pdf</v>
          </cell>
          <cell r="O1115" t="str">
            <v/>
          </cell>
          <cell r="P1115" t="str">
            <v/>
          </cell>
          <cell r="Q1115" t="str">
            <v>https://panda-windows-and-doors.monday.com/protected_static/21046287/resources/2431568589/Service Form (5).pdf</v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>Annalene Conde Oct 21, 2025 1:59 PM</v>
          </cell>
          <cell r="X1115" t="str">
            <v/>
          </cell>
          <cell r="Y1115">
            <v>45919</v>
          </cell>
          <cell r="Z1115" t="str">
            <v/>
          </cell>
          <cell r="AA1115">
            <v>45919</v>
          </cell>
          <cell r="AB1115" t="str">
            <v>Jayme Truong Sep 19, 2025 11:18 AM</v>
          </cell>
          <cell r="AC1115" t="str">
            <v/>
          </cell>
          <cell r="AD1115" t="str">
            <v/>
          </cell>
          <cell r="AE1115" t="str">
            <v/>
          </cell>
          <cell r="AF1115" t="str">
            <v/>
          </cell>
          <cell r="AG1115">
            <v>45951</v>
          </cell>
          <cell r="AH1115" t="str">
            <v/>
          </cell>
          <cell r="AI1115" t="str">
            <v/>
          </cell>
        </row>
        <row r="1116">
          <cell r="C1116">
            <v>66697.100000000006</v>
          </cell>
          <cell r="D1116" t="str">
            <v/>
          </cell>
          <cell r="E1116" t="str">
            <v/>
          </cell>
          <cell r="F1116" t="str">
            <v>Service</v>
          </cell>
          <cell r="G1116" t="str">
            <v>Service Collected</v>
          </cell>
          <cell r="H1116" t="str">
            <v>No</v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>https://panda-windows-and-doors.monday.com/protected_static/21046287/resources/2506202122/10167 Kevin Riley.pdf</v>
          </cell>
          <cell r="O1116" t="str">
            <v/>
          </cell>
          <cell r="P1116" t="str">
            <v/>
          </cell>
          <cell r="Q1116" t="str">
            <v>https://panda-windows-and-doors.monday.com/protected_static/21046287/resources/2506034494/SO Kevin Riley.pdf</v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>
            <v>378</v>
          </cell>
          <cell r="W1116" t="str">
            <v>Annalene Conde Oct 24, 2025 8:16 AM</v>
          </cell>
          <cell r="X1116" t="str">
            <v/>
          </cell>
          <cell r="Y1116">
            <v>45953</v>
          </cell>
          <cell r="Z1116" t="str">
            <v/>
          </cell>
          <cell r="AA1116">
            <v>45953</v>
          </cell>
          <cell r="AB1116" t="str">
            <v>Jayme Truong Oct 23, 2025 11:11 AM</v>
          </cell>
          <cell r="AC1116" t="str">
            <v/>
          </cell>
          <cell r="AD1116" t="str">
            <v/>
          </cell>
          <cell r="AE1116" t="str">
            <v/>
          </cell>
          <cell r="AF1116" t="str">
            <v/>
          </cell>
          <cell r="AG1116">
            <v>45954</v>
          </cell>
          <cell r="AH1116" t="str">
            <v/>
          </cell>
          <cell r="AI1116" t="str">
            <v/>
          </cell>
        </row>
        <row r="1117">
          <cell r="C1117">
            <v>1280</v>
          </cell>
          <cell r="D1117" t="str">
            <v/>
          </cell>
          <cell r="E1117" t="str">
            <v/>
          </cell>
          <cell r="F1117" t="str">
            <v>Service</v>
          </cell>
          <cell r="G1117" t="str">
            <v>Service Collected</v>
          </cell>
          <cell r="H1117" t="str">
            <v>No</v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>https://panda-windows-and-doors.monday.com/protected_static/21046287/resources/2505710372/10164 A3 Mechanical Inc.pdf</v>
          </cell>
          <cell r="O1117" t="str">
            <v/>
          </cell>
          <cell r="P1117" t="str">
            <v/>
          </cell>
          <cell r="Q1117" t="str">
            <v>https://panda-windows-and-doors.monday.com/protected_static/21046287/resources/2503095382/Service Form.pdf</v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>Annalene Conde Oct 28, 2025 11:02 AM</v>
          </cell>
          <cell r="X1117" t="str">
            <v/>
          </cell>
          <cell r="Y1117">
            <v>45952</v>
          </cell>
          <cell r="Z1117" t="str">
            <v/>
          </cell>
          <cell r="AA1117">
            <v>45952</v>
          </cell>
          <cell r="AB1117" t="str">
            <v>Jayme Truong Oct 22, 2025 10:51 AM</v>
          </cell>
          <cell r="AC1117" t="str">
            <v/>
          </cell>
          <cell r="AD1117" t="str">
            <v/>
          </cell>
          <cell r="AE1117" t="str">
            <v/>
          </cell>
          <cell r="AF1117" t="str">
            <v/>
          </cell>
          <cell r="AG1117">
            <v>45958</v>
          </cell>
          <cell r="AH1117" t="str">
            <v/>
          </cell>
          <cell r="AI1117" t="str">
            <v/>
          </cell>
        </row>
        <row r="1118">
          <cell r="C1118" t="str">
            <v>77126-S1</v>
          </cell>
          <cell r="D1118" t="str">
            <v/>
          </cell>
          <cell r="E1118" t="str">
            <v/>
          </cell>
          <cell r="F1118" t="str">
            <v>Service</v>
          </cell>
          <cell r="G1118" t="str">
            <v>Service Collected</v>
          </cell>
          <cell r="H1118" t="str">
            <v>No</v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>https://panda-windows-and-doors.monday.com/protected_static/21046287/resources/2509607683/SO Surf &amp; Sand.pdf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>
            <v>2750</v>
          </cell>
          <cell r="W1118" t="str">
            <v>Annalene Conde Oct 31, 2025 12:15 PM</v>
          </cell>
          <cell r="X1118" t="str">
            <v/>
          </cell>
          <cell r="Y1118">
            <v>45954</v>
          </cell>
          <cell r="Z1118" t="str">
            <v/>
          </cell>
          <cell r="AA1118">
            <v>45954</v>
          </cell>
          <cell r="AB1118" t="str">
            <v>Jayme Truong Oct 24, 2025 1:52 PM</v>
          </cell>
          <cell r="AC1118" t="str">
            <v/>
          </cell>
          <cell r="AD1118" t="str">
            <v/>
          </cell>
          <cell r="AE1118" t="str">
            <v/>
          </cell>
          <cell r="AF1118" t="str">
            <v/>
          </cell>
          <cell r="AG1118">
            <v>45961</v>
          </cell>
          <cell r="AH1118" t="str">
            <v/>
          </cell>
          <cell r="AI1118" t="str">
            <v/>
          </cell>
        </row>
        <row r="1119">
          <cell r="C1119" t="str">
            <v>Q63691</v>
          </cell>
          <cell r="D1119" t="str">
            <v/>
          </cell>
          <cell r="E1119" t="str">
            <v/>
          </cell>
          <cell r="F1119" t="str">
            <v>Service</v>
          </cell>
          <cell r="G1119" t="str">
            <v>Service Collected</v>
          </cell>
          <cell r="H1119" t="str">
            <v>No</v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>https://panda-windows-and-doors.monday.com/protected_static/21046287/resources/2491753329/Service Form (22).pdf</v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>
            <v>1510.74</v>
          </cell>
          <cell r="W1119" t="str">
            <v>Annalene Conde Nov 4, 2025 7:45 AM</v>
          </cell>
          <cell r="X1119" t="str">
            <v/>
          </cell>
          <cell r="Y1119">
            <v>45946</v>
          </cell>
          <cell r="Z1119" t="str">
            <v/>
          </cell>
          <cell r="AA1119">
            <v>45946</v>
          </cell>
          <cell r="AB1119" t="str">
            <v>Jayme Truong Oct 16, 2025 3:36 PM</v>
          </cell>
          <cell r="AC1119" t="str">
            <v/>
          </cell>
          <cell r="AD1119" t="str">
            <v/>
          </cell>
          <cell r="AE1119" t="str">
            <v/>
          </cell>
          <cell r="AF1119" t="str">
            <v/>
          </cell>
          <cell r="AG1119">
            <v>45965</v>
          </cell>
          <cell r="AH1119" t="str">
            <v/>
          </cell>
          <cell r="AI1119" t="str">
            <v/>
          </cell>
        </row>
        <row r="1120">
          <cell r="C1120">
            <v>79997</v>
          </cell>
          <cell r="D1120" t="str">
            <v/>
          </cell>
          <cell r="E1120" t="str">
            <v/>
          </cell>
          <cell r="F1120" t="str">
            <v>Service</v>
          </cell>
          <cell r="G1120" t="str">
            <v>Service Collected</v>
          </cell>
          <cell r="H1120" t="str">
            <v>No</v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>https://panda-windows-and-doors.monday.com/protected_static/21046287/resources/2515676354/10174 Curtis Glass.pdf</v>
          </cell>
          <cell r="O1120" t="str">
            <v/>
          </cell>
          <cell r="P1120" t="str">
            <v/>
          </cell>
          <cell r="Q1120" t="str">
            <v>https://panda-windows-and-doors.monday.com/protected_static/21046287/resources/2515178503/SO 79997.pdf</v>
          </cell>
          <cell r="R1120" t="str">
            <v>https://panda-windows-and-doors.monday.com/protected_static/21046287/resources/2000648819/Q79997 CHARING - B.O.M..pdf, https://panda-windows-and-doors.monday.com/protected_static/21046287/resources/2000648824/Q79997 CHARING - CUTLIST (MANUAL).pdf</v>
          </cell>
          <cell r="S1120" t="str">
            <v/>
          </cell>
          <cell r="T1120" t="str">
            <v/>
          </cell>
          <cell r="U1120" t="str">
            <v/>
          </cell>
          <cell r="V1120">
            <v>149</v>
          </cell>
          <cell r="W1120" t="str">
            <v>Annalene Conde Nov 4, 2025 9:05 AM</v>
          </cell>
          <cell r="X1120" t="str">
            <v/>
          </cell>
          <cell r="Y1120">
            <v>45958</v>
          </cell>
          <cell r="Z1120" t="str">
            <v/>
          </cell>
          <cell r="AA1120">
            <v>45958</v>
          </cell>
          <cell r="AB1120" t="str">
            <v>Jayme Truong Oct 28, 2025 8:58 AM</v>
          </cell>
          <cell r="AC1120" t="str">
            <v/>
          </cell>
          <cell r="AD1120" t="str">
            <v/>
          </cell>
          <cell r="AE1120" t="str">
            <v/>
          </cell>
          <cell r="AF1120" t="str">
            <v/>
          </cell>
          <cell r="AG1120">
            <v>45965</v>
          </cell>
          <cell r="AH1120" t="str">
            <v/>
          </cell>
          <cell r="AI1120" t="str">
            <v/>
          </cell>
        </row>
        <row r="1121">
          <cell r="C1121">
            <v>92111</v>
          </cell>
          <cell r="D1121" t="str">
            <v/>
          </cell>
          <cell r="E1121" t="str">
            <v/>
          </cell>
          <cell r="F1121" t="str">
            <v>Service</v>
          </cell>
          <cell r="G1121" t="str">
            <v>Service Collected</v>
          </cell>
          <cell r="H1121" t="str">
            <v>No</v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>https://panda-windows-and-doors.monday.com/protected_static/21046287/resources/2513634436/Service Form.pdf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>
            <v>230</v>
          </cell>
          <cell r="W1121" t="str">
            <v>Annalene Conde Nov 4, 2025 9:19 AM</v>
          </cell>
          <cell r="X1121" t="str">
            <v/>
          </cell>
          <cell r="Y1121">
            <v>45957</v>
          </cell>
          <cell r="Z1121" t="str">
            <v/>
          </cell>
          <cell r="AA1121">
            <v>45957</v>
          </cell>
          <cell r="AB1121" t="str">
            <v>Jayme Truong Oct 27, 2025 4:14 PM</v>
          </cell>
          <cell r="AC1121" t="str">
            <v/>
          </cell>
          <cell r="AD1121" t="str">
            <v/>
          </cell>
          <cell r="AE1121" t="str">
            <v/>
          </cell>
          <cell r="AF1121" t="str">
            <v/>
          </cell>
          <cell r="AG1121">
            <v>45965</v>
          </cell>
          <cell r="AH1121" t="str">
            <v/>
          </cell>
          <cell r="AI1121" t="str">
            <v/>
          </cell>
        </row>
        <row r="1122">
          <cell r="C1122">
            <v>63867.4</v>
          </cell>
          <cell r="D1122" t="str">
            <v/>
          </cell>
          <cell r="E1122" t="str">
            <v/>
          </cell>
          <cell r="F1122" t="str">
            <v>Service</v>
          </cell>
          <cell r="G1122" t="str">
            <v>Service Collected</v>
          </cell>
          <cell r="H1122" t="str">
            <v>No</v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>https://panda-windows-and-doors.monday.com/protected_static/21046287/resources/2522605551/SO Hardy.pdf</v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>
            <v>599</v>
          </cell>
          <cell r="W1122" t="str">
            <v>Annalene Conde Nov 4, 2025 9:54 AM</v>
          </cell>
          <cell r="X1122" t="str">
            <v/>
          </cell>
          <cell r="Y1122">
            <v>45960</v>
          </cell>
          <cell r="Z1122" t="str">
            <v/>
          </cell>
          <cell r="AA1122">
            <v>45960</v>
          </cell>
          <cell r="AB1122" t="str">
            <v>Jayme Truong Oct 30, 2025 2:45 PM</v>
          </cell>
          <cell r="AC1122" t="str">
            <v/>
          </cell>
          <cell r="AD1122" t="str">
            <v/>
          </cell>
          <cell r="AE1122" t="str">
            <v/>
          </cell>
          <cell r="AF1122" t="str">
            <v/>
          </cell>
          <cell r="AG1122">
            <v>45965</v>
          </cell>
          <cell r="AH1122" t="str">
            <v/>
          </cell>
          <cell r="AI1122" t="str">
            <v/>
          </cell>
        </row>
        <row r="1123">
          <cell r="C1123" t="str">
            <v>Lumen West LA</v>
          </cell>
          <cell r="D1123" t="str">
            <v/>
          </cell>
          <cell r="E1123" t="str">
            <v/>
          </cell>
          <cell r="F1123" t="str">
            <v>Service</v>
          </cell>
          <cell r="G1123" t="str">
            <v>Service Collected</v>
          </cell>
          <cell r="H1123" t="str">
            <v>No</v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>https://panda-windows-and-doors.monday.com/protected_static/21046287/resources/2521128970/SO Lumen West LA.pdf, https://panda-windows-and-doors.monday.com/protected_static/21046287/resources/2522709204/SO Lumen West LA.pdf</v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>
            <v>407</v>
          </cell>
          <cell r="W1123" t="str">
            <v>Annalene Conde Nov 4, 2025 10:07 AM</v>
          </cell>
          <cell r="X1123" t="str">
            <v/>
          </cell>
          <cell r="Y1123">
            <v>45960</v>
          </cell>
          <cell r="Z1123" t="str">
            <v/>
          </cell>
          <cell r="AA1123">
            <v>45960</v>
          </cell>
          <cell r="AB1123" t="str">
            <v>Jayme Truong Oct 30, 2025 8:25 AM</v>
          </cell>
          <cell r="AC1123" t="str">
            <v/>
          </cell>
          <cell r="AD1123" t="str">
            <v/>
          </cell>
          <cell r="AE1123" t="str">
            <v/>
          </cell>
          <cell r="AF1123" t="str">
            <v/>
          </cell>
          <cell r="AG1123">
            <v>45965</v>
          </cell>
          <cell r="AH1123" t="str">
            <v/>
          </cell>
          <cell r="AI1123" t="str">
            <v/>
          </cell>
        </row>
        <row r="1124">
          <cell r="C1124">
            <v>72257</v>
          </cell>
          <cell r="D1124" t="str">
            <v/>
          </cell>
          <cell r="E1124" t="str">
            <v/>
          </cell>
          <cell r="F1124" t="str">
            <v>Service</v>
          </cell>
          <cell r="G1124" t="str">
            <v>Service Collected</v>
          </cell>
          <cell r="H1124" t="str">
            <v>No</v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>https://panda-windows-and-doors.monday.com/protected_static/21046287/resources/2521626533/Service Form.pdf</v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>
            <v>366.2</v>
          </cell>
          <cell r="W1124" t="str">
            <v>Annalene Conde Nov 4, 2025 10:47 AM</v>
          </cell>
          <cell r="X1124" t="str">
            <v/>
          </cell>
          <cell r="Y1124">
            <v>45960</v>
          </cell>
          <cell r="Z1124" t="str">
            <v/>
          </cell>
          <cell r="AA1124">
            <v>45960</v>
          </cell>
          <cell r="AB1124" t="str">
            <v>Jayme Truong Oct 30, 2025 10:11 AM</v>
          </cell>
          <cell r="AC1124" t="str">
            <v/>
          </cell>
          <cell r="AD1124" t="str">
            <v/>
          </cell>
          <cell r="AE1124" t="str">
            <v/>
          </cell>
          <cell r="AF1124" t="str">
            <v/>
          </cell>
          <cell r="AG1124">
            <v>45965</v>
          </cell>
          <cell r="AH1124" t="str">
            <v/>
          </cell>
          <cell r="AI1124" t="str">
            <v/>
          </cell>
        </row>
        <row r="1125">
          <cell r="C1125">
            <v>75995</v>
          </cell>
          <cell r="D1125" t="str">
            <v/>
          </cell>
          <cell r="E1125" t="str">
            <v/>
          </cell>
          <cell r="F1125" t="str">
            <v>Service</v>
          </cell>
          <cell r="G1125" t="str">
            <v>Service Collected</v>
          </cell>
          <cell r="H1125" t="str">
            <v>No</v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>https://panda-windows-and-doors.monday.com/protected_static/21046287/resources/2529211806/10193 Grioux Glass.pdf</v>
          </cell>
          <cell r="O1125" t="str">
            <v/>
          </cell>
          <cell r="P1125" t="str">
            <v/>
          </cell>
          <cell r="Q1125" t="str">
            <v>https://panda-windows-and-doors.monday.com/protected_static/21046287/resources/2528363634/Service Form.pdf</v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>
            <v>79</v>
          </cell>
          <cell r="W1125" t="str">
            <v>Annalene Conde Nov 5, 2025 3:55 PM</v>
          </cell>
          <cell r="X1125" t="str">
            <v/>
          </cell>
          <cell r="Y1125">
            <v>45964</v>
          </cell>
          <cell r="Z1125" t="str">
            <v/>
          </cell>
          <cell r="AA1125">
            <v>45964</v>
          </cell>
          <cell r="AB1125" t="str">
            <v>Jayme Truong Nov 3, 2025 8:40 AM</v>
          </cell>
          <cell r="AC1125" t="str">
            <v/>
          </cell>
          <cell r="AD1125" t="str">
            <v/>
          </cell>
          <cell r="AE1125" t="str">
            <v/>
          </cell>
          <cell r="AF1125" t="str">
            <v/>
          </cell>
          <cell r="AG1125">
            <v>45966</v>
          </cell>
          <cell r="AH1125" t="str">
            <v/>
          </cell>
          <cell r="AI1125" t="str">
            <v/>
          </cell>
        </row>
        <row r="1126">
          <cell r="C1126">
            <v>56584</v>
          </cell>
          <cell r="D1126" t="str">
            <v/>
          </cell>
          <cell r="E1126" t="str">
            <v/>
          </cell>
          <cell r="F1126" t="str">
            <v>Service</v>
          </cell>
          <cell r="G1126" t="str">
            <v>Service Collected</v>
          </cell>
          <cell r="H1126" t="str">
            <v>No</v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>https://panda-windows-and-doors.monday.com/protected_static/21046287/resources/2531536090/10196 HD Maintenanace.pdf</v>
          </cell>
          <cell r="O1126" t="str">
            <v/>
          </cell>
          <cell r="P1126" t="str">
            <v/>
          </cell>
          <cell r="Q1126" t="str">
            <v>https://panda-windows-and-doors.monday.com/protected_static/21046287/resources/2529851064/SO HD Maintenance.pdf</v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>
            <v>125</v>
          </cell>
          <cell r="W1126" t="str">
            <v>Annalene Conde Nov 6, 2025 5:15 PM</v>
          </cell>
          <cell r="X1126" t="str">
            <v/>
          </cell>
          <cell r="Y1126">
            <v>45964</v>
          </cell>
          <cell r="Z1126" t="str">
            <v/>
          </cell>
          <cell r="AA1126">
            <v>45964</v>
          </cell>
          <cell r="AB1126" t="str">
            <v>Jayme Truong Nov 3, 2025 4:11 PM</v>
          </cell>
          <cell r="AC1126" t="str">
            <v/>
          </cell>
          <cell r="AD1126" t="str">
            <v/>
          </cell>
          <cell r="AE1126" t="str">
            <v/>
          </cell>
          <cell r="AF1126" t="str">
            <v/>
          </cell>
          <cell r="AG1126">
            <v>45967</v>
          </cell>
          <cell r="AH1126" t="str">
            <v/>
          </cell>
          <cell r="AI1126" t="str">
            <v/>
          </cell>
        </row>
        <row r="1127">
          <cell r="C1127">
            <v>70270</v>
          </cell>
          <cell r="D1127" t="str">
            <v/>
          </cell>
          <cell r="E1127" t="str">
            <v/>
          </cell>
          <cell r="F1127" t="str">
            <v>Service</v>
          </cell>
          <cell r="G1127" t="str">
            <v>Service Collected</v>
          </cell>
          <cell r="H1127" t="str">
            <v>No</v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>https://panda-windows-and-doors.monday.com/protected_static/21046287/resources/2548160152/Service Form.pdf</v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>
            <v>151313</v>
          </cell>
          <cell r="W1127" t="str">
            <v>Annalene Conde Nov 17, 2025 11:56 AM</v>
          </cell>
          <cell r="X1127" t="str">
            <v/>
          </cell>
          <cell r="Y1127">
            <v>45972</v>
          </cell>
          <cell r="Z1127" t="str">
            <v/>
          </cell>
          <cell r="AA1127">
            <v>45972</v>
          </cell>
          <cell r="AB1127" t="str">
            <v>Jayme Truong Nov 11, 2025 3:51 PM</v>
          </cell>
          <cell r="AC1127" t="str">
            <v/>
          </cell>
          <cell r="AD1127" t="str">
            <v/>
          </cell>
          <cell r="AE1127" t="str">
            <v/>
          </cell>
          <cell r="AF1127" t="str">
            <v/>
          </cell>
          <cell r="AG1127">
            <v>45978</v>
          </cell>
          <cell r="AH1127" t="str">
            <v/>
          </cell>
          <cell r="AI1127" t="str">
            <v/>
          </cell>
        </row>
        <row r="1128">
          <cell r="C1128" t="str">
            <v>JRB SERVICE</v>
          </cell>
          <cell r="D1128" t="str">
            <v/>
          </cell>
          <cell r="E1128" t="str">
            <v/>
          </cell>
          <cell r="F1128" t="str">
            <v>Service</v>
          </cell>
          <cell r="G1128" t="str">
            <v>Service Collected</v>
          </cell>
          <cell r="H1128" t="str">
            <v>No</v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>https://panda-windows-and-doors.monday.com/protected_static/21046287/resources/2547449602/SO JRB.pdf, https://panda-windows-and-doors.monday.com/protected_static/21046287/resources/2611266858/SO JRB.pdf</v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>
            <v>580.5</v>
          </cell>
          <cell r="W1128" t="str">
            <v>Annalene Conde Nov 17, 2025 2:03 PM</v>
          </cell>
          <cell r="X1128" t="str">
            <v/>
          </cell>
          <cell r="Y1128">
            <v>45972</v>
          </cell>
          <cell r="Z1128" t="str">
            <v/>
          </cell>
          <cell r="AA1128">
            <v>45972</v>
          </cell>
          <cell r="AB1128" t="str">
            <v>Jayme Truong Nov 11, 2025 11:22 AM</v>
          </cell>
          <cell r="AC1128" t="str">
            <v/>
          </cell>
          <cell r="AD1128" t="str">
            <v/>
          </cell>
          <cell r="AE1128" t="str">
            <v/>
          </cell>
          <cell r="AF1128" t="str">
            <v/>
          </cell>
          <cell r="AG1128">
            <v>45978</v>
          </cell>
          <cell r="AH1128" t="str">
            <v/>
          </cell>
          <cell r="AI1128" t="str">
            <v/>
          </cell>
        </row>
        <row r="1129">
          <cell r="C1129">
            <v>84241</v>
          </cell>
          <cell r="D1129" t="str">
            <v/>
          </cell>
          <cell r="E1129" t="str">
            <v/>
          </cell>
          <cell r="F1129" t="str">
            <v>Service</v>
          </cell>
          <cell r="G1129" t="str">
            <v>Service Collected</v>
          </cell>
          <cell r="H1129" t="str">
            <v>No</v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>https://panda-windows-and-doors.monday.com/protected_static/21046287/resources/2555421663/Service Form.pdf</v>
          </cell>
          <cell r="R1129" t="str">
            <v>https://panda-windows-and-doors.monday.com/protected_static/21046287/resources/2089208864/Q84241 WINDRUSH TRAIL - B.O.M.pdf, https://panda-windows-and-doors.monday.com/protected_static/21046287/resources/2089208861/Q84241 WINDRUSH TRAIL - CUTLIST (MANUAL).pdf</v>
          </cell>
          <cell r="S1129" t="str">
            <v>Completed - Closed Out</v>
          </cell>
          <cell r="T1129" t="str">
            <v/>
          </cell>
          <cell r="U1129" t="str">
            <v/>
          </cell>
          <cell r="V1129">
            <v>480.2</v>
          </cell>
          <cell r="W1129" t="str">
            <v>Annalene Conde Nov 18, 2025 2:09 PM</v>
          </cell>
          <cell r="X1129" t="str">
            <v/>
          </cell>
          <cell r="Y1129">
            <v>45975</v>
          </cell>
          <cell r="Z1129" t="str">
            <v/>
          </cell>
          <cell r="AA1129">
            <v>45975</v>
          </cell>
          <cell r="AB1129" t="str">
            <v>Jayme Truong Nov 14, 2025 8:29 AM</v>
          </cell>
          <cell r="AC1129" t="str">
            <v/>
          </cell>
          <cell r="AD1129" t="str">
            <v/>
          </cell>
          <cell r="AE1129" t="str">
            <v/>
          </cell>
          <cell r="AF1129" t="str">
            <v/>
          </cell>
          <cell r="AG1129">
            <v>45979</v>
          </cell>
          <cell r="AH1129" t="str">
            <v/>
          </cell>
          <cell r="AI1129" t="str">
            <v/>
          </cell>
        </row>
        <row r="1130">
          <cell r="C1130">
            <v>55555</v>
          </cell>
          <cell r="D1130" t="str">
            <v/>
          </cell>
          <cell r="E1130" t="str">
            <v/>
          </cell>
          <cell r="F1130" t="str">
            <v>Service</v>
          </cell>
          <cell r="G1130" t="str">
            <v>Service Collected</v>
          </cell>
          <cell r="H1130" t="str">
            <v>No</v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>https://panda-windows-and-doors.monday.com/protected_static/21046287/resources/2562479509/10235 Sandee Kumar.pdf</v>
          </cell>
          <cell r="O1130" t="str">
            <v/>
          </cell>
          <cell r="P1130" t="str">
            <v/>
          </cell>
          <cell r="Q1130" t="str">
            <v>https://panda-windows-and-doors.monday.com/protected_static/21046287/resources/2560659026/Service Form.pdf</v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>
            <v>329</v>
          </cell>
          <cell r="W1130" t="str">
            <v>Annalene Conde Nov 21, 2025 2:15 PM</v>
          </cell>
          <cell r="X1130" t="str">
            <v/>
          </cell>
          <cell r="Y1130">
            <v>45978</v>
          </cell>
          <cell r="Z1130" t="str">
            <v/>
          </cell>
          <cell r="AA1130">
            <v>45978</v>
          </cell>
          <cell r="AB1130" t="str">
            <v>Jayme Truong Nov 17, 2025 2:07 PM</v>
          </cell>
          <cell r="AC1130" t="str">
            <v/>
          </cell>
          <cell r="AD1130" t="str">
            <v/>
          </cell>
          <cell r="AE1130" t="str">
            <v/>
          </cell>
          <cell r="AF1130" t="str">
            <v/>
          </cell>
          <cell r="AG1130">
            <v>45982</v>
          </cell>
          <cell r="AH1130" t="str">
            <v/>
          </cell>
          <cell r="AI1130" t="str">
            <v/>
          </cell>
        </row>
        <row r="1131">
          <cell r="C1131" t="str">
            <v>Favtek</v>
          </cell>
          <cell r="D1131" t="str">
            <v/>
          </cell>
          <cell r="E1131" t="str">
            <v/>
          </cell>
          <cell r="F1131" t="str">
            <v>Service</v>
          </cell>
          <cell r="G1131" t="str">
            <v>Service Collected</v>
          </cell>
          <cell r="H1131" t="str">
            <v>No</v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>https://panda-windows-and-doors.monday.com/protected_static/21046287/resources/2571997539/SO Favtek.pdf</v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>Annalene Conde Nov 25, 2025 11:55 AM</v>
          </cell>
          <cell r="X1131" t="str">
            <v/>
          </cell>
          <cell r="Y1131">
            <v>45982</v>
          </cell>
          <cell r="Z1131" t="str">
            <v/>
          </cell>
          <cell r="AA1131">
            <v>45982</v>
          </cell>
          <cell r="AB1131" t="str">
            <v>Jayme Truong Nov 21, 2025 12:53 PM</v>
          </cell>
          <cell r="AC1131" t="str">
            <v/>
          </cell>
          <cell r="AD1131" t="str">
            <v/>
          </cell>
          <cell r="AE1131" t="str">
            <v/>
          </cell>
          <cell r="AF1131" t="str">
            <v/>
          </cell>
          <cell r="AG1131">
            <v>45986</v>
          </cell>
          <cell r="AH1131" t="str">
            <v/>
          </cell>
          <cell r="AI1131" t="str">
            <v/>
          </cell>
        </row>
        <row r="1132">
          <cell r="C1132">
            <v>500</v>
          </cell>
          <cell r="D1132" t="str">
            <v/>
          </cell>
          <cell r="E1132" t="str">
            <v/>
          </cell>
          <cell r="F1132" t="str">
            <v>Service</v>
          </cell>
          <cell r="G1132" t="str">
            <v>Service Collected</v>
          </cell>
          <cell r="H1132" t="str">
            <v>No</v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>https://panda-windows-and-doors.monday.com/protected_static/21046287/resources/2555882983/Service Form.pdf, https://panda-windows-and-doors.monday.com/protected_static/21046287/resources/2769372535/Service Form.pdf</v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>
            <v>942</v>
          </cell>
          <cell r="W1132" t="str">
            <v>Sean Lopez Dec 1, 2025 2:31 PM</v>
          </cell>
          <cell r="X1132" t="str">
            <v/>
          </cell>
          <cell r="Y1132">
            <v>45975</v>
          </cell>
          <cell r="Z1132" t="str">
            <v/>
          </cell>
          <cell r="AA1132">
            <v>45975</v>
          </cell>
          <cell r="AB1132" t="str">
            <v>Jayme Truong Nov 14, 2025 10:50 AM</v>
          </cell>
          <cell r="AC1132" t="str">
            <v/>
          </cell>
          <cell r="AD1132">
            <v>45992</v>
          </cell>
          <cell r="AE1132" t="str">
            <v/>
          </cell>
          <cell r="AF1132" t="str">
            <v/>
          </cell>
          <cell r="AG1132">
            <v>45992</v>
          </cell>
          <cell r="AH1132" t="str">
            <v/>
          </cell>
          <cell r="AI1132" t="str">
            <v/>
          </cell>
        </row>
        <row r="1133">
          <cell r="C1133" t="str">
            <v>59814.2-S</v>
          </cell>
          <cell r="D1133" t="str">
            <v/>
          </cell>
          <cell r="E1133" t="str">
            <v/>
          </cell>
          <cell r="F1133" t="str">
            <v>Service</v>
          </cell>
          <cell r="G1133" t="str">
            <v>Service Collected</v>
          </cell>
          <cell r="H1133" t="str">
            <v>No</v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>https://panda-windows-and-doors.monday.com/protected_static/21046287/resources/2535990942/Service Form.pdf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>
            <v>1100</v>
          </cell>
          <cell r="W1133" t="str">
            <v>Annalene Conde Dec 1, 2025 2:35 PM</v>
          </cell>
          <cell r="X1133" t="str">
            <v/>
          </cell>
          <cell r="Y1133">
            <v>45966</v>
          </cell>
          <cell r="Z1133" t="str">
            <v/>
          </cell>
          <cell r="AA1133">
            <v>45966</v>
          </cell>
          <cell r="AB1133" t="str">
            <v>Jayme Truong Nov 5, 2025 3:52 PM</v>
          </cell>
          <cell r="AC1133" t="str">
            <v/>
          </cell>
          <cell r="AD1133" t="str">
            <v/>
          </cell>
          <cell r="AE1133" t="str">
            <v/>
          </cell>
          <cell r="AF1133" t="str">
            <v/>
          </cell>
          <cell r="AG1133">
            <v>45992</v>
          </cell>
          <cell r="AH1133" t="str">
            <v/>
          </cell>
          <cell r="AI1133" t="str">
            <v/>
          </cell>
        </row>
        <row r="1134">
          <cell r="C1134">
            <v>505</v>
          </cell>
          <cell r="D1134" t="str">
            <v/>
          </cell>
          <cell r="E1134" t="str">
            <v/>
          </cell>
          <cell r="F1134" t="str">
            <v>Service</v>
          </cell>
          <cell r="G1134" t="str">
            <v>Service Collected</v>
          </cell>
          <cell r="H1134" t="str">
            <v>No</v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>https://panda-windows-and-doors.monday.com/protected_static/21046287/resources/2592180675/Service Form.pdf</v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>
            <v>1847.2</v>
          </cell>
          <cell r="W1134" t="str">
            <v>Annalene Conde Dec 4, 2025 10:30 AM</v>
          </cell>
          <cell r="X1134" t="str">
            <v/>
          </cell>
          <cell r="Y1134">
            <v>45993</v>
          </cell>
          <cell r="Z1134" t="str">
            <v/>
          </cell>
          <cell r="AA1134">
            <v>45993</v>
          </cell>
          <cell r="AB1134" t="str">
            <v>Jayme Truong Dec 2, 2025 9:15 AM</v>
          </cell>
          <cell r="AC1134" t="str">
            <v/>
          </cell>
          <cell r="AD1134" t="str">
            <v/>
          </cell>
          <cell r="AE1134" t="str">
            <v/>
          </cell>
          <cell r="AF1134" t="str">
            <v/>
          </cell>
          <cell r="AG1134">
            <v>45995</v>
          </cell>
          <cell r="AH1134" t="str">
            <v/>
          </cell>
          <cell r="AI1134" t="str">
            <v/>
          </cell>
        </row>
        <row r="1135">
          <cell r="C1135">
            <v>700</v>
          </cell>
          <cell r="D1135" t="str">
            <v/>
          </cell>
          <cell r="E1135" t="str">
            <v/>
          </cell>
          <cell r="F1135" t="str">
            <v>Service</v>
          </cell>
          <cell r="G1135" t="str">
            <v>Service Collected</v>
          </cell>
          <cell r="H1135" t="str">
            <v>No</v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>https://panda-windows-and-doors.monday.com/protected_static/21046287/resources/2578598192/Service Form.pdf</v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>
            <v>770</v>
          </cell>
          <cell r="W1135" t="str">
            <v>Annalene Conde Dec 4, 2025 11:55 AM</v>
          </cell>
          <cell r="X1135" t="str">
            <v/>
          </cell>
          <cell r="Y1135">
            <v>45986</v>
          </cell>
          <cell r="Z1135" t="str">
            <v/>
          </cell>
          <cell r="AA1135">
            <v>45986</v>
          </cell>
          <cell r="AB1135" t="str">
            <v>Jayme Truong Nov 25, 2025 8:52 AM</v>
          </cell>
          <cell r="AC1135" t="str">
            <v/>
          </cell>
          <cell r="AD1135" t="str">
            <v/>
          </cell>
          <cell r="AE1135" t="str">
            <v/>
          </cell>
          <cell r="AF1135" t="str">
            <v/>
          </cell>
          <cell r="AG1135">
            <v>45995</v>
          </cell>
          <cell r="AH1135" t="str">
            <v/>
          </cell>
          <cell r="AI1135" t="str">
            <v/>
          </cell>
        </row>
        <row r="1136">
          <cell r="C1136">
            <v>55352</v>
          </cell>
          <cell r="D1136" t="str">
            <v/>
          </cell>
          <cell r="E1136" t="str">
            <v/>
          </cell>
          <cell r="F1136" t="str">
            <v>Service</v>
          </cell>
          <cell r="G1136" t="str">
            <v>Service Collected</v>
          </cell>
          <cell r="H1136" t="str">
            <v>No</v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>https://panda-windows-and-doors.monday.com/protected_static/21046287/resources/2581633171/SO Hapuna Lot 7.pdf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>
            <v>370</v>
          </cell>
          <cell r="W1136" t="str">
            <v>Annalene Conde Dec 4, 2025 12:55 PM</v>
          </cell>
          <cell r="X1136" t="str">
            <v/>
          </cell>
          <cell r="Y1136">
            <v>45987</v>
          </cell>
          <cell r="Z1136" t="str">
            <v/>
          </cell>
          <cell r="AA1136">
            <v>45987</v>
          </cell>
          <cell r="AB1136" t="str">
            <v>Jayme Truong Nov 26, 2025 9:56 AM</v>
          </cell>
          <cell r="AC1136" t="str">
            <v/>
          </cell>
          <cell r="AD1136" t="str">
            <v/>
          </cell>
          <cell r="AE1136" t="str">
            <v/>
          </cell>
          <cell r="AF1136" t="str">
            <v/>
          </cell>
          <cell r="AG1136">
            <v>45995</v>
          </cell>
          <cell r="AH1136" t="str">
            <v/>
          </cell>
          <cell r="AI1136" t="str">
            <v/>
          </cell>
        </row>
        <row r="1137">
          <cell r="C1137">
            <v>80130</v>
          </cell>
          <cell r="D1137" t="str">
            <v/>
          </cell>
          <cell r="E1137" t="str">
            <v/>
          </cell>
          <cell r="F1137" t="str">
            <v>Service</v>
          </cell>
          <cell r="G1137" t="str">
            <v>Service Collected</v>
          </cell>
          <cell r="H1137" t="str">
            <v>No</v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>https://panda-windows-and-doors.monday.com/protected_static/21046287/resources/2593365095/SO 80130.pdf</v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>
            <v>840</v>
          </cell>
          <cell r="W1137" t="str">
            <v>Sean Lopez Dec 5, 2025 1:31 PM</v>
          </cell>
          <cell r="X1137" t="str">
            <v/>
          </cell>
          <cell r="Y1137">
            <v>45993</v>
          </cell>
          <cell r="Z1137" t="str">
            <v/>
          </cell>
          <cell r="AA1137">
            <v>45993</v>
          </cell>
          <cell r="AB1137" t="str">
            <v>Jayme Truong Dec 2, 2025 2:36 PM</v>
          </cell>
          <cell r="AC1137" t="str">
            <v/>
          </cell>
          <cell r="AD1137" t="str">
            <v/>
          </cell>
          <cell r="AE1137" t="str">
            <v/>
          </cell>
          <cell r="AF1137" t="str">
            <v/>
          </cell>
          <cell r="AG1137">
            <v>45996</v>
          </cell>
          <cell r="AH1137" t="str">
            <v/>
          </cell>
          <cell r="AI1137" t="str">
            <v/>
          </cell>
        </row>
        <row r="1138">
          <cell r="C1138">
            <v>77581</v>
          </cell>
          <cell r="D1138" t="str">
            <v/>
          </cell>
          <cell r="E1138" t="str">
            <v/>
          </cell>
          <cell r="F1138" t="str">
            <v>Service</v>
          </cell>
          <cell r="G1138" t="str">
            <v>Service Collected</v>
          </cell>
          <cell r="H1138" t="str">
            <v>No</v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>https://panda-windows-and-doors.monday.com/protected_static/21046287/resources/2590349903/SO Lighthouse Windows.pdf</v>
          </cell>
          <cell r="R1138" t="str">
            <v/>
          </cell>
          <cell r="S1138" t="str">
            <v>Completed - Closed Out</v>
          </cell>
          <cell r="T1138" t="str">
            <v/>
          </cell>
          <cell r="U1138" t="str">
            <v/>
          </cell>
          <cell r="V1138">
            <v>149</v>
          </cell>
          <cell r="W1138" t="str">
            <v>Annalene Conde Dec 5, 2025 1:40 PM</v>
          </cell>
          <cell r="X1138" t="str">
            <v/>
          </cell>
          <cell r="Y1138">
            <v>45992</v>
          </cell>
          <cell r="Z1138" t="str">
            <v/>
          </cell>
          <cell r="AA1138">
            <v>45992</v>
          </cell>
          <cell r="AB1138" t="str">
            <v>Jayme Truong Dec 1, 2025 3:51 PM</v>
          </cell>
          <cell r="AC1138" t="str">
            <v/>
          </cell>
          <cell r="AD1138" t="str">
            <v/>
          </cell>
          <cell r="AE1138" t="str">
            <v/>
          </cell>
          <cell r="AF1138" t="str">
            <v/>
          </cell>
          <cell r="AG1138">
            <v>45996</v>
          </cell>
          <cell r="AH1138" t="str">
            <v/>
          </cell>
          <cell r="AI1138" t="str">
            <v/>
          </cell>
        </row>
        <row r="1139">
          <cell r="C1139">
            <v>75021</v>
          </cell>
          <cell r="D1139" t="str">
            <v/>
          </cell>
          <cell r="E1139" t="str">
            <v/>
          </cell>
          <cell r="F1139" t="str">
            <v>Service</v>
          </cell>
          <cell r="G1139" t="str">
            <v>Service Collected</v>
          </cell>
          <cell r="H1139" t="str">
            <v>No</v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>https://panda-windows-and-doors.monday.com/protected_static/21046287/resources/2569520033/SO SBCS.pdf</v>
          </cell>
          <cell r="R1139" t="str">
            <v/>
          </cell>
          <cell r="S1139" t="str">
            <v>Completed - Closed Out</v>
          </cell>
          <cell r="T1139" t="str">
            <v/>
          </cell>
          <cell r="U1139" t="str">
            <v/>
          </cell>
          <cell r="V1139">
            <v>149</v>
          </cell>
          <cell r="W1139" t="str">
            <v>Annalene Conde Dec 8, 2025 9:10 AM</v>
          </cell>
          <cell r="X1139" t="str">
            <v/>
          </cell>
          <cell r="Y1139">
            <v>45981</v>
          </cell>
          <cell r="Z1139" t="str">
            <v/>
          </cell>
          <cell r="AA1139">
            <v>45981</v>
          </cell>
          <cell r="AB1139" t="str">
            <v>Jayme Truong Nov 20, 2025 2:51 PM</v>
          </cell>
          <cell r="AC1139" t="str">
            <v/>
          </cell>
          <cell r="AD1139" t="str">
            <v/>
          </cell>
          <cell r="AE1139" t="str">
            <v/>
          </cell>
          <cell r="AF1139" t="str">
            <v/>
          </cell>
          <cell r="AG1139">
            <v>45999</v>
          </cell>
          <cell r="AH1139" t="str">
            <v/>
          </cell>
          <cell r="AI1139" t="str">
            <v/>
          </cell>
        </row>
        <row r="1140">
          <cell r="C1140" t="str">
            <v>81237-S</v>
          </cell>
          <cell r="D1140" t="str">
            <v/>
          </cell>
          <cell r="E1140" t="str">
            <v/>
          </cell>
          <cell r="F1140" t="str">
            <v>Service</v>
          </cell>
          <cell r="G1140" t="str">
            <v>Service Collected</v>
          </cell>
          <cell r="H1140" t="str">
            <v>No</v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>https://panda-windows-and-doors.monday.com/protected_static/21046287/resources/2589271513/SO Stone Cloud.pdf</v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>
            <v>1865.37</v>
          </cell>
          <cell r="W1140" t="str">
            <v>Annalene Conde Dec 9, 2025 1:56 PM</v>
          </cell>
          <cell r="X1140" t="str">
            <v/>
          </cell>
          <cell r="Y1140">
            <v>45992</v>
          </cell>
          <cell r="Z1140" t="str">
            <v/>
          </cell>
          <cell r="AA1140">
            <v>45992</v>
          </cell>
          <cell r="AB1140" t="str">
            <v>Jayme Truong Dec 1, 2025 10:39 AM</v>
          </cell>
          <cell r="AC1140" t="str">
            <v/>
          </cell>
          <cell r="AD1140" t="str">
            <v/>
          </cell>
          <cell r="AE1140" t="str">
            <v/>
          </cell>
          <cell r="AF1140" t="str">
            <v/>
          </cell>
          <cell r="AG1140">
            <v>46000</v>
          </cell>
          <cell r="AH1140" t="str">
            <v/>
          </cell>
          <cell r="AI1140" t="str">
            <v/>
          </cell>
        </row>
        <row r="1141">
          <cell r="C1141">
            <v>15798</v>
          </cell>
          <cell r="D1141" t="str">
            <v/>
          </cell>
          <cell r="E1141" t="str">
            <v/>
          </cell>
          <cell r="F1141" t="str">
            <v>Service</v>
          </cell>
          <cell r="G1141" t="str">
            <v>Service Collected</v>
          </cell>
          <cell r="H1141" t="str">
            <v>No</v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>https://panda-windows-and-doors.monday.com/protected_static/21046287/resources/2438812534/10087 Polk Architectural.pdf</v>
          </cell>
          <cell r="O1141" t="str">
            <v/>
          </cell>
          <cell r="P1141" t="str">
            <v/>
          </cell>
          <cell r="Q1141" t="str">
            <v>https://panda-windows-and-doors.monday.com/protected_static/21046287/resources/2438765407/Service Form (7).pdf</v>
          </cell>
          <cell r="R1141" t="str">
            <v>https://panda-windows-and-doors.monday.com/protected_static/21046287/resources/2289664617/Polk Architectural - Sales &amp; Use Tax Permit  12-3-2019 - TX.pdf</v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>Annalene Conde Dec 10, 2025 1:55 PM</v>
          </cell>
          <cell r="X1141" t="str">
            <v/>
          </cell>
          <cell r="Y1141">
            <v>45923</v>
          </cell>
          <cell r="Z1141" t="str">
            <v/>
          </cell>
          <cell r="AA1141">
            <v>45923</v>
          </cell>
          <cell r="AB1141" t="str">
            <v>Jayme Truong Sep 23, 2025 3:39 PM</v>
          </cell>
          <cell r="AC1141" t="str">
            <v/>
          </cell>
          <cell r="AD1141" t="str">
            <v/>
          </cell>
          <cell r="AE1141" t="str">
            <v/>
          </cell>
          <cell r="AF1141" t="str">
            <v/>
          </cell>
          <cell r="AG1141">
            <v>46001</v>
          </cell>
          <cell r="AH1141" t="str">
            <v/>
          </cell>
          <cell r="AI1141" t="str">
            <v/>
          </cell>
        </row>
        <row r="1142">
          <cell r="C1142">
            <v>70247</v>
          </cell>
          <cell r="D1142" t="str">
            <v/>
          </cell>
          <cell r="E1142" t="str">
            <v/>
          </cell>
          <cell r="F1142" t="str">
            <v>Service</v>
          </cell>
          <cell r="G1142" t="str">
            <v>Service Collected</v>
          </cell>
          <cell r="H1142" t="str">
            <v>No</v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>https://panda-windows-and-doors.monday.com/protected_static/21046287/resources/2595683623/Service Form.pdf</v>
          </cell>
          <cell r="R1142" t="str">
            <v>https://panda-windows-and-doors.monday.com/protected_static/21046287/resources/1935641640/Q70247_TS60_UTS60_R2-BOM.pdf, https://panda-windows-and-doors.monday.com/protected_static/21046287/resources/1935641644/MF 4586 Q70247 BNT - CUTLIST (GINERI).pdf, https://panda-windows-and-doors.monday.com/protected_static/21046287/resources/1935641641/MF 4586 Q70247 BNT - OPT.pdf</v>
          </cell>
          <cell r="S1142" t="str">
            <v>Completed - Closed Out</v>
          </cell>
          <cell r="T1142" t="str">
            <v/>
          </cell>
          <cell r="U1142" t="str">
            <v/>
          </cell>
          <cell r="V1142">
            <v>775</v>
          </cell>
          <cell r="W1142" t="str">
            <v>Annalene Conde Dec 11, 2025 3:17 PM</v>
          </cell>
          <cell r="X1142" t="str">
            <v/>
          </cell>
          <cell r="Y1142">
            <v>45994</v>
          </cell>
          <cell r="Z1142" t="str">
            <v/>
          </cell>
          <cell r="AA1142">
            <v>45994</v>
          </cell>
          <cell r="AB1142" t="str">
            <v>Jayme Truong Dec 3, 2025 9:59 AM</v>
          </cell>
          <cell r="AC1142" t="str">
            <v/>
          </cell>
          <cell r="AD1142">
            <v>46002</v>
          </cell>
          <cell r="AE1142" t="str">
            <v/>
          </cell>
          <cell r="AF1142" t="str">
            <v/>
          </cell>
          <cell r="AG1142">
            <v>46002</v>
          </cell>
          <cell r="AH1142" t="str">
            <v/>
          </cell>
          <cell r="AI1142" t="str">
            <v/>
          </cell>
        </row>
        <row r="1143">
          <cell r="C1143">
            <v>17765</v>
          </cell>
          <cell r="D1143" t="str">
            <v/>
          </cell>
          <cell r="E1143" t="str">
            <v/>
          </cell>
          <cell r="F1143" t="str">
            <v>Service</v>
          </cell>
          <cell r="G1143" t="str">
            <v>Service Collected</v>
          </cell>
          <cell r="H1143" t="str">
            <v>No</v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>https://panda-windows-and-doors.monday.com/protected_static/21046287/resources/2607535734/Service Form.pdf</v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>
            <v>558</v>
          </cell>
          <cell r="W1143" t="str">
            <v>Annalene Conde Dec 11, 2025 3:25 PM</v>
          </cell>
          <cell r="X1143" t="str">
            <v/>
          </cell>
          <cell r="Y1143">
            <v>46000</v>
          </cell>
          <cell r="Z1143" t="str">
            <v/>
          </cell>
          <cell r="AA1143">
            <v>46000</v>
          </cell>
          <cell r="AB1143" t="str">
            <v>Jayme Truong Dec 9, 2025 9:45 AM</v>
          </cell>
          <cell r="AC1143" t="str">
            <v/>
          </cell>
          <cell r="AD1143" t="str">
            <v/>
          </cell>
          <cell r="AE1143" t="str">
            <v/>
          </cell>
          <cell r="AF1143" t="str">
            <v/>
          </cell>
          <cell r="AG1143">
            <v>46002</v>
          </cell>
          <cell r="AH1143" t="str">
            <v/>
          </cell>
          <cell r="AI1143" t="str">
            <v/>
          </cell>
        </row>
        <row r="1144">
          <cell r="C1144" t="str">
            <v>81237.S</v>
          </cell>
          <cell r="D1144" t="str">
            <v/>
          </cell>
          <cell r="E1144" t="str">
            <v/>
          </cell>
          <cell r="F1144" t="str">
            <v>Service</v>
          </cell>
          <cell r="G1144" t="str">
            <v>Service Collected</v>
          </cell>
          <cell r="H1144" t="str">
            <v>No</v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>https://panda-windows-and-doors.monday.com/protected_static/21046287/resources/2605530600/SO Stone Cloud 1.pdf</v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>
            <v>840</v>
          </cell>
          <cell r="W1144" t="str">
            <v>Annalene Conde Dec 11, 2025 3:28 PM</v>
          </cell>
          <cell r="X1144" t="str">
            <v/>
          </cell>
          <cell r="Y1144">
            <v>45999</v>
          </cell>
          <cell r="Z1144" t="str">
            <v/>
          </cell>
          <cell r="AA1144">
            <v>45999</v>
          </cell>
          <cell r="AB1144" t="str">
            <v>Jayme Truong Dec 8, 2025 1:43 PM</v>
          </cell>
          <cell r="AC1144" t="str">
            <v/>
          </cell>
          <cell r="AD1144" t="str">
            <v/>
          </cell>
          <cell r="AE1144" t="str">
            <v/>
          </cell>
          <cell r="AF1144" t="str">
            <v/>
          </cell>
          <cell r="AG1144">
            <v>46002</v>
          </cell>
          <cell r="AH1144" t="str">
            <v/>
          </cell>
          <cell r="AI1144" t="str">
            <v/>
          </cell>
        </row>
        <row r="1145">
          <cell r="C1145">
            <v>61117</v>
          </cell>
          <cell r="D1145" t="str">
            <v/>
          </cell>
          <cell r="E1145" t="str">
            <v/>
          </cell>
          <cell r="F1145" t="str">
            <v>Service</v>
          </cell>
          <cell r="G1145" t="str">
            <v>Service Collected</v>
          </cell>
          <cell r="H1145" t="str">
            <v>No</v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>https://panda-windows-and-doors.monday.com/protected_static/21046287/resources/2562454197/10234 Dwayne Book.pdf</v>
          </cell>
          <cell r="O1145" t="str">
            <v/>
          </cell>
          <cell r="P1145" t="str">
            <v/>
          </cell>
          <cell r="Q1145" t="str">
            <v>https://panda-windows-and-doors.monday.com/protected_static/21046287/resources/2560214310/Service Form.pdf</v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>
            <v>642</v>
          </cell>
          <cell r="W1145" t="str">
            <v>Annalene Conde Dec 15, 2025 12:59 PM</v>
          </cell>
          <cell r="X1145" t="str">
            <v/>
          </cell>
          <cell r="Y1145">
            <v>45978</v>
          </cell>
          <cell r="Z1145" t="str">
            <v/>
          </cell>
          <cell r="AA1145">
            <v>45978</v>
          </cell>
          <cell r="AB1145" t="str">
            <v>Jayme Truong Nov 17, 2025 12:19 PM</v>
          </cell>
          <cell r="AC1145" t="str">
            <v/>
          </cell>
          <cell r="AD1145" t="str">
            <v/>
          </cell>
          <cell r="AE1145" t="str">
            <v/>
          </cell>
          <cell r="AF1145" t="str">
            <v/>
          </cell>
          <cell r="AG1145">
            <v>46006</v>
          </cell>
          <cell r="AH1145" t="str">
            <v/>
          </cell>
          <cell r="AI1145" t="str">
            <v/>
          </cell>
        </row>
        <row r="1146">
          <cell r="C1146">
            <v>79258.100000000006</v>
          </cell>
          <cell r="D1146" t="str">
            <v/>
          </cell>
          <cell r="E1146" t="str">
            <v/>
          </cell>
          <cell r="F1146" t="str">
            <v>Service</v>
          </cell>
          <cell r="G1146" t="str">
            <v>Service Collected</v>
          </cell>
          <cell r="H1146" t="str">
            <v>No</v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>https://panda-windows-and-doors.monday.com/protected_static/21046287/resources/2597041942/SO Vortex.pdf</v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>
            <v>1043</v>
          </cell>
          <cell r="W1146" t="str">
            <v>Annalene Conde Dec 15, 2025 2:46 PM</v>
          </cell>
          <cell r="X1146" t="str">
            <v/>
          </cell>
          <cell r="Y1146">
            <v>45994</v>
          </cell>
          <cell r="Z1146" t="str">
            <v/>
          </cell>
          <cell r="AA1146">
            <v>45994</v>
          </cell>
          <cell r="AB1146" t="str">
            <v>Jayme Truong Dec 3, 2025 4:37 PM</v>
          </cell>
          <cell r="AC1146" t="str">
            <v/>
          </cell>
          <cell r="AD1146" t="str">
            <v/>
          </cell>
          <cell r="AE1146" t="str">
            <v/>
          </cell>
          <cell r="AF1146" t="str">
            <v/>
          </cell>
          <cell r="AG1146">
            <v>46006</v>
          </cell>
          <cell r="AH1146" t="str">
            <v/>
          </cell>
          <cell r="AI1146" t="str">
            <v/>
          </cell>
        </row>
        <row r="1147">
          <cell r="C1147">
            <v>55352.1</v>
          </cell>
          <cell r="D1147" t="str">
            <v/>
          </cell>
          <cell r="E1147" t="str">
            <v/>
          </cell>
          <cell r="F1147" t="str">
            <v>Service</v>
          </cell>
          <cell r="G1147" t="str">
            <v>Service Collected</v>
          </cell>
          <cell r="H1147" t="str">
            <v>No</v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>https://panda-windows-and-doors.monday.com/protected_static/21046287/resources/2620978495/SO Hapuna Beach.pdf, https://panda-windows-and-doors.monday.com/protected_static/21046287/resources/2627876798/10295.jpg</v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>
            <v>149</v>
          </cell>
          <cell r="W1147" t="str">
            <v>Annalene Conde Dec 22, 2025 8:48 AM</v>
          </cell>
          <cell r="X1147" t="str">
            <v/>
          </cell>
          <cell r="Y1147">
            <v>46006</v>
          </cell>
          <cell r="Z1147" t="str">
            <v/>
          </cell>
          <cell r="AA1147">
            <v>46006</v>
          </cell>
          <cell r="AB1147" t="str">
            <v>Jayme Truong Dec 15, 2025 10:32 AM</v>
          </cell>
          <cell r="AC1147" t="str">
            <v/>
          </cell>
          <cell r="AD1147" t="str">
            <v/>
          </cell>
          <cell r="AE1147" t="str">
            <v/>
          </cell>
          <cell r="AF1147" t="str">
            <v/>
          </cell>
          <cell r="AG1147">
            <v>46013</v>
          </cell>
          <cell r="AH1147" t="str">
            <v/>
          </cell>
          <cell r="AI1147" t="str">
            <v/>
          </cell>
        </row>
        <row r="1148">
          <cell r="C1148" t="str">
            <v>1280-1</v>
          </cell>
          <cell r="D1148" t="str">
            <v/>
          </cell>
          <cell r="E1148" t="str">
            <v/>
          </cell>
          <cell r="F1148" t="str">
            <v>Service</v>
          </cell>
          <cell r="G1148" t="str">
            <v>Service Collected</v>
          </cell>
          <cell r="H1148" t="str">
            <v>No</v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>https://panda-windows-and-doors.monday.com/protected_static/21046287/resources/2633187179/Service Form.pdf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>Annalene Conde Dec 22, 2025 9:04 AM</v>
          </cell>
          <cell r="X1148" t="str">
            <v/>
          </cell>
          <cell r="Y1148">
            <v>46010</v>
          </cell>
          <cell r="Z1148" t="str">
            <v/>
          </cell>
          <cell r="AA1148">
            <v>46010</v>
          </cell>
          <cell r="AB1148" t="str">
            <v>Jayme Truong Dec 19, 2025 11:33 AM</v>
          </cell>
          <cell r="AC1148" t="str">
            <v/>
          </cell>
          <cell r="AD1148" t="str">
            <v/>
          </cell>
          <cell r="AE1148" t="str">
            <v/>
          </cell>
          <cell r="AF1148" t="str">
            <v/>
          </cell>
          <cell r="AG1148">
            <v>46013</v>
          </cell>
          <cell r="AH1148" t="str">
            <v/>
          </cell>
          <cell r="AI1148" t="str">
            <v/>
          </cell>
        </row>
        <row r="1149">
          <cell r="C1149" t="str">
            <v>77126-S</v>
          </cell>
          <cell r="D1149" t="str">
            <v/>
          </cell>
          <cell r="E1149" t="str">
            <v/>
          </cell>
          <cell r="F1149" t="str">
            <v>Service</v>
          </cell>
          <cell r="G1149" t="str">
            <v>Service Collected</v>
          </cell>
          <cell r="H1149" t="str">
            <v>No</v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>https://panda-windows-and-doors.monday.com/protected_static/21046287/resources/2614214988/SO Surf and Sand.pdf</v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>
            <v>443</v>
          </cell>
          <cell r="W1149" t="str">
            <v>Annalene Conde Dec 22, 2025 9:10 AM</v>
          </cell>
          <cell r="X1149" t="str">
            <v/>
          </cell>
          <cell r="Y1149">
            <v>46002</v>
          </cell>
          <cell r="Z1149" t="str">
            <v/>
          </cell>
          <cell r="AA1149">
            <v>46002</v>
          </cell>
          <cell r="AB1149" t="str">
            <v>Jayme Truong Dec 11, 2025 11:53 AM</v>
          </cell>
          <cell r="AC1149" t="str">
            <v/>
          </cell>
          <cell r="AD1149" t="str">
            <v/>
          </cell>
          <cell r="AE1149" t="str">
            <v/>
          </cell>
          <cell r="AF1149" t="str">
            <v/>
          </cell>
          <cell r="AG1149">
            <v>46013</v>
          </cell>
          <cell r="AH1149" t="str">
            <v/>
          </cell>
          <cell r="AI1149" t="str">
            <v/>
          </cell>
        </row>
        <row r="1150">
          <cell r="C1150">
            <v>74689</v>
          </cell>
          <cell r="D1150" t="str">
            <v/>
          </cell>
          <cell r="E1150" t="str">
            <v/>
          </cell>
          <cell r="F1150" t="str">
            <v>Service</v>
          </cell>
          <cell r="G1150" t="str">
            <v>Service Collected</v>
          </cell>
          <cell r="H1150" t="str">
            <v>No</v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>https://panda-windows-and-doors.monday.com/protected_static/21046287/resources/2562326017/10232 PDS Health.pdf</v>
          </cell>
          <cell r="O1150" t="str">
            <v/>
          </cell>
          <cell r="P1150" t="str">
            <v/>
          </cell>
          <cell r="Q1150" t="str">
            <v>https://panda-windows-and-doors.monday.com/protected_static/21046287/resources/2559474165/Service Form.pdf</v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>
            <v>179</v>
          </cell>
          <cell r="W1150" t="str">
            <v>Elizabet Lopez Dec 22, 2025 3:30 PM</v>
          </cell>
          <cell r="X1150" t="str">
            <v/>
          </cell>
          <cell r="Y1150">
            <v>45978</v>
          </cell>
          <cell r="Z1150" t="str">
            <v/>
          </cell>
          <cell r="AA1150">
            <v>45978</v>
          </cell>
          <cell r="AB1150" t="str">
            <v>Jayme Truong Nov 17, 2025 8:25 AM</v>
          </cell>
          <cell r="AC1150" t="str">
            <v/>
          </cell>
          <cell r="AD1150" t="str">
            <v/>
          </cell>
          <cell r="AE1150" t="str">
            <v/>
          </cell>
          <cell r="AF1150" t="str">
            <v/>
          </cell>
          <cell r="AG1150">
            <v>46013</v>
          </cell>
          <cell r="AH1150" t="str">
            <v/>
          </cell>
          <cell r="AI1150" t="str">
            <v/>
          </cell>
        </row>
        <row r="1151">
          <cell r="C1151">
            <v>68607</v>
          </cell>
          <cell r="D1151" t="str">
            <v/>
          </cell>
          <cell r="E1151" t="str">
            <v/>
          </cell>
          <cell r="F1151" t="str">
            <v>Service</v>
          </cell>
          <cell r="G1151" t="str">
            <v>Service Collected</v>
          </cell>
          <cell r="H1151" t="str">
            <v>No</v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>https://panda-windows-and-doors.monday.com/protected_static/21046287/resources/2636502749/Service Form.pdf</v>
          </cell>
          <cell r="R1151" t="str">
            <v>https://panda-windows-and-doors.monday.com/protected_static/21046287/resources/2289230373/Ken Caryl Glass Inc - Sales Tax License effective 12-22-2023- CO.pdf</v>
          </cell>
          <cell r="S1151" t="str">
            <v/>
          </cell>
          <cell r="T1151" t="str">
            <v/>
          </cell>
          <cell r="U1151" t="str">
            <v/>
          </cell>
          <cell r="V1151">
            <v>257</v>
          </cell>
          <cell r="W1151" t="str">
            <v>Annalene Conde Dec 29, 2025 11:43 AM</v>
          </cell>
          <cell r="X1151" t="str">
            <v/>
          </cell>
          <cell r="Y1151">
            <v>46013</v>
          </cell>
          <cell r="Z1151" t="str">
            <v/>
          </cell>
          <cell r="AA1151">
            <v>46013</v>
          </cell>
          <cell r="AB1151" t="str">
            <v>Jayme Truong Dec 22, 2025 10:56 AM</v>
          </cell>
          <cell r="AC1151" t="str">
            <v/>
          </cell>
          <cell r="AD1151" t="str">
            <v/>
          </cell>
          <cell r="AE1151" t="str">
            <v/>
          </cell>
          <cell r="AF1151" t="str">
            <v/>
          </cell>
          <cell r="AG1151">
            <v>46020</v>
          </cell>
          <cell r="AH1151" t="str">
            <v/>
          </cell>
          <cell r="AI1151" t="str">
            <v/>
          </cell>
        </row>
        <row r="1152">
          <cell r="C1152">
            <v>70320</v>
          </cell>
          <cell r="D1152" t="str">
            <v/>
          </cell>
          <cell r="E1152" t="str">
            <v/>
          </cell>
          <cell r="F1152" t="str">
            <v>Service</v>
          </cell>
          <cell r="G1152" t="str">
            <v>Service Collected</v>
          </cell>
          <cell r="H1152" t="str">
            <v>No</v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>https://panda-windows-and-doors.monday.com/protected_static/21046287/resources/2639696249/10314 Glass Systems Inc.pdf</v>
          </cell>
          <cell r="O1152" t="str">
            <v/>
          </cell>
          <cell r="P1152" t="str">
            <v/>
          </cell>
          <cell r="Q1152" t="str">
            <v>https://panda-windows-and-doors.monday.com/protected_static/21046287/resources/2639672498/Service Form.pdf</v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>
            <v>2507.16</v>
          </cell>
          <cell r="W1152" t="str">
            <v>Annalene Conde Dec 31, 2025 11:50 AM</v>
          </cell>
          <cell r="X1152" t="str">
            <v/>
          </cell>
          <cell r="Y1152">
            <v>46014</v>
          </cell>
          <cell r="Z1152" t="str">
            <v/>
          </cell>
          <cell r="AA1152">
            <v>46014</v>
          </cell>
          <cell r="AB1152" t="str">
            <v>Jayme Truong Dec 23, 2025 4:32 PM</v>
          </cell>
          <cell r="AC1152" t="str">
            <v/>
          </cell>
          <cell r="AD1152" t="str">
            <v/>
          </cell>
          <cell r="AE1152" t="str">
            <v/>
          </cell>
          <cell r="AF1152" t="str">
            <v/>
          </cell>
          <cell r="AG1152">
            <v>46022</v>
          </cell>
          <cell r="AH1152" t="str">
            <v/>
          </cell>
          <cell r="AI1152" t="str">
            <v/>
          </cell>
        </row>
        <row r="1153">
          <cell r="C1153" t="str">
            <v>80718-S2</v>
          </cell>
          <cell r="D1153" t="str">
            <v/>
          </cell>
          <cell r="E1153" t="str">
            <v/>
          </cell>
          <cell r="F1153" t="str">
            <v>Service</v>
          </cell>
          <cell r="G1153" t="str">
            <v>Service Collected</v>
          </cell>
          <cell r="H1153" t="str">
            <v>No</v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>https://panda-windows-and-doors.monday.com/protected_static/21046287/resources/2610270801/SO 80718-S2.pdf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>
            <v>730</v>
          </cell>
          <cell r="W1153" t="str">
            <v>Annalene Conde Dec 31, 2025 2:13 PM</v>
          </cell>
          <cell r="X1153" t="str">
            <v/>
          </cell>
          <cell r="Y1153">
            <v>46001</v>
          </cell>
          <cell r="Z1153" t="str">
            <v/>
          </cell>
          <cell r="AA1153">
            <v>46001</v>
          </cell>
          <cell r="AB1153" t="str">
            <v>Jayme Truong Dec 10, 2025 8:39 AM</v>
          </cell>
          <cell r="AC1153" t="str">
            <v/>
          </cell>
          <cell r="AD1153" t="str">
            <v/>
          </cell>
          <cell r="AE1153" t="str">
            <v/>
          </cell>
          <cell r="AF1153" t="str">
            <v/>
          </cell>
          <cell r="AG1153">
            <v>46022</v>
          </cell>
          <cell r="AH1153" t="str">
            <v/>
          </cell>
          <cell r="AI1153" t="str">
            <v/>
          </cell>
        </row>
        <row r="1154">
          <cell r="C1154" t="str">
            <v>1280-S</v>
          </cell>
          <cell r="D1154" t="str">
            <v/>
          </cell>
          <cell r="E1154" t="str">
            <v/>
          </cell>
          <cell r="F1154" t="str">
            <v>Service</v>
          </cell>
          <cell r="G1154" t="str">
            <v>Service Collected</v>
          </cell>
          <cell r="H1154" t="str">
            <v>No</v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>https://panda-windows-and-doors.monday.com/protected_static/21046287/resources/2665672508/Service Form (60).pdf</v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>
            <v>232.62</v>
          </cell>
          <cell r="W1154" t="str">
            <v>Annalene Conde Jan 8, 2026 12:48 PM</v>
          </cell>
          <cell r="X1154" t="str">
            <v/>
          </cell>
          <cell r="Y1154">
            <v>46029</v>
          </cell>
          <cell r="Z1154" t="str">
            <v/>
          </cell>
          <cell r="AA1154">
            <v>46029</v>
          </cell>
          <cell r="AB1154" t="str">
            <v>Jayme Truong Jan 7, 2026 1:23 PM</v>
          </cell>
          <cell r="AC1154" t="str">
            <v/>
          </cell>
          <cell r="AD1154" t="str">
            <v/>
          </cell>
          <cell r="AE1154" t="str">
            <v/>
          </cell>
          <cell r="AF1154" t="str">
            <v/>
          </cell>
          <cell r="AG1154">
            <v>46030</v>
          </cell>
          <cell r="AH1154" t="str">
            <v/>
          </cell>
          <cell r="AI1154" t="str">
            <v/>
          </cell>
        </row>
        <row r="1155">
          <cell r="C1155" t="str">
            <v>Vortex CA</v>
          </cell>
          <cell r="D1155" t="str">
            <v/>
          </cell>
          <cell r="E1155" t="str">
            <v/>
          </cell>
          <cell r="F1155" t="str">
            <v>Service</v>
          </cell>
          <cell r="G1155" t="str">
            <v>Service Collected</v>
          </cell>
          <cell r="H1155" t="str">
            <v>No</v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>https://panda-windows-and-doors.monday.com/protected_static/21046287/resources/2652208816/Service Form (58).pdf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>
            <v>254</v>
          </cell>
          <cell r="W1155" t="str">
            <v>Annalene Conde Jan 9, 2026 2:31 PM</v>
          </cell>
          <cell r="X1155" t="str">
            <v/>
          </cell>
          <cell r="Y1155">
            <v>46024</v>
          </cell>
          <cell r="Z1155" t="str">
            <v/>
          </cell>
          <cell r="AA1155">
            <v>46024</v>
          </cell>
          <cell r="AB1155" t="str">
            <v>Jayme Truong Jan 2, 2026 10:18 AM</v>
          </cell>
          <cell r="AC1155" t="str">
            <v/>
          </cell>
          <cell r="AD1155" t="str">
            <v/>
          </cell>
          <cell r="AE1155" t="str">
            <v/>
          </cell>
          <cell r="AF1155" t="str">
            <v/>
          </cell>
          <cell r="AG1155">
            <v>46031</v>
          </cell>
          <cell r="AH1155" t="str">
            <v/>
          </cell>
          <cell r="AI1155" t="str">
            <v/>
          </cell>
        </row>
        <row r="1156">
          <cell r="C1156" t="str">
            <v>76890-S</v>
          </cell>
          <cell r="D1156" t="str">
            <v/>
          </cell>
          <cell r="E1156" t="str">
            <v/>
          </cell>
          <cell r="F1156" t="str">
            <v>Service</v>
          </cell>
          <cell r="G1156" t="str">
            <v>Service Collected</v>
          </cell>
          <cell r="H1156" t="str">
            <v>No</v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>https://panda-windows-and-doors.monday.com/protected_static/21046287/resources/2469563336/7656 Polk Architectural.pdf</v>
          </cell>
          <cell r="O1156" t="str">
            <v/>
          </cell>
          <cell r="P1156" t="str">
            <v/>
          </cell>
          <cell r="Q1156" t="str">
            <v>https://panda-windows-and-doors.monday.com/protected_static/21046287/resources/2469336684/Service Form (17).pdf</v>
          </cell>
          <cell r="R1156" t="str">
            <v>https://panda-windows-and-doors.monday.com/protected_static/21046287/resources/2289664617/Polk Architectural - Sales &amp; Use Tax Permit  12-3-2019 - TX.pdf</v>
          </cell>
          <cell r="S1156" t="str">
            <v/>
          </cell>
          <cell r="T1156" t="str">
            <v/>
          </cell>
          <cell r="U1156" t="str">
            <v/>
          </cell>
          <cell r="V1156">
            <v>5599</v>
          </cell>
          <cell r="W1156" t="str">
            <v>Annalene Conde Jan 13, 2026 12:55 PM</v>
          </cell>
          <cell r="X1156" t="str">
            <v/>
          </cell>
          <cell r="Y1156">
            <v>45937</v>
          </cell>
          <cell r="Z1156" t="str">
            <v/>
          </cell>
          <cell r="AA1156">
            <v>45937</v>
          </cell>
          <cell r="AB1156" t="str">
            <v>Jayme Truong Oct 7, 2025 11:27 AM</v>
          </cell>
          <cell r="AC1156" t="str">
            <v/>
          </cell>
          <cell r="AD1156" t="str">
            <v/>
          </cell>
          <cell r="AE1156" t="str">
            <v/>
          </cell>
          <cell r="AF1156" t="str">
            <v/>
          </cell>
          <cell r="AG1156">
            <v>46035</v>
          </cell>
          <cell r="AH1156" t="str">
            <v/>
          </cell>
          <cell r="AI1156" t="str">
            <v/>
          </cell>
        </row>
        <row r="1157">
          <cell r="C1157" t="str">
            <v>Cornerstone</v>
          </cell>
          <cell r="D1157" t="str">
            <v/>
          </cell>
          <cell r="E1157" t="str">
            <v/>
          </cell>
          <cell r="F1157" t="str">
            <v>Service</v>
          </cell>
          <cell r="G1157" t="str">
            <v>Service Collected</v>
          </cell>
          <cell r="H1157" t="str">
            <v>No</v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>https://panda-windows-and-doors.monday.com/protected_static/21046287/resources/2679237966/Service Form (65).pdf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>
            <v>3139.5</v>
          </cell>
          <cell r="W1157" t="str">
            <v>Annalene Conde Jan 14, 2026 1:28 PM</v>
          </cell>
          <cell r="X1157" t="str">
            <v/>
          </cell>
          <cell r="Y1157">
            <v>46035</v>
          </cell>
          <cell r="Z1157" t="str">
            <v/>
          </cell>
          <cell r="AA1157">
            <v>46035</v>
          </cell>
          <cell r="AB1157" t="str">
            <v>Annalene Conde Jan 13, 2026 11:56 AM</v>
          </cell>
          <cell r="AC1157" t="str">
            <v/>
          </cell>
          <cell r="AD1157" t="str">
            <v/>
          </cell>
          <cell r="AE1157" t="str">
            <v/>
          </cell>
          <cell r="AF1157" t="str">
            <v/>
          </cell>
          <cell r="AG1157">
            <v>46036</v>
          </cell>
          <cell r="AH1157" t="str">
            <v/>
          </cell>
          <cell r="AI1157" t="str">
            <v/>
          </cell>
        </row>
        <row r="1158">
          <cell r="C1158">
            <v>54704.1</v>
          </cell>
          <cell r="D1158" t="str">
            <v/>
          </cell>
          <cell r="E1158" t="str">
            <v/>
          </cell>
          <cell r="F1158" t="str">
            <v>Service</v>
          </cell>
          <cell r="G1158" t="str">
            <v>Service Collected</v>
          </cell>
          <cell r="H1158" t="str">
            <v>No</v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>https://panda-windows-and-doors.monday.com/protected_static/21046287/resources/2667775412/Service Form (61).pdf</v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>
            <v>209</v>
          </cell>
          <cell r="W1158" t="str">
            <v>Annalene Conde Jan 14, 2026 1:49 PM</v>
          </cell>
          <cell r="X1158" t="str">
            <v/>
          </cell>
          <cell r="Y1158">
            <v>46030</v>
          </cell>
          <cell r="Z1158" t="str">
            <v/>
          </cell>
          <cell r="AA1158">
            <v>46030</v>
          </cell>
          <cell r="AB1158" t="str">
            <v>Jayme Truong Jan 8, 2026 8:34 AM</v>
          </cell>
          <cell r="AC1158" t="str">
            <v/>
          </cell>
          <cell r="AD1158" t="str">
            <v/>
          </cell>
          <cell r="AE1158" t="str">
            <v/>
          </cell>
          <cell r="AF1158" t="str">
            <v/>
          </cell>
          <cell r="AG1158">
            <v>46036</v>
          </cell>
          <cell r="AH1158" t="str">
            <v/>
          </cell>
          <cell r="AI1158" t="str">
            <v/>
          </cell>
        </row>
        <row r="1159">
          <cell r="C1159">
            <v>75035</v>
          </cell>
          <cell r="D1159" t="str">
            <v/>
          </cell>
          <cell r="E1159" t="str">
            <v/>
          </cell>
          <cell r="F1159" t="str">
            <v>Service</v>
          </cell>
          <cell r="G1159" t="str">
            <v>Service Collected</v>
          </cell>
          <cell r="H1159" t="str">
            <v>No</v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>https://panda-windows-and-doors.monday.com/protected_static/21046287/resources/2599845784/SO 75035.pdf</v>
          </cell>
          <cell r="R1159" t="str">
            <v>https://panda-windows-and-doors.monday.com/protected_static/21046287/resources/2287688110/Giroux Glass Tax Exemption Certificate 3-1-2021.pdf</v>
          </cell>
          <cell r="S1159" t="str">
            <v/>
          </cell>
          <cell r="T1159" t="str">
            <v/>
          </cell>
          <cell r="U1159" t="str">
            <v/>
          </cell>
          <cell r="V1159">
            <v>535</v>
          </cell>
          <cell r="W1159" t="str">
            <v>Annalene Conde Jan 14, 2026 2:51 PM</v>
          </cell>
          <cell r="X1159" t="str">
            <v/>
          </cell>
          <cell r="Y1159">
            <v>45995</v>
          </cell>
          <cell r="Z1159" t="str">
            <v/>
          </cell>
          <cell r="AA1159">
            <v>45995</v>
          </cell>
          <cell r="AB1159" t="str">
            <v>Jayme Truong Dec 4, 2025 4:03 PM</v>
          </cell>
          <cell r="AC1159" t="str">
            <v/>
          </cell>
          <cell r="AD1159" t="str">
            <v/>
          </cell>
          <cell r="AE1159" t="str">
            <v/>
          </cell>
          <cell r="AF1159" t="str">
            <v/>
          </cell>
          <cell r="AG1159">
            <v>46036</v>
          </cell>
          <cell r="AH1159" t="str">
            <v/>
          </cell>
          <cell r="AI1159" t="str">
            <v/>
          </cell>
        </row>
        <row r="1160">
          <cell r="C1160">
            <v>70898</v>
          </cell>
          <cell r="D1160" t="str">
            <v/>
          </cell>
          <cell r="E1160" t="str">
            <v/>
          </cell>
          <cell r="F1160" t="str">
            <v>Service</v>
          </cell>
          <cell r="G1160" t="str">
            <v>Service Collected</v>
          </cell>
          <cell r="H1160" t="str">
            <v>No</v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>https://panda-windows-and-doors.monday.com/protected_static/21046287/resources/2604600737/Service Form.pdf</v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>
            <v>250.95</v>
          </cell>
          <cell r="W1160" t="str">
            <v>Annalene Conde Jan 14, 2026 3:41 PM</v>
          </cell>
          <cell r="X1160" t="str">
            <v/>
          </cell>
          <cell r="Y1160">
            <v>45999</v>
          </cell>
          <cell r="Z1160" t="str">
            <v/>
          </cell>
          <cell r="AA1160">
            <v>45999</v>
          </cell>
          <cell r="AB1160" t="str">
            <v>Jayme Truong Dec 8, 2025 8:44 AM</v>
          </cell>
          <cell r="AC1160" t="str">
            <v/>
          </cell>
          <cell r="AD1160" t="str">
            <v/>
          </cell>
          <cell r="AE1160" t="str">
            <v/>
          </cell>
          <cell r="AF1160" t="str">
            <v/>
          </cell>
          <cell r="AG1160">
            <v>46036</v>
          </cell>
          <cell r="AH1160" t="str">
            <v/>
          </cell>
          <cell r="AI1160" t="str">
            <v/>
          </cell>
        </row>
        <row r="1161">
          <cell r="C1161">
            <v>59868</v>
          </cell>
          <cell r="D1161" t="str">
            <v/>
          </cell>
          <cell r="E1161" t="str">
            <v/>
          </cell>
          <cell r="F1161" t="str">
            <v>Service</v>
          </cell>
          <cell r="G1161" t="str">
            <v>Service Collected</v>
          </cell>
          <cell r="H1161" t="str">
            <v>No</v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>https://panda-windows-and-doors.monday.com/protected_static/21046287/resources/2679786137/Service Form (66).pdf</v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>Annalene Conde Jan 15, 2026 8:06 AM</v>
          </cell>
          <cell r="X1161" t="str">
            <v/>
          </cell>
          <cell r="Y1161">
            <v>46035</v>
          </cell>
          <cell r="Z1161" t="str">
            <v/>
          </cell>
          <cell r="AA1161">
            <v>46035</v>
          </cell>
          <cell r="AB1161" t="str">
            <v>Annalene Conde Jan 13, 2026 2:34 PM</v>
          </cell>
          <cell r="AC1161" t="str">
            <v/>
          </cell>
          <cell r="AD1161" t="str">
            <v/>
          </cell>
          <cell r="AE1161" t="str">
            <v/>
          </cell>
          <cell r="AF1161" t="str">
            <v/>
          </cell>
          <cell r="AG1161">
            <v>46037</v>
          </cell>
          <cell r="AH1161" t="str">
            <v/>
          </cell>
          <cell r="AI1161" t="str">
            <v/>
          </cell>
        </row>
        <row r="1162">
          <cell r="C1162">
            <v>61117.2</v>
          </cell>
          <cell r="D1162" t="str">
            <v/>
          </cell>
          <cell r="E1162" t="str">
            <v/>
          </cell>
          <cell r="F1162" t="str">
            <v>Service</v>
          </cell>
          <cell r="G1162" t="str">
            <v>Service Collected</v>
          </cell>
          <cell r="H1162" t="str">
            <v>No</v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>https://panda-windows-and-doors.monday.com/protected_static/21046287/resources/2685753266/Service Form.pdf</v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>Annalene Conde Jan 19, 2026 9:20 AM</v>
          </cell>
          <cell r="X1162" t="str">
            <v/>
          </cell>
          <cell r="Y1162">
            <v>46037</v>
          </cell>
          <cell r="Z1162" t="str">
            <v/>
          </cell>
          <cell r="AA1162">
            <v>46037</v>
          </cell>
          <cell r="AB1162" t="str">
            <v>Annalene Conde Jan 15, 2026 11:16 AM</v>
          </cell>
          <cell r="AC1162" t="str">
            <v/>
          </cell>
          <cell r="AD1162" t="str">
            <v/>
          </cell>
          <cell r="AE1162" t="str">
            <v/>
          </cell>
          <cell r="AF1162" t="str">
            <v/>
          </cell>
          <cell r="AG1162">
            <v>46041</v>
          </cell>
          <cell r="AH1162" t="str">
            <v/>
          </cell>
          <cell r="AI1162" t="str">
            <v/>
          </cell>
        </row>
        <row r="1163">
          <cell r="C1163">
            <v>17765</v>
          </cell>
          <cell r="D1163" t="str">
            <v/>
          </cell>
          <cell r="E1163" t="str">
            <v/>
          </cell>
          <cell r="F1163" t="str">
            <v>Service</v>
          </cell>
          <cell r="G1163" t="str">
            <v>Service Collected</v>
          </cell>
          <cell r="H1163" t="str">
            <v>No</v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>https://panda-windows-and-doors.monday.com/protected_static/21046287/resources/2682300954/Service Form.pdf, https://panda-windows-and-doors.monday.com/protected_static/21046287/resources/2987319009/Service Form.pdf</v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>
            <v>1638.63</v>
          </cell>
          <cell r="W1163" t="str">
            <v>Annalene Conde Jan 19, 2026 9:22 AM</v>
          </cell>
          <cell r="X1163" t="str">
            <v/>
          </cell>
          <cell r="Y1163">
            <v>46036</v>
          </cell>
          <cell r="Z1163" t="str">
            <v/>
          </cell>
          <cell r="AA1163">
            <v>46036</v>
          </cell>
          <cell r="AB1163" t="str">
            <v>Annalene Conde Jan 14, 2026 10:12 AM</v>
          </cell>
          <cell r="AC1163" t="str">
            <v/>
          </cell>
          <cell r="AD1163" t="str">
            <v/>
          </cell>
          <cell r="AE1163" t="str">
            <v/>
          </cell>
          <cell r="AF1163" t="str">
            <v/>
          </cell>
          <cell r="AG1163">
            <v>46041</v>
          </cell>
          <cell r="AH1163" t="str">
            <v/>
          </cell>
          <cell r="AI1163" t="str">
            <v/>
          </cell>
        </row>
        <row r="1164">
          <cell r="C1164">
            <v>2580</v>
          </cell>
          <cell r="D1164" t="str">
            <v/>
          </cell>
          <cell r="E1164" t="str">
            <v/>
          </cell>
          <cell r="F1164" t="str">
            <v>Service</v>
          </cell>
          <cell r="G1164" t="str">
            <v>Service Collected</v>
          </cell>
          <cell r="H1164" t="str">
            <v>No</v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>https://panda-windows-and-doors.monday.com/protected_static/21046287/resources/2699834714/Service Form.pdf</v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>Annalene Conde Jan 28, 2026 1:41 PM</v>
          </cell>
          <cell r="X1164" t="str">
            <v/>
          </cell>
          <cell r="Y1164">
            <v>46043</v>
          </cell>
          <cell r="Z1164" t="str">
            <v/>
          </cell>
          <cell r="AA1164">
            <v>46043</v>
          </cell>
          <cell r="AB1164" t="str">
            <v>Annalene Conde Jan 21, 2026 11:46 AM</v>
          </cell>
          <cell r="AC1164" t="str">
            <v/>
          </cell>
          <cell r="AD1164" t="str">
            <v/>
          </cell>
          <cell r="AE1164" t="str">
            <v/>
          </cell>
          <cell r="AF1164" t="str">
            <v/>
          </cell>
          <cell r="AG1164">
            <v>46050</v>
          </cell>
          <cell r="AH1164" t="str">
            <v/>
          </cell>
          <cell r="AI1164" t="str">
            <v/>
          </cell>
        </row>
        <row r="1165">
          <cell r="C1165">
            <v>17141</v>
          </cell>
          <cell r="D1165" t="str">
            <v/>
          </cell>
          <cell r="E1165" t="str">
            <v/>
          </cell>
          <cell r="F1165" t="str">
            <v>Service</v>
          </cell>
          <cell r="G1165" t="str">
            <v>Service Collected</v>
          </cell>
          <cell r="H1165" t="str">
            <v>No</v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>https://panda-windows-and-doors.monday.com/protected_static/21046287/resources/2710344290/Service Form (74).pdf</v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>
            <v>996</v>
          </cell>
          <cell r="W1165" t="str">
            <v>Annalene Conde Feb 5, 2026 8:28 AM</v>
          </cell>
          <cell r="X1165" t="str">
            <v/>
          </cell>
          <cell r="Y1165">
            <v>46048</v>
          </cell>
          <cell r="Z1165" t="str">
            <v/>
          </cell>
          <cell r="AA1165">
            <v>46048</v>
          </cell>
          <cell r="AB1165" t="str">
            <v>Annalene Conde Jan 26, 2026 11:55 AM</v>
          </cell>
          <cell r="AC1165" t="str">
            <v/>
          </cell>
          <cell r="AD1165" t="str">
            <v/>
          </cell>
          <cell r="AE1165" t="str">
            <v/>
          </cell>
          <cell r="AF1165" t="str">
            <v/>
          </cell>
          <cell r="AG1165">
            <v>46058</v>
          </cell>
          <cell r="AH1165" t="str">
            <v/>
          </cell>
          <cell r="AI1165" t="str">
            <v/>
          </cell>
        </row>
        <row r="1166">
          <cell r="C1166">
            <v>26764</v>
          </cell>
          <cell r="D1166" t="str">
            <v/>
          </cell>
          <cell r="E1166" t="str">
            <v/>
          </cell>
          <cell r="F1166" t="str">
            <v>Service</v>
          </cell>
          <cell r="G1166" t="str">
            <v>Service Collected</v>
          </cell>
          <cell r="H1166" t="str">
            <v>No</v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>https://panda-windows-and-doors.monday.com/protected_static/21046287/resources/2731304760/10409 All Star Glass &amp; Mirror.pdf</v>
          </cell>
          <cell r="O1166" t="str">
            <v/>
          </cell>
          <cell r="P1166" t="str">
            <v/>
          </cell>
          <cell r="Q1166" t="str">
            <v>https://panda-windows-and-doors.monday.com/protected_static/21046287/resources/2729433439/SO All Star Glass.pdf</v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>
            <v>633</v>
          </cell>
          <cell r="W1166" t="str">
            <v>Annalene Conde Feb 5, 2026 1:31 PM</v>
          </cell>
          <cell r="X1166" t="str">
            <v/>
          </cell>
          <cell r="Y1166">
            <v>46055</v>
          </cell>
          <cell r="Z1166" t="str">
            <v/>
          </cell>
          <cell r="AA1166">
            <v>46055</v>
          </cell>
          <cell r="AB1166" t="str">
            <v>Annalene Conde Feb 2, 2026 3:31 PM</v>
          </cell>
          <cell r="AC1166" t="str">
            <v/>
          </cell>
          <cell r="AD1166" t="str">
            <v/>
          </cell>
          <cell r="AE1166" t="str">
            <v/>
          </cell>
          <cell r="AF1166" t="str">
            <v/>
          </cell>
          <cell r="AG1166">
            <v>46058</v>
          </cell>
          <cell r="AH1166" t="str">
            <v/>
          </cell>
          <cell r="AI1166" t="str">
            <v/>
          </cell>
        </row>
        <row r="1167">
          <cell r="C1167">
            <v>58707</v>
          </cell>
          <cell r="D1167" t="str">
            <v/>
          </cell>
          <cell r="E1167" t="str">
            <v/>
          </cell>
          <cell r="F1167" t="str">
            <v>Service</v>
          </cell>
          <cell r="G1167" t="str">
            <v>Service Collected</v>
          </cell>
          <cell r="H1167" t="str">
            <v>No</v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>https://panda-windows-and-doors.monday.com/protected_static/21046287/resources/2729646586/10407 Precision Glass CO.pdf</v>
          </cell>
          <cell r="O1167" t="str">
            <v/>
          </cell>
          <cell r="P1167" t="str">
            <v/>
          </cell>
          <cell r="Q1167" t="str">
            <v>https://panda-windows-and-doors.monday.com/protected_static/21046287/resources/2723888201/SO Andy Sutak.pdf</v>
          </cell>
          <cell r="R1167" t="str">
            <v>https://panda-windows-and-doors.monday.com/protected_static/21046287/resources/2289680111/Precision Glass Co  - Resale Certificate 9-29-2023 - CA.pdf, https://panda-windows-and-doors.monday.com/protected_static/21046287/resources/2289680112/Precision Glass CO PO BOX 549 effective 2-2-2023 - CA.pdf, https://panda-windows-and-doors.monday.com/protected_static/21046287/resources/2289680122/Precision Glass Co. - California resale Certificate Effective 2-28-19 - CA.pdf</v>
          </cell>
          <cell r="S1167" t="str">
            <v/>
          </cell>
          <cell r="T1167" t="str">
            <v/>
          </cell>
          <cell r="U1167" t="str">
            <v/>
          </cell>
          <cell r="V1167">
            <v>255</v>
          </cell>
          <cell r="W1167" t="str">
            <v>Annalene Conde Feb 9, 2026 9:52 AM</v>
          </cell>
          <cell r="X1167" t="str">
            <v/>
          </cell>
          <cell r="Y1167">
            <v>46052</v>
          </cell>
          <cell r="Z1167" t="str">
            <v/>
          </cell>
          <cell r="AA1167">
            <v>46052</v>
          </cell>
          <cell r="AB1167" t="str">
            <v>Annalene Conde Jan 30, 2026 1:08 PM</v>
          </cell>
          <cell r="AC1167" t="str">
            <v/>
          </cell>
          <cell r="AD1167" t="str">
            <v/>
          </cell>
          <cell r="AE1167" t="str">
            <v/>
          </cell>
          <cell r="AF1167" t="str">
            <v/>
          </cell>
          <cell r="AG1167">
            <v>46062</v>
          </cell>
          <cell r="AH1167" t="str">
            <v/>
          </cell>
          <cell r="AI1167" t="str">
            <v/>
          </cell>
        </row>
        <row r="1168">
          <cell r="C1168" t="str">
            <v>Charles Schwab - S</v>
          </cell>
          <cell r="D1168" t="str">
            <v/>
          </cell>
          <cell r="E1168" t="str">
            <v/>
          </cell>
          <cell r="F1168" t="str">
            <v>Service</v>
          </cell>
          <cell r="G1168" t="str">
            <v>Service Collected</v>
          </cell>
          <cell r="H1168" t="str">
            <v>No</v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>https://panda-windows-and-doors.monday.com/protected_static/21046287/resources/2738908579/10419 Charles Schwab.pdf</v>
          </cell>
          <cell r="O1168" t="str">
            <v/>
          </cell>
          <cell r="P1168" t="str">
            <v/>
          </cell>
          <cell r="Q1168" t="str">
            <v>https://panda-windows-and-doors.monday.com/protected_static/21046287/resources/2738394718/SO Schwab Gear.pdf</v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>Annalene Conde Feb 9, 2026 10:04 AM</v>
          </cell>
          <cell r="X1168" t="str">
            <v/>
          </cell>
          <cell r="Y1168">
            <v>46058</v>
          </cell>
          <cell r="Z1168" t="str">
            <v/>
          </cell>
          <cell r="AA1168">
            <v>46058</v>
          </cell>
          <cell r="AB1168" t="str">
            <v>Annalene Conde Feb 5, 2026 9:20 AM</v>
          </cell>
          <cell r="AC1168" t="str">
            <v/>
          </cell>
          <cell r="AD1168" t="str">
            <v/>
          </cell>
          <cell r="AE1168" t="str">
            <v/>
          </cell>
          <cell r="AF1168" t="str">
            <v/>
          </cell>
          <cell r="AG1168">
            <v>46062</v>
          </cell>
          <cell r="AH1168" t="str">
            <v/>
          </cell>
          <cell r="AI1168" t="str">
            <v/>
          </cell>
        </row>
        <row r="1169">
          <cell r="C1169">
            <v>60325</v>
          </cell>
          <cell r="D1169" t="str">
            <v/>
          </cell>
          <cell r="E1169" t="str">
            <v/>
          </cell>
          <cell r="F1169" t="str">
            <v>Service</v>
          </cell>
          <cell r="G1169" t="str">
            <v>Service Collected</v>
          </cell>
          <cell r="H1169" t="str">
            <v>No</v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>https://panda-windows-and-doors.monday.com/protected_static/21046287/resources/2679133881/Service Form.pdf, https://panda-windows-and-doors.monday.com/protected_static/21046287/resources/2797237240/Service Form.pdf, https://panda-windows-and-doors.monday.com/protected_static/21046287/resources/3035125013/Service Form.pdf</v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>
            <v>1172</v>
          </cell>
          <cell r="W1169" t="str">
            <v>Annalene Conde Feb 10, 2026 8:48 AM</v>
          </cell>
          <cell r="X1169" t="str">
            <v/>
          </cell>
          <cell r="Y1169">
            <v>46035</v>
          </cell>
          <cell r="Z1169" t="str">
            <v/>
          </cell>
          <cell r="AA1169">
            <v>46035</v>
          </cell>
          <cell r="AB1169" t="str">
            <v>Annalene Conde Jan 13, 2026 11:30 AM</v>
          </cell>
          <cell r="AC1169" t="str">
            <v/>
          </cell>
          <cell r="AD1169" t="str">
            <v/>
          </cell>
          <cell r="AE1169" t="str">
            <v/>
          </cell>
          <cell r="AF1169" t="str">
            <v/>
          </cell>
          <cell r="AG1169">
            <v>46063</v>
          </cell>
          <cell r="AH1169" t="str">
            <v/>
          </cell>
          <cell r="AI1169" t="str">
            <v/>
          </cell>
        </row>
        <row r="1170">
          <cell r="C1170" t="str">
            <v>BB Kite-S</v>
          </cell>
          <cell r="D1170" t="str">
            <v/>
          </cell>
          <cell r="E1170" t="str">
            <v/>
          </cell>
          <cell r="F1170" t="str">
            <v>Service</v>
          </cell>
          <cell r="G1170" t="str">
            <v>Service Collected</v>
          </cell>
          <cell r="H1170" t="str">
            <v>No</v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>https://panda-windows-and-doors.monday.com/protected_static/21046287/resources/2745941343/SO BB Kite.pdf</v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>
            <v>1157</v>
          </cell>
          <cell r="W1170" t="str">
            <v>Annalene Conde Feb 11, 2026 9:48 AM</v>
          </cell>
          <cell r="X1170" t="str">
            <v/>
          </cell>
          <cell r="Y1170">
            <v>46062</v>
          </cell>
          <cell r="Z1170" t="str">
            <v/>
          </cell>
          <cell r="AA1170">
            <v>46062</v>
          </cell>
          <cell r="AB1170" t="str">
            <v>Annalene Conde Feb 9, 2026 10:31 AM</v>
          </cell>
          <cell r="AC1170" t="str">
            <v/>
          </cell>
          <cell r="AD1170" t="str">
            <v/>
          </cell>
          <cell r="AE1170" t="str">
            <v/>
          </cell>
          <cell r="AF1170" t="str">
            <v/>
          </cell>
          <cell r="AG1170">
            <v>46064</v>
          </cell>
          <cell r="AH1170" t="str">
            <v/>
          </cell>
          <cell r="AI1170" t="str">
            <v/>
          </cell>
        </row>
        <row r="1171">
          <cell r="C1171" t="str">
            <v>70717-S</v>
          </cell>
          <cell r="D1171" t="str">
            <v/>
          </cell>
          <cell r="E1171" t="str">
            <v/>
          </cell>
          <cell r="F1171" t="str">
            <v>Service</v>
          </cell>
          <cell r="G1171" t="str">
            <v>Service Collected</v>
          </cell>
          <cell r="H1171" t="str">
            <v>No</v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>https://panda-windows-and-doors.monday.com/protected_static/21046287/resources/2671791518/Service Form (64).pdf</v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>
            <v>5768.19</v>
          </cell>
          <cell r="W1171" t="str">
            <v>Annalene Conde Feb 11, 2026 1:51 PM</v>
          </cell>
          <cell r="X1171" t="str">
            <v/>
          </cell>
          <cell r="Y1171">
            <v>46031</v>
          </cell>
          <cell r="Z1171" t="str">
            <v/>
          </cell>
          <cell r="AA1171">
            <v>46031</v>
          </cell>
          <cell r="AB1171" t="str">
            <v>Annalene Conde Jan 9, 2026 2:02 PM</v>
          </cell>
          <cell r="AC1171" t="str">
            <v/>
          </cell>
          <cell r="AD1171" t="str">
            <v/>
          </cell>
          <cell r="AE1171" t="str">
            <v/>
          </cell>
          <cell r="AF1171" t="str">
            <v/>
          </cell>
          <cell r="AG1171">
            <v>46064</v>
          </cell>
          <cell r="AH1171" t="str">
            <v/>
          </cell>
          <cell r="AI1171" t="str">
            <v/>
          </cell>
        </row>
        <row r="1172">
          <cell r="C1172">
            <v>61225</v>
          </cell>
          <cell r="D1172" t="str">
            <v/>
          </cell>
          <cell r="E1172" t="str">
            <v/>
          </cell>
          <cell r="F1172" t="str">
            <v>Service</v>
          </cell>
          <cell r="G1172" t="str">
            <v>Service Collected</v>
          </cell>
          <cell r="H1172" t="str">
            <v>No</v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>https://panda-windows-and-doors.monday.com/protected_static/21046287/resources/2750860011/Service Form.pdf</v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>Annalene Conde Feb 12, 2026 8:10 AM</v>
          </cell>
          <cell r="X1172" t="str">
            <v/>
          </cell>
          <cell r="Y1172">
            <v>46063</v>
          </cell>
          <cell r="Z1172" t="str">
            <v/>
          </cell>
          <cell r="AA1172">
            <v>46063</v>
          </cell>
          <cell r="AB1172" t="str">
            <v>Annalene Conde Feb 10, 2026 4:38 PM</v>
          </cell>
          <cell r="AC1172" t="str">
            <v/>
          </cell>
          <cell r="AD1172" t="str">
            <v/>
          </cell>
          <cell r="AE1172" t="str">
            <v/>
          </cell>
          <cell r="AF1172" t="str">
            <v/>
          </cell>
          <cell r="AG1172">
            <v>46065</v>
          </cell>
          <cell r="AH1172" t="str">
            <v/>
          </cell>
          <cell r="AI1172" t="str">
            <v/>
          </cell>
        </row>
        <row r="1173">
          <cell r="C1173">
            <v>54883</v>
          </cell>
          <cell r="D1173" t="str">
            <v/>
          </cell>
          <cell r="E1173" t="str">
            <v/>
          </cell>
          <cell r="F1173" t="str">
            <v>Service</v>
          </cell>
          <cell r="G1173" t="str">
            <v>Service Collected</v>
          </cell>
          <cell r="H1173" t="str">
            <v>No</v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>https://panda-windows-and-doors.monday.com/protected_static/21046287/resources/2741434407/Service Form.pdf, https://panda-windows-and-doors.monday.com/protected_static/21046287/resources/2749667046/10428.jpg</v>
          </cell>
          <cell r="R1173" t="str">
            <v>https://panda-windows-and-doors.monday.com/protected_static/21046287/resources/2287468527/Ultimiate Installz Resale Certificate effective - 6-30-2025 - CA.pdf, https://panda-windows-and-doors.monday.com/protected_static/21046287/resources/2292062872/Ultimate Installz - California Resale Certificate  2-12- 2020 - CA.pdf</v>
          </cell>
          <cell r="S1173" t="str">
            <v/>
          </cell>
          <cell r="T1173" t="str">
            <v/>
          </cell>
          <cell r="U1173" t="str">
            <v/>
          </cell>
          <cell r="V1173">
            <v>945</v>
          </cell>
          <cell r="W1173" t="str">
            <v>Annalene Conde Feb 12, 2026 1:57 PM</v>
          </cell>
          <cell r="X1173" t="str">
            <v/>
          </cell>
          <cell r="Y1173">
            <v>46059</v>
          </cell>
          <cell r="Z1173" t="str">
            <v/>
          </cell>
          <cell r="AA1173">
            <v>46059</v>
          </cell>
          <cell r="AB1173" t="str">
            <v>Annalene Conde Feb 6, 2026 9:24 AM</v>
          </cell>
          <cell r="AC1173" t="str">
            <v/>
          </cell>
          <cell r="AD1173" t="str">
            <v/>
          </cell>
          <cell r="AE1173" t="str">
            <v/>
          </cell>
          <cell r="AF1173" t="str">
            <v/>
          </cell>
          <cell r="AG1173">
            <v>46065</v>
          </cell>
          <cell r="AH1173" t="str">
            <v/>
          </cell>
          <cell r="AI1173" t="str">
            <v/>
          </cell>
        </row>
        <row r="1174">
          <cell r="C1174">
            <v>70076</v>
          </cell>
          <cell r="D1174" t="str">
            <v/>
          </cell>
          <cell r="E1174" t="str">
            <v/>
          </cell>
          <cell r="F1174" t="str">
            <v>Service</v>
          </cell>
          <cell r="G1174" t="str">
            <v>Service Collected</v>
          </cell>
          <cell r="H1174" t="str">
            <v>No</v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>https://panda-windows-and-doors.monday.com/protected_static/21046287/resources/2735908794/10418 Steel Encounters.pdf</v>
          </cell>
          <cell r="O1174" t="str">
            <v/>
          </cell>
          <cell r="P1174" t="str">
            <v/>
          </cell>
          <cell r="Q1174" t="str">
            <v>https://panda-windows-and-doors.monday.com/protected_static/21046287/resources/2735871500/Edison 2.pdf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>
            <v>2242.17</v>
          </cell>
          <cell r="W1174" t="str">
            <v>Annalene Conde Feb 13, 2026 8:19 AM</v>
          </cell>
          <cell r="X1174" t="str">
            <v/>
          </cell>
          <cell r="Y1174">
            <v>46056</v>
          </cell>
          <cell r="Z1174" t="str">
            <v/>
          </cell>
          <cell r="AA1174">
            <v>46056</v>
          </cell>
          <cell r="AB1174" t="str">
            <v>Annalene Conde Feb 3, 2026 11:13 AM</v>
          </cell>
          <cell r="AC1174" t="str">
            <v/>
          </cell>
          <cell r="AD1174" t="str">
            <v/>
          </cell>
          <cell r="AE1174" t="str">
            <v/>
          </cell>
          <cell r="AF1174" t="str">
            <v/>
          </cell>
          <cell r="AG1174">
            <v>46066</v>
          </cell>
          <cell r="AH1174" t="str">
            <v/>
          </cell>
          <cell r="AI1174" t="str">
            <v/>
          </cell>
        </row>
        <row r="1175">
          <cell r="C1175">
            <v>83220</v>
          </cell>
          <cell r="D1175" t="str">
            <v/>
          </cell>
          <cell r="E1175" t="str">
            <v/>
          </cell>
          <cell r="F1175" t="str">
            <v>Service</v>
          </cell>
          <cell r="G1175" t="str">
            <v>Service Collected</v>
          </cell>
          <cell r="H1175" t="str">
            <v>No</v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>https://panda-windows-and-doors.monday.com/protected_static/21046287/resources/2738934727/10420 Integrated Glass Concepts.pdf</v>
          </cell>
          <cell r="O1175" t="str">
            <v/>
          </cell>
          <cell r="P1175" t="str">
            <v/>
          </cell>
          <cell r="Q1175" t="str">
            <v>https://panda-windows-and-doors.monday.com/protected_static/21046287/resources/2738498661/SO 83220.pdf</v>
          </cell>
          <cell r="R1175" t="str">
            <v>https://panda-windows-and-doors.monday.com/protected_static/21046287/resources/2312096617/Q83220 901 MARSHALL - B.O.M.pdf</v>
          </cell>
          <cell r="S1175" t="str">
            <v>Completed - Closed Out</v>
          </cell>
          <cell r="T1175" t="str">
            <v/>
          </cell>
          <cell r="U1175" t="str">
            <v/>
          </cell>
          <cell r="V1175">
            <v>7236</v>
          </cell>
          <cell r="W1175" t="str">
            <v>Annalene Conde Feb 16, 2026 10:26 AM</v>
          </cell>
          <cell r="X1175" t="str">
            <v/>
          </cell>
          <cell r="Y1175">
            <v>46058</v>
          </cell>
          <cell r="Z1175" t="str">
            <v/>
          </cell>
          <cell r="AA1175">
            <v>46058</v>
          </cell>
          <cell r="AB1175" t="str">
            <v>Annalene Conde Feb 5, 2026 9:51 AM</v>
          </cell>
          <cell r="AC1175" t="str">
            <v/>
          </cell>
          <cell r="AD1175" t="str">
            <v/>
          </cell>
          <cell r="AE1175" t="str">
            <v/>
          </cell>
          <cell r="AF1175" t="str">
            <v/>
          </cell>
          <cell r="AG1175">
            <v>46069</v>
          </cell>
          <cell r="AH1175" t="str">
            <v/>
          </cell>
          <cell r="AI1175" t="str">
            <v/>
          </cell>
        </row>
        <row r="1176">
          <cell r="C1176" t="str">
            <v>AGA</v>
          </cell>
          <cell r="D1176" t="str">
            <v/>
          </cell>
          <cell r="E1176" t="str">
            <v/>
          </cell>
          <cell r="F1176" t="str">
            <v>Service</v>
          </cell>
          <cell r="G1176" t="str">
            <v>Service Collected</v>
          </cell>
          <cell r="H1176" t="str">
            <v>No</v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>https://panda-windows-and-doors.monday.com/protected_static/21046287/resources/2753071510/SO AGA.pdf</v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>
            <v>186</v>
          </cell>
          <cell r="W1176" t="str">
            <v>Annalene Conde Feb 16, 2026 12:59 PM</v>
          </cell>
          <cell r="X1176" t="str">
            <v/>
          </cell>
          <cell r="Y1176">
            <v>46064</v>
          </cell>
          <cell r="Z1176" t="str">
            <v/>
          </cell>
          <cell r="AA1176">
            <v>46064</v>
          </cell>
          <cell r="AB1176" t="str">
            <v>Annalene Conde Feb 11, 2026 11:03 AM</v>
          </cell>
          <cell r="AC1176" t="str">
            <v/>
          </cell>
          <cell r="AD1176" t="str">
            <v/>
          </cell>
          <cell r="AE1176" t="str">
            <v/>
          </cell>
          <cell r="AF1176" t="str">
            <v/>
          </cell>
          <cell r="AG1176">
            <v>46069</v>
          </cell>
          <cell r="AH1176" t="str">
            <v/>
          </cell>
          <cell r="AI1176" t="str">
            <v/>
          </cell>
        </row>
        <row r="1177">
          <cell r="C1177">
            <v>81604</v>
          </cell>
          <cell r="D1177" t="str">
            <v/>
          </cell>
          <cell r="E1177" t="str">
            <v/>
          </cell>
          <cell r="F1177" t="str">
            <v>Service</v>
          </cell>
          <cell r="G1177" t="str">
            <v>Service Collected</v>
          </cell>
          <cell r="H1177" t="str">
            <v>No</v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>https://panda-windows-and-doors.monday.com/protected_static/21046287/resources/2765556086/Service Form.pdf</v>
          </cell>
          <cell r="R1177" t="str">
            <v>https://panda-windows-and-doors.monday.com/protected_static/21046287/resources/2451062174/MF 5029 Q81604 BROWN RESIDENCE DOORS - B.O.M.pdf, https://panda-windows-and-doors.monday.com/protected_static/21046287/resources/2451062169/MF 5029 Q81604 BROWN RESIDENCE DOORS - OPT.pdf, https://panda-windows-and-doors.monday.com/protected_static/21046287/resources/2451062164/MF 5029 Q81604 BROWN RESIDENCE DOORS -CUTLIST (GINERI).pdf, https://panda-windows-and-doors.monday.com/protected_static/21046287/resources/2451062172/MF 5029 Q81604 BROWN RESIDENCE DOORS -CUTLIST (MANUAL).pdf</v>
          </cell>
          <cell r="S1177" t="str">
            <v>Completed - Closed Out</v>
          </cell>
          <cell r="T1177" t="str">
            <v/>
          </cell>
          <cell r="U1177" t="str">
            <v/>
          </cell>
          <cell r="V1177">
            <v>390</v>
          </cell>
          <cell r="W1177" t="str">
            <v>Annalene Conde Feb 18, 2026 10:28 AM</v>
          </cell>
          <cell r="X1177" t="str">
            <v/>
          </cell>
          <cell r="Y1177">
            <v>46070</v>
          </cell>
          <cell r="Z1177" t="str">
            <v/>
          </cell>
          <cell r="AA1177">
            <v>46070</v>
          </cell>
          <cell r="AB1177" t="str">
            <v>Annalene Conde Feb 17, 2026 8:49 AM</v>
          </cell>
          <cell r="AC1177" t="str">
            <v/>
          </cell>
          <cell r="AD1177">
            <v>46071</v>
          </cell>
          <cell r="AE1177" t="str">
            <v/>
          </cell>
          <cell r="AF1177" t="str">
            <v/>
          </cell>
          <cell r="AG1177">
            <v>46071</v>
          </cell>
          <cell r="AH1177" t="str">
            <v/>
          </cell>
          <cell r="AI1177" t="str">
            <v/>
          </cell>
        </row>
        <row r="1178">
          <cell r="C1178">
            <v>4</v>
          </cell>
          <cell r="D1178" t="str">
            <v/>
          </cell>
          <cell r="E1178" t="str">
            <v/>
          </cell>
          <cell r="F1178" t="str">
            <v>Service</v>
          </cell>
          <cell r="G1178" t="str">
            <v>Service Collected</v>
          </cell>
          <cell r="H1178" t="str">
            <v>No</v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>https://panda-windows-and-doors.monday.com/protected_static/21046287/resources/2739761032/Service Form.pdf</v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>
            <v>713</v>
          </cell>
          <cell r="W1178" t="str">
            <v>Annalene Conde Feb 19, 2026 12:05 PM</v>
          </cell>
          <cell r="X1178" t="str">
            <v/>
          </cell>
          <cell r="Y1178">
            <v>46058</v>
          </cell>
          <cell r="Z1178" t="str">
            <v/>
          </cell>
          <cell r="AA1178">
            <v>46058</v>
          </cell>
          <cell r="AB1178" t="str">
            <v>Annalene Conde Feb 5, 2026 4:25 PM</v>
          </cell>
          <cell r="AC1178" t="str">
            <v/>
          </cell>
          <cell r="AD1178" t="str">
            <v/>
          </cell>
          <cell r="AE1178" t="str">
            <v/>
          </cell>
          <cell r="AF1178" t="str">
            <v/>
          </cell>
          <cell r="AG1178">
            <v>46072</v>
          </cell>
          <cell r="AH1178" t="str">
            <v/>
          </cell>
          <cell r="AI1178" t="str">
            <v/>
          </cell>
        </row>
        <row r="1179">
          <cell r="C1179">
            <v>65650</v>
          </cell>
          <cell r="D1179" t="str">
            <v/>
          </cell>
          <cell r="E1179" t="str">
            <v/>
          </cell>
          <cell r="F1179" t="str">
            <v>Service</v>
          </cell>
          <cell r="G1179" t="str">
            <v>Service Collected</v>
          </cell>
          <cell r="H1179" t="str">
            <v>No</v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>https://panda-windows-and-doors.monday.com/protected_static/21046287/resources/2745857399/SO HBS.pdf</v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>
            <v>1079</v>
          </cell>
          <cell r="W1179" t="str">
            <v>Annalene Conde Feb 23, 2026 1:51 PM</v>
          </cell>
          <cell r="X1179" t="str">
            <v/>
          </cell>
          <cell r="Y1179">
            <v>46062</v>
          </cell>
          <cell r="Z1179" t="str">
            <v/>
          </cell>
          <cell r="AA1179">
            <v>46062</v>
          </cell>
          <cell r="AB1179" t="str">
            <v>Annalene Conde Feb 9, 2026 10:10 AM</v>
          </cell>
          <cell r="AC1179" t="str">
            <v/>
          </cell>
          <cell r="AD1179">
            <v>46076</v>
          </cell>
          <cell r="AE1179" t="str">
            <v/>
          </cell>
          <cell r="AF1179" t="str">
            <v/>
          </cell>
          <cell r="AG1179">
            <v>46076</v>
          </cell>
          <cell r="AH1179" t="str">
            <v/>
          </cell>
          <cell r="AI1179" t="str">
            <v/>
          </cell>
        </row>
        <row r="1180">
          <cell r="C1180">
            <v>54662</v>
          </cell>
          <cell r="D1180" t="str">
            <v/>
          </cell>
          <cell r="E1180" t="str">
            <v/>
          </cell>
          <cell r="F1180" t="str">
            <v>Service</v>
          </cell>
          <cell r="G1180" t="str">
            <v>Service Collected</v>
          </cell>
          <cell r="H1180" t="str">
            <v>No</v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>https://panda-windows-and-doors.monday.com/protected_static/21046287/resources/2575707447/Service Form.pdf</v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>
            <v>378</v>
          </cell>
          <cell r="W1180" t="str">
            <v>Annalene Conde Feb 24, 2026 9:47 AM</v>
          </cell>
          <cell r="X1180" t="str">
            <v/>
          </cell>
          <cell r="Y1180">
            <v>45985</v>
          </cell>
          <cell r="Z1180" t="str">
            <v/>
          </cell>
          <cell r="AA1180">
            <v>45985</v>
          </cell>
          <cell r="AB1180" t="str">
            <v>Jayme Truong Nov 24, 2025 10:24 AM</v>
          </cell>
          <cell r="AC1180" t="str">
            <v/>
          </cell>
          <cell r="AD1180" t="str">
            <v/>
          </cell>
          <cell r="AE1180" t="str">
            <v/>
          </cell>
          <cell r="AF1180" t="str">
            <v/>
          </cell>
          <cell r="AG1180">
            <v>46077</v>
          </cell>
          <cell r="AH1180" t="str">
            <v/>
          </cell>
          <cell r="AI1180" t="str">
            <v/>
          </cell>
        </row>
        <row r="1181">
          <cell r="C1181">
            <v>61225</v>
          </cell>
          <cell r="D1181" t="str">
            <v/>
          </cell>
          <cell r="E1181" t="str">
            <v/>
          </cell>
          <cell r="F1181" t="str">
            <v>Service</v>
          </cell>
          <cell r="G1181" t="str">
            <v>Service Collected</v>
          </cell>
          <cell r="H1181" t="str">
            <v>No</v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>https://panda-windows-and-doors.monday.com/protected_static/21046287/resources/2605806781/Service Form.pdf</v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>
            <v>557</v>
          </cell>
          <cell r="W1181" t="str">
            <v>Annalene Conde Feb 24, 2026 9:48 AM</v>
          </cell>
          <cell r="X1181" t="str">
            <v/>
          </cell>
          <cell r="Y1181">
            <v>45999</v>
          </cell>
          <cell r="Z1181" t="str">
            <v/>
          </cell>
          <cell r="AA1181">
            <v>45999</v>
          </cell>
          <cell r="AB1181" t="str">
            <v>Jayme Truong Dec 8, 2025 3:26 PM</v>
          </cell>
          <cell r="AC1181" t="str">
            <v/>
          </cell>
          <cell r="AD1181" t="str">
            <v/>
          </cell>
          <cell r="AE1181" t="str">
            <v/>
          </cell>
          <cell r="AF1181" t="str">
            <v/>
          </cell>
          <cell r="AG1181">
            <v>46077</v>
          </cell>
          <cell r="AH1181" t="str">
            <v/>
          </cell>
          <cell r="AI1181" t="str">
            <v/>
          </cell>
        </row>
        <row r="1182">
          <cell r="C1182" t="str">
            <v>11813-S</v>
          </cell>
          <cell r="D1182" t="str">
            <v/>
          </cell>
          <cell r="E1182" t="str">
            <v/>
          </cell>
          <cell r="F1182" t="str">
            <v>Service</v>
          </cell>
          <cell r="G1182" t="str">
            <v>Service Collected</v>
          </cell>
          <cell r="H1182" t="str">
            <v>No</v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>https://panda-windows-and-doors.monday.com/protected_static/21046287/resources/2729655907/10408 Gabe Cunningham.pdf, https://panda-windows-and-doors.monday.com/protected_static/21046287/resources/2775662834/Estimate 10408.pdf</v>
          </cell>
          <cell r="O1182" t="str">
            <v/>
          </cell>
          <cell r="P1182" t="str">
            <v/>
          </cell>
          <cell r="Q1182" t="str">
            <v>https://panda-windows-and-doors.monday.com/protected_static/21046287/resources/2729220535/SO Maui Hyatt.pdf</v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>
            <v>2793.72</v>
          </cell>
          <cell r="W1182" t="str">
            <v>Annalene Conde Feb 25, 2026 2:50 PM</v>
          </cell>
          <cell r="X1182" t="str">
            <v/>
          </cell>
          <cell r="Y1182">
            <v>46055</v>
          </cell>
          <cell r="Z1182" t="str">
            <v/>
          </cell>
          <cell r="AA1182">
            <v>46055</v>
          </cell>
          <cell r="AB1182" t="str">
            <v>Annalene Conde Feb 2, 2026 2:06 PM</v>
          </cell>
          <cell r="AC1182" t="str">
            <v/>
          </cell>
          <cell r="AD1182" t="str">
            <v/>
          </cell>
          <cell r="AE1182" t="str">
            <v/>
          </cell>
          <cell r="AF1182" t="str">
            <v/>
          </cell>
          <cell r="AG1182">
            <v>46078</v>
          </cell>
          <cell r="AH1182" t="str">
            <v/>
          </cell>
          <cell r="AI1182" t="str">
            <v/>
          </cell>
        </row>
        <row r="1183">
          <cell r="C1183" t="str">
            <v>9244-S</v>
          </cell>
          <cell r="D1183" t="str">
            <v/>
          </cell>
          <cell r="E1183" t="str">
            <v/>
          </cell>
          <cell r="F1183" t="str">
            <v>Service</v>
          </cell>
          <cell r="G1183" t="str">
            <v>Service Collected</v>
          </cell>
          <cell r="H1183" t="str">
            <v>No</v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>https://panda-windows-and-doors.monday.com/protected_static/21046287/resources/2774574501/Service Form.pdf</v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>
            <v>1181</v>
          </cell>
          <cell r="W1183" t="str">
            <v>Annalene Conde Feb 25, 2026 2:56 PM</v>
          </cell>
          <cell r="X1183" t="str">
            <v/>
          </cell>
          <cell r="Y1183">
            <v>46073</v>
          </cell>
          <cell r="Z1183" t="str">
            <v/>
          </cell>
          <cell r="AA1183">
            <v>46073</v>
          </cell>
          <cell r="AB1183" t="str">
            <v>Annalene Conde Feb 20, 2026 8:10 AM</v>
          </cell>
          <cell r="AC1183" t="str">
            <v/>
          </cell>
          <cell r="AD1183" t="str">
            <v/>
          </cell>
          <cell r="AE1183" t="str">
            <v/>
          </cell>
          <cell r="AF1183" t="str">
            <v/>
          </cell>
          <cell r="AG1183">
            <v>46078</v>
          </cell>
          <cell r="AH1183" t="str">
            <v/>
          </cell>
          <cell r="AI1183" t="str">
            <v/>
          </cell>
        </row>
        <row r="1184">
          <cell r="C1184">
            <v>55352.2</v>
          </cell>
          <cell r="D1184" t="str">
            <v/>
          </cell>
          <cell r="E1184" t="str">
            <v/>
          </cell>
          <cell r="F1184" t="str">
            <v>Service</v>
          </cell>
          <cell r="G1184" t="str">
            <v>Service Collected</v>
          </cell>
          <cell r="H1184" t="str">
            <v>No</v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>https://panda-windows-and-doors.monday.com/protected_static/21046287/resources/2779665627/SO Hapuna.pdf</v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>
            <v>293</v>
          </cell>
          <cell r="W1184" t="str">
            <v>Annalene Conde Feb 25, 2026 2:59 PM</v>
          </cell>
          <cell r="X1184" t="str">
            <v/>
          </cell>
          <cell r="Y1184">
            <v>46076</v>
          </cell>
          <cell r="Z1184" t="str">
            <v/>
          </cell>
          <cell r="AA1184">
            <v>46076</v>
          </cell>
          <cell r="AB1184" t="str">
            <v>Annalene Conde Feb 23, 2026 2:14 PM</v>
          </cell>
          <cell r="AC1184" t="str">
            <v/>
          </cell>
          <cell r="AD1184" t="str">
            <v/>
          </cell>
          <cell r="AE1184" t="str">
            <v/>
          </cell>
          <cell r="AF1184" t="str">
            <v/>
          </cell>
          <cell r="AG1184">
            <v>46078</v>
          </cell>
          <cell r="AH1184" t="str">
            <v/>
          </cell>
          <cell r="AI1184" t="str">
            <v/>
          </cell>
        </row>
        <row r="1185">
          <cell r="C1185" t="str">
            <v>Dale Oldroyd</v>
          </cell>
          <cell r="D1185" t="str">
            <v/>
          </cell>
          <cell r="E1185" t="str">
            <v/>
          </cell>
          <cell r="F1185" t="str">
            <v>Service</v>
          </cell>
          <cell r="G1185" t="str">
            <v>Service Collected</v>
          </cell>
          <cell r="H1185" t="str">
            <v>No</v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>https://panda-windows-and-doors.monday.com/protected_static/21046287/resources/2756038656/Service Form (89).pdf</v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>
            <v>1552.65</v>
          </cell>
          <cell r="W1185" t="str">
            <v>Annalene Conde Feb 25, 2026 3:14 PM</v>
          </cell>
          <cell r="X1185" t="str">
            <v/>
          </cell>
          <cell r="Y1185">
            <v>46065</v>
          </cell>
          <cell r="Z1185" t="str">
            <v/>
          </cell>
          <cell r="AA1185">
            <v>46065</v>
          </cell>
          <cell r="AB1185" t="str">
            <v>Annalene Conde Feb 12, 2026 9:27 AM</v>
          </cell>
          <cell r="AC1185" t="str">
            <v/>
          </cell>
          <cell r="AD1185" t="str">
            <v/>
          </cell>
          <cell r="AE1185" t="str">
            <v/>
          </cell>
          <cell r="AF1185" t="str">
            <v/>
          </cell>
          <cell r="AG1185">
            <v>46078</v>
          </cell>
          <cell r="AH1185" t="str">
            <v/>
          </cell>
          <cell r="AI1185" t="str">
            <v/>
          </cell>
        </row>
        <row r="1186">
          <cell r="C1186">
            <v>84826</v>
          </cell>
          <cell r="D1186" t="str">
            <v/>
          </cell>
          <cell r="E1186" t="str">
            <v/>
          </cell>
          <cell r="F1186" t="str">
            <v>Service</v>
          </cell>
          <cell r="G1186" t="str">
            <v>Service Collected</v>
          </cell>
          <cell r="H1186" t="str">
            <v>No</v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>https://panda-windows-and-doors.monday.com/protected_static/21046287/resources/2731495686/10411 Chris Fultz.pdf</v>
          </cell>
          <cell r="O1186" t="str">
            <v/>
          </cell>
          <cell r="P1186" t="str">
            <v/>
          </cell>
          <cell r="Q1186" t="str">
            <v>https://panda-windows-and-doors.monday.com/protected_static/21046287/resources/2728683051/SO Castelluci Glass.pdf</v>
          </cell>
          <cell r="R1186" t="str">
            <v>https://panda-windows-and-doors.monday.com/protected_static/21046287/resources/2426785094/MF 5011 Q84826 CASTELLUCI 2 - B.O.M.pdf, https://panda-windows-and-doors.monday.com/protected_static/21046287/resources/2426785091/MF 5011 Q84826 CASTELLUCI 2 - CUTLIST (GINERI).pdf, https://panda-windows-and-doors.monday.com/protected_static/21046287/resources/2426785082/MF 5011 Q84826 CASTELLUCI 2 - CUTLIST (MANUAL).pdf, https://panda-windows-and-doors.monday.com/protected_static/21046287/resources/2426785090/MF 5011 Q84826 CASTELLUCI 2 - OPT.pdf</v>
          </cell>
          <cell r="S1186" t="str">
            <v>Completed - Closed Out</v>
          </cell>
          <cell r="T1186" t="str">
            <v/>
          </cell>
          <cell r="U1186" t="str">
            <v/>
          </cell>
          <cell r="V1186">
            <v>1659.48</v>
          </cell>
          <cell r="W1186" t="str">
            <v>Annalene Conde Feb 26, 2026 8:08 AM</v>
          </cell>
          <cell r="X1186" t="str">
            <v/>
          </cell>
          <cell r="Y1186">
            <v>46055</v>
          </cell>
          <cell r="Z1186" t="str">
            <v/>
          </cell>
          <cell r="AA1186">
            <v>46055</v>
          </cell>
          <cell r="AB1186" t="str">
            <v>Annalene Conde Feb 2, 2026 11:34 AM</v>
          </cell>
          <cell r="AC1186" t="str">
            <v/>
          </cell>
          <cell r="AD1186" t="str">
            <v/>
          </cell>
          <cell r="AE1186" t="str">
            <v/>
          </cell>
          <cell r="AF1186" t="str">
            <v/>
          </cell>
          <cell r="AG1186">
            <v>46079</v>
          </cell>
          <cell r="AH1186" t="str">
            <v/>
          </cell>
          <cell r="AI1186" t="str">
            <v/>
          </cell>
        </row>
        <row r="1187">
          <cell r="C1187" t="str">
            <v>82424-S2</v>
          </cell>
          <cell r="D1187" t="str">
            <v/>
          </cell>
          <cell r="E1187" t="str">
            <v/>
          </cell>
          <cell r="F1187" t="str">
            <v>Service</v>
          </cell>
          <cell r="G1187" t="str">
            <v>Service Collected</v>
          </cell>
          <cell r="H1187" t="str">
            <v>No</v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>https://panda-windows-and-doors.monday.com/protected_static/21046287/resources/2784843310/SO Victor Park Shipping 1.pdf</v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>
            <v>624</v>
          </cell>
          <cell r="W1187" t="str">
            <v>Annalene Conde Feb 26, 2026 4:11 PM</v>
          </cell>
          <cell r="X1187" t="str">
            <v/>
          </cell>
          <cell r="Y1187">
            <v>46078</v>
          </cell>
          <cell r="Z1187" t="str">
            <v/>
          </cell>
          <cell r="AA1187">
            <v>46078</v>
          </cell>
          <cell r="AB1187" t="str">
            <v>Annalene Conde Feb 25, 2026 8:41 AM</v>
          </cell>
          <cell r="AC1187" t="str">
            <v/>
          </cell>
          <cell r="AD1187" t="str">
            <v/>
          </cell>
          <cell r="AE1187" t="str">
            <v/>
          </cell>
          <cell r="AF1187" t="str">
            <v/>
          </cell>
          <cell r="AG1187">
            <v>46079</v>
          </cell>
          <cell r="AH1187" t="str">
            <v/>
          </cell>
          <cell r="AI1187" t="str">
            <v/>
          </cell>
        </row>
        <row r="1188">
          <cell r="C1188">
            <v>74146</v>
          </cell>
          <cell r="D1188" t="str">
            <v/>
          </cell>
          <cell r="E1188" t="str">
            <v/>
          </cell>
          <cell r="F1188" t="str">
            <v>Service</v>
          </cell>
          <cell r="G1188" t="str">
            <v>Service Collected</v>
          </cell>
          <cell r="H1188" t="str">
            <v>No</v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>https://panda-windows-and-doors.monday.com/protected_static/21046287/resources/2792238333/Service Form.pdf</v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>
            <v>650</v>
          </cell>
          <cell r="W1188" t="str">
            <v>Annalene Conde Mar 2, 2026 8:46 AM</v>
          </cell>
          <cell r="X1188" t="str">
            <v/>
          </cell>
          <cell r="Y1188">
            <v>46080</v>
          </cell>
          <cell r="Z1188" t="str">
            <v/>
          </cell>
          <cell r="AA1188">
            <v>46080</v>
          </cell>
          <cell r="AB1188" t="str">
            <v>Annalene Conde Feb 27, 2026 2:02 PM</v>
          </cell>
          <cell r="AC1188" t="str">
            <v/>
          </cell>
          <cell r="AD1188" t="str">
            <v/>
          </cell>
          <cell r="AE1188" t="str">
            <v/>
          </cell>
          <cell r="AF1188" t="str">
            <v/>
          </cell>
          <cell r="AG1188">
            <v>46083</v>
          </cell>
          <cell r="AH1188" t="str">
            <v/>
          </cell>
          <cell r="AI1188" t="str">
            <v/>
          </cell>
        </row>
        <row r="1189">
          <cell r="C1189" t="str">
            <v>70451-S</v>
          </cell>
          <cell r="D1189" t="str">
            <v/>
          </cell>
          <cell r="E1189" t="str">
            <v/>
          </cell>
          <cell r="F1189" t="str">
            <v>Service</v>
          </cell>
          <cell r="G1189" t="str">
            <v>Service Collected</v>
          </cell>
          <cell r="H1189" t="str">
            <v>No</v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>https://panda-windows-and-doors.monday.com/protected_static/21046287/resources/2789190032/SO 70451-S.pdf</v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>
            <v>675</v>
          </cell>
          <cell r="W1189" t="str">
            <v>Annalene Conde Mar 2, 2026 8:49 AM</v>
          </cell>
          <cell r="X1189" t="str">
            <v/>
          </cell>
          <cell r="Y1189">
            <v>46079</v>
          </cell>
          <cell r="Z1189" t="str">
            <v/>
          </cell>
          <cell r="AA1189">
            <v>46079</v>
          </cell>
          <cell r="AB1189" t="str">
            <v>Annalene Conde Feb 26, 2026 2:28 PM</v>
          </cell>
          <cell r="AC1189" t="str">
            <v/>
          </cell>
          <cell r="AD1189" t="str">
            <v/>
          </cell>
          <cell r="AE1189" t="str">
            <v/>
          </cell>
          <cell r="AF1189" t="str">
            <v/>
          </cell>
          <cell r="AG1189">
            <v>46083</v>
          </cell>
          <cell r="AH1189" t="str">
            <v/>
          </cell>
          <cell r="AI1189" t="str">
            <v/>
          </cell>
        </row>
        <row r="1190">
          <cell r="C1190">
            <v>4112</v>
          </cell>
          <cell r="D1190" t="str">
            <v/>
          </cell>
          <cell r="E1190" t="str">
            <v/>
          </cell>
          <cell r="F1190" t="str">
            <v>Service</v>
          </cell>
          <cell r="G1190" t="str">
            <v>Service Collected</v>
          </cell>
          <cell r="H1190" t="str">
            <v>No</v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>https://panda-windows-and-doors.monday.com/protected_static/21046287/resources/2769372535/Service Form.pdf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>
            <v>713</v>
          </cell>
          <cell r="W1190" t="str">
            <v>Annalene Conde Mar 2, 2026 8:52 AM</v>
          </cell>
          <cell r="X1190" t="str">
            <v/>
          </cell>
          <cell r="Y1190">
            <v>46071</v>
          </cell>
          <cell r="Z1190" t="str">
            <v/>
          </cell>
          <cell r="AA1190">
            <v>46071</v>
          </cell>
          <cell r="AB1190" t="str">
            <v>Annalene Conde Feb 18, 2026 1:57 PM</v>
          </cell>
          <cell r="AC1190" t="str">
            <v/>
          </cell>
          <cell r="AD1190" t="str">
            <v/>
          </cell>
          <cell r="AE1190" t="str">
            <v/>
          </cell>
          <cell r="AF1190" t="str">
            <v/>
          </cell>
          <cell r="AG1190">
            <v>46083</v>
          </cell>
          <cell r="AH1190" t="str">
            <v/>
          </cell>
          <cell r="AI1190" t="str">
            <v/>
          </cell>
        </row>
        <row r="1191">
          <cell r="C1191" t="str">
            <v>84241-S</v>
          </cell>
          <cell r="D1191" t="str">
            <v/>
          </cell>
          <cell r="E1191" t="str">
            <v/>
          </cell>
          <cell r="F1191" t="str">
            <v>Service</v>
          </cell>
          <cell r="G1191" t="str">
            <v>Service Collected</v>
          </cell>
          <cell r="H1191" t="str">
            <v>No</v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>https://panda-windows-and-doors.monday.com/protected_static/21046287/resources/2785167515/Service Form.pdf</v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>
            <v>11830.92</v>
          </cell>
          <cell r="W1191" t="str">
            <v>Annalene Conde Mar 2, 2026 2:37 PM</v>
          </cell>
          <cell r="X1191" t="str">
            <v/>
          </cell>
          <cell r="Y1191">
            <v>46078</v>
          </cell>
          <cell r="Z1191" t="str">
            <v/>
          </cell>
          <cell r="AA1191">
            <v>46078</v>
          </cell>
          <cell r="AB1191" t="str">
            <v>Annalene Conde Feb 25, 2026 10:13 AM</v>
          </cell>
          <cell r="AC1191" t="str">
            <v/>
          </cell>
          <cell r="AD1191" t="str">
            <v/>
          </cell>
          <cell r="AE1191" t="str">
            <v/>
          </cell>
          <cell r="AF1191" t="str">
            <v/>
          </cell>
          <cell r="AG1191">
            <v>46083</v>
          </cell>
          <cell r="AH1191" t="str">
            <v/>
          </cell>
          <cell r="AI1191" t="str">
            <v/>
          </cell>
        </row>
        <row r="1192">
          <cell r="C1192">
            <v>20686</v>
          </cell>
          <cell r="D1192" t="str">
            <v/>
          </cell>
          <cell r="E1192" t="str">
            <v/>
          </cell>
          <cell r="F1192" t="str">
            <v>Service</v>
          </cell>
          <cell r="G1192" t="str">
            <v>Service Collected</v>
          </cell>
          <cell r="H1192" t="str">
            <v>No</v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>https://panda-windows-and-doors.monday.com/protected_static/21046287/resources/2786207428/SO Bayless.pdf</v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>
            <v>407</v>
          </cell>
          <cell r="W1192" t="str">
            <v>Annalene Conde Mar 2, 2026 2:58 PM</v>
          </cell>
          <cell r="X1192" t="str">
            <v/>
          </cell>
          <cell r="Y1192">
            <v>46078</v>
          </cell>
          <cell r="Z1192" t="str">
            <v/>
          </cell>
          <cell r="AA1192">
            <v>46078</v>
          </cell>
          <cell r="AB1192" t="str">
            <v>Annalene Conde Feb 25, 2026 3:19 PM</v>
          </cell>
          <cell r="AC1192" t="str">
            <v/>
          </cell>
          <cell r="AD1192" t="str">
            <v/>
          </cell>
          <cell r="AE1192" t="str">
            <v/>
          </cell>
          <cell r="AF1192" t="str">
            <v/>
          </cell>
          <cell r="AG1192">
            <v>46083</v>
          </cell>
          <cell r="AH1192" t="str">
            <v/>
          </cell>
          <cell r="AI1192" t="str">
            <v/>
          </cell>
        </row>
        <row r="1193">
          <cell r="C1193">
            <v>79258.2</v>
          </cell>
          <cell r="D1193" t="str">
            <v/>
          </cell>
          <cell r="E1193" t="str">
            <v/>
          </cell>
          <cell r="F1193" t="str">
            <v>Service</v>
          </cell>
          <cell r="G1193" t="str">
            <v>Service Collected</v>
          </cell>
          <cell r="H1193" t="str">
            <v>No</v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>https://panda-windows-and-doors.monday.com/protected_static/21046287/resources/2746296850/SO Vortex CA Daniel.pdf</v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>Annalene Conde Mar 2, 2026 3:16 PM</v>
          </cell>
          <cell r="X1193" t="str">
            <v/>
          </cell>
          <cell r="Y1193">
            <v>46062</v>
          </cell>
          <cell r="Z1193" t="str">
            <v/>
          </cell>
          <cell r="AA1193">
            <v>46062</v>
          </cell>
          <cell r="AB1193" t="str">
            <v>Annalene Conde Feb 9, 2026 11:41 AM</v>
          </cell>
          <cell r="AC1193" t="str">
            <v/>
          </cell>
          <cell r="AD1193" t="str">
            <v/>
          </cell>
          <cell r="AE1193" t="str">
            <v/>
          </cell>
          <cell r="AF1193" t="str">
            <v/>
          </cell>
          <cell r="AG1193">
            <v>46083</v>
          </cell>
          <cell r="AH1193" t="str">
            <v/>
          </cell>
          <cell r="AI1193" t="str">
            <v/>
          </cell>
        </row>
        <row r="1194">
          <cell r="C1194">
            <v>87308</v>
          </cell>
          <cell r="D1194" t="str">
            <v/>
          </cell>
          <cell r="E1194" t="str">
            <v/>
          </cell>
          <cell r="F1194" t="str">
            <v>Service</v>
          </cell>
          <cell r="G1194" t="str">
            <v>Service Collected</v>
          </cell>
          <cell r="H1194" t="str">
            <v>No</v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>https://panda-windows-and-doors.monday.com/protected_static/21046287/resources/2775933161/Service Form.pdf</v>
          </cell>
          <cell r="R1194" t="str">
            <v>https://panda-windows-and-doors.monday.com/protected_static/21046287/resources/2601643559/MF 5111 Q87308 SEAGRAPE #2 - B.O.M.pdf, https://panda-windows-and-doors.monday.com/protected_static/21046287/resources/2601643584/MF 5111 Q87308 SEAGRAPE #2 - BENDING MAT..pdf, https://panda-windows-and-doors.monday.com/protected_static/21046287/resources/2601643568/MF 5111 Q87308 SEAGRAPE #2 - CUTLIST (GINERI).pdf, https://panda-windows-and-doors.monday.com/protected_static/21046287/resources/2601643563/MF 5111 Q87308 SEAGRAPE #2 - CUTLIST (MANUAL).pdf, https://panda-windows-and-doors.monday.com/protected_static/21046287/resources/2601643567/MF 5111 Q87308 SEAGRAPE #2 - OPT.pdf</v>
          </cell>
          <cell r="S1194" t="str">
            <v>Completed - Closed Out</v>
          </cell>
          <cell r="T1194" t="str">
            <v/>
          </cell>
          <cell r="U1194" t="str">
            <v/>
          </cell>
          <cell r="V1194">
            <v>150</v>
          </cell>
          <cell r="W1194" t="str">
            <v>Annalene Conde Mar 3, 2026 1:07 PM</v>
          </cell>
          <cell r="X1194" t="str">
            <v/>
          </cell>
          <cell r="Y1194">
            <v>46073</v>
          </cell>
          <cell r="Z1194" t="str">
            <v/>
          </cell>
          <cell r="AA1194">
            <v>46073</v>
          </cell>
          <cell r="AB1194" t="str">
            <v>Annalene Conde Feb 20, 2026 4:30 PM</v>
          </cell>
          <cell r="AC1194" t="str">
            <v/>
          </cell>
          <cell r="AD1194" t="str">
            <v/>
          </cell>
          <cell r="AE1194" t="str">
            <v/>
          </cell>
          <cell r="AF1194" t="str">
            <v/>
          </cell>
          <cell r="AG1194">
            <v>46084</v>
          </cell>
          <cell r="AH1194" t="str">
            <v/>
          </cell>
          <cell r="AI1194" t="str">
            <v/>
          </cell>
        </row>
        <row r="1195">
          <cell r="C1195">
            <v>83220.100000000006</v>
          </cell>
          <cell r="D1195" t="str">
            <v/>
          </cell>
          <cell r="E1195" t="str">
            <v/>
          </cell>
          <cell r="F1195" t="str">
            <v>Service</v>
          </cell>
          <cell r="G1195" t="str">
            <v>Service Collected</v>
          </cell>
          <cell r="H1195" t="str">
            <v>No</v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>https://panda-windows-and-doors.monday.com/protected_static/21046287/resources/2805628357/SO Integrated2.pdf</v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>
            <v>5641.95</v>
          </cell>
          <cell r="W1195" t="str">
            <v>Annalene Conde Mar 5, 2026 11:45 AM</v>
          </cell>
          <cell r="X1195" t="str">
            <v/>
          </cell>
          <cell r="Y1195">
            <v>46086</v>
          </cell>
          <cell r="Z1195" t="str">
            <v/>
          </cell>
          <cell r="AA1195">
            <v>46086</v>
          </cell>
          <cell r="AB1195" t="str">
            <v>Annalene Conde Mar 5, 2026 8:54 AM</v>
          </cell>
          <cell r="AC1195" t="str">
            <v/>
          </cell>
          <cell r="AD1195" t="str">
            <v/>
          </cell>
          <cell r="AE1195" t="str">
            <v/>
          </cell>
          <cell r="AF1195" t="str">
            <v/>
          </cell>
          <cell r="AG1195">
            <v>46086</v>
          </cell>
          <cell r="AH1195" t="str">
            <v/>
          </cell>
          <cell r="AI1195" t="str">
            <v/>
          </cell>
        </row>
        <row r="1196">
          <cell r="C1196" t="str">
            <v>55352-S2</v>
          </cell>
          <cell r="D1196" t="str">
            <v/>
          </cell>
          <cell r="E1196" t="str">
            <v/>
          </cell>
          <cell r="F1196" t="str">
            <v>Service</v>
          </cell>
          <cell r="G1196" t="str">
            <v>Service Collected</v>
          </cell>
          <cell r="H1196" t="str">
            <v>No</v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>https://panda-windows-and-doors.monday.com/protected_static/21046287/resources/2788011648/Service Form.pdf, https://panda-windows-and-doors.monday.com/protected_static/21046287/resources/2828089026/Service Form.pdf</v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>
            <v>340</v>
          </cell>
          <cell r="W1196" t="str">
            <v>Annalene Conde Mar 9, 2026 9:21 AM</v>
          </cell>
          <cell r="X1196" t="str">
            <v/>
          </cell>
          <cell r="Y1196">
            <v>46079</v>
          </cell>
          <cell r="Z1196" t="str">
            <v/>
          </cell>
          <cell r="AA1196">
            <v>46079</v>
          </cell>
          <cell r="AB1196" t="str">
            <v>Annalene Conde Feb 26, 2026 8:46 AM</v>
          </cell>
          <cell r="AC1196" t="str">
            <v/>
          </cell>
          <cell r="AD1196" t="str">
            <v/>
          </cell>
          <cell r="AE1196" t="str">
            <v/>
          </cell>
          <cell r="AF1196" t="str">
            <v/>
          </cell>
          <cell r="AG1196">
            <v>46090</v>
          </cell>
          <cell r="AH1196" t="str">
            <v/>
          </cell>
          <cell r="AI1196" t="str">
            <v/>
          </cell>
        </row>
        <row r="1197">
          <cell r="C1197" t="str">
            <v>13021-S</v>
          </cell>
          <cell r="D1197" t="str">
            <v/>
          </cell>
          <cell r="E1197" t="str">
            <v/>
          </cell>
          <cell r="F1197" t="str">
            <v>Service</v>
          </cell>
          <cell r="G1197" t="str">
            <v>Service Collected</v>
          </cell>
          <cell r="H1197" t="str">
            <v>No</v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>https://panda-windows-and-doors.monday.com/protected_static/21046287/resources/2805651090/Service Form.pdf, https://panda-windows-and-doors.monday.com/protected_static/21046287/resources/2876256908/Service Form.pdf, https://panda-windows-and-doors.monday.com/protected_static/21046287/resources/3049534202/Service Form.pdf</v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>
            <v>119</v>
          </cell>
          <cell r="W1197" t="str">
            <v>Annalene Conde Mar 9, 2026 9:27 AM</v>
          </cell>
          <cell r="X1197" t="str">
            <v/>
          </cell>
          <cell r="Y1197">
            <v>46086</v>
          </cell>
          <cell r="Z1197" t="str">
            <v/>
          </cell>
          <cell r="AA1197">
            <v>46086</v>
          </cell>
          <cell r="AB1197" t="str">
            <v>Annalene Conde Mar 5, 2026 8:58 AM</v>
          </cell>
          <cell r="AC1197" t="str">
            <v/>
          </cell>
          <cell r="AD1197" t="str">
            <v/>
          </cell>
          <cell r="AE1197" t="str">
            <v/>
          </cell>
          <cell r="AF1197" t="str">
            <v/>
          </cell>
          <cell r="AG1197">
            <v>46090</v>
          </cell>
          <cell r="AH1197" t="str">
            <v/>
          </cell>
          <cell r="AI1197" t="str">
            <v/>
          </cell>
        </row>
        <row r="1198">
          <cell r="C1198" t="str">
            <v>68623-S4</v>
          </cell>
          <cell r="D1198" t="str">
            <v/>
          </cell>
          <cell r="E1198" t="str">
            <v/>
          </cell>
          <cell r="F1198" t="str">
            <v>Service</v>
          </cell>
          <cell r="G1198" t="str">
            <v>Service Collected</v>
          </cell>
          <cell r="H1198" t="str">
            <v>No</v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>https://panda-windows-and-doors.monday.com/protected_static/21046287/resources/2805551888/Service Form.pdf</v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>
            <v>881</v>
          </cell>
          <cell r="W1198" t="str">
            <v>Annalene Conde Mar 9, 2026 9:53 AM</v>
          </cell>
          <cell r="X1198" t="str">
            <v/>
          </cell>
          <cell r="Y1198">
            <v>46086</v>
          </cell>
          <cell r="Z1198" t="str">
            <v/>
          </cell>
          <cell r="AA1198">
            <v>46086</v>
          </cell>
          <cell r="AB1198" t="str">
            <v>Annalene Conde Mar 5, 2026 8:32 AM</v>
          </cell>
          <cell r="AC1198" t="str">
            <v/>
          </cell>
          <cell r="AD1198" t="str">
            <v/>
          </cell>
          <cell r="AE1198" t="str">
            <v/>
          </cell>
          <cell r="AF1198" t="str">
            <v/>
          </cell>
          <cell r="AG1198">
            <v>46090</v>
          </cell>
          <cell r="AH1198" t="str">
            <v/>
          </cell>
          <cell r="AI1198" t="str">
            <v/>
          </cell>
        </row>
        <row r="1199">
          <cell r="C1199" t="str">
            <v>60325-S</v>
          </cell>
          <cell r="D1199" t="str">
            <v/>
          </cell>
          <cell r="E1199" t="str">
            <v/>
          </cell>
          <cell r="F1199" t="str">
            <v>Service</v>
          </cell>
          <cell r="G1199" t="str">
            <v>Service Collected</v>
          </cell>
          <cell r="H1199" t="str">
            <v>No</v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>https://panda-windows-and-doors.monday.com/protected_static/21046287/resources/2800166414/10511 B &amp; D Glass.pdf</v>
          </cell>
          <cell r="O1199" t="str">
            <v/>
          </cell>
          <cell r="P1199" t="str">
            <v/>
          </cell>
          <cell r="Q1199" t="str">
            <v>https://panda-windows-and-doors.monday.com/protected_static/21046287/resources/2797237240/Service Form.pdf, https://panda-windows-and-doors.monday.com/protected_static/21046287/resources/3035125013/Service Form.pdf</v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>
            <v>226</v>
          </cell>
          <cell r="W1199" t="str">
            <v>Annalene Conde Mar 9, 2026 10:02 AM</v>
          </cell>
          <cell r="X1199" t="str">
            <v/>
          </cell>
          <cell r="Y1199">
            <v>46083</v>
          </cell>
          <cell r="Z1199" t="str">
            <v/>
          </cell>
          <cell r="AA1199">
            <v>46083</v>
          </cell>
          <cell r="AB1199" t="str">
            <v>Annalene Conde Mar 2, 2026 4:12 PM</v>
          </cell>
          <cell r="AC1199" t="str">
            <v/>
          </cell>
          <cell r="AD1199" t="str">
            <v/>
          </cell>
          <cell r="AE1199" t="str">
            <v/>
          </cell>
          <cell r="AF1199" t="str">
            <v/>
          </cell>
          <cell r="AG1199">
            <v>46090</v>
          </cell>
          <cell r="AH1199" t="str">
            <v/>
          </cell>
          <cell r="AI1199" t="str">
            <v/>
          </cell>
        </row>
        <row r="1200">
          <cell r="C1200">
            <v>70550</v>
          </cell>
          <cell r="D1200" t="str">
            <v/>
          </cell>
          <cell r="E1200" t="str">
            <v/>
          </cell>
          <cell r="F1200" t="str">
            <v>Service</v>
          </cell>
          <cell r="G1200" t="str">
            <v>Service Collected</v>
          </cell>
          <cell r="H1200" t="str">
            <v>No</v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>https://panda-windows-and-doors.monday.com/protected_static/21046287/resources/2803977797/SO Aragon.pdf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>
            <v>2687.9</v>
          </cell>
          <cell r="W1200" t="str">
            <v>Annalene Conde Mar 16, 2026 3:42 PM</v>
          </cell>
          <cell r="X1200" t="str">
            <v/>
          </cell>
          <cell r="Y1200">
            <v>46085</v>
          </cell>
          <cell r="Z1200" t="str">
            <v/>
          </cell>
          <cell r="AA1200">
            <v>46085</v>
          </cell>
          <cell r="AB1200" t="str">
            <v>Annalene Conde Mar 4, 2026 3:52 PM</v>
          </cell>
          <cell r="AC1200" t="str">
            <v/>
          </cell>
          <cell r="AD1200" t="str">
            <v/>
          </cell>
          <cell r="AE1200" t="str">
            <v/>
          </cell>
          <cell r="AF1200" t="str">
            <v/>
          </cell>
          <cell r="AG1200">
            <v>46097</v>
          </cell>
          <cell r="AH1200" t="str">
            <v/>
          </cell>
          <cell r="AI1200" t="str">
            <v/>
          </cell>
        </row>
        <row r="1201">
          <cell r="C1201" t="str">
            <v>84921-S1</v>
          </cell>
          <cell r="D1201" t="str">
            <v/>
          </cell>
          <cell r="E1201" t="str">
            <v/>
          </cell>
          <cell r="F1201" t="str">
            <v>Service</v>
          </cell>
          <cell r="G1201" t="str">
            <v>Service Collected</v>
          </cell>
          <cell r="H1201" t="str">
            <v>No</v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>https://panda-windows-and-doors.monday.com/protected_static/21046287/resources/2764129904/Service Form.pdf</v>
          </cell>
          <cell r="R1201" t="str">
            <v>https://panda-windows-and-doors.monday.com/protected_static/21046287/resources/2292117407/Wenatchee Valley Glass - Reseller Permit  5 Effective 5-4-2023 - WA.pdf</v>
          </cell>
          <cell r="S1201" t="str">
            <v/>
          </cell>
          <cell r="T1201" t="str">
            <v/>
          </cell>
          <cell r="U1201" t="str">
            <v/>
          </cell>
          <cell r="V1201">
            <v>4800</v>
          </cell>
          <cell r="W1201" t="str">
            <v>Annalene Conde Mar 18, 2026 11:49 AM</v>
          </cell>
          <cell r="X1201" t="str">
            <v/>
          </cell>
          <cell r="Y1201">
            <v>46069</v>
          </cell>
          <cell r="Z1201" t="str">
            <v/>
          </cell>
          <cell r="AA1201">
            <v>46069</v>
          </cell>
          <cell r="AB1201" t="str">
            <v>Annalene Conde Feb 16, 2026 4:42 PM</v>
          </cell>
          <cell r="AC1201" t="str">
            <v/>
          </cell>
          <cell r="AD1201" t="str">
            <v/>
          </cell>
          <cell r="AE1201" t="str">
            <v/>
          </cell>
          <cell r="AF1201" t="str">
            <v/>
          </cell>
          <cell r="AG1201">
            <v>46099</v>
          </cell>
          <cell r="AH1201" t="str">
            <v/>
          </cell>
          <cell r="AI1201" t="str">
            <v/>
          </cell>
        </row>
        <row r="1202">
          <cell r="C1202">
            <v>5048</v>
          </cell>
          <cell r="D1202" t="str">
            <v/>
          </cell>
          <cell r="E1202" t="str">
            <v/>
          </cell>
          <cell r="F1202" t="str">
            <v>Service</v>
          </cell>
          <cell r="G1202" t="str">
            <v>Service Collected</v>
          </cell>
          <cell r="H1202" t="str">
            <v>No</v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>https://panda-windows-and-doors.monday.com/protected_static/21046287/resources/2828064373/Service Form.pdf</v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>
            <v>143</v>
          </cell>
          <cell r="W1202" t="str">
            <v>Annalene Conde Mar 18, 2026 1:01 PM</v>
          </cell>
          <cell r="X1202" t="str">
            <v/>
          </cell>
          <cell r="Y1202">
            <v>46094</v>
          </cell>
          <cell r="Z1202" t="str">
            <v/>
          </cell>
          <cell r="AA1202">
            <v>46094</v>
          </cell>
          <cell r="AB1202" t="str">
            <v>Annalene Conde Mar 13, 2026 1:55 PM</v>
          </cell>
          <cell r="AC1202" t="str">
            <v/>
          </cell>
          <cell r="AD1202" t="str">
            <v/>
          </cell>
          <cell r="AE1202" t="str">
            <v/>
          </cell>
          <cell r="AF1202" t="str">
            <v/>
          </cell>
          <cell r="AG1202">
            <v>46099</v>
          </cell>
          <cell r="AH1202" t="str">
            <v/>
          </cell>
          <cell r="AI1202" t="str">
            <v/>
          </cell>
        </row>
        <row r="1203">
          <cell r="C1203" t="str">
            <v>Quick Fix</v>
          </cell>
          <cell r="D1203" t="str">
            <v/>
          </cell>
          <cell r="E1203" t="str">
            <v/>
          </cell>
          <cell r="F1203" t="str">
            <v>Service</v>
          </cell>
          <cell r="G1203" t="str">
            <v>Service Collected</v>
          </cell>
          <cell r="H1203" t="str">
            <v>No</v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>https://panda-windows-and-doors.monday.com/protected_static/21046287/resources/2827452074/SO Quick Fix.pdf</v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>
            <v>540</v>
          </cell>
          <cell r="W1203" t="str">
            <v>Annalene Conde Mar 18, 2026 1:20 PM</v>
          </cell>
          <cell r="X1203" t="str">
            <v/>
          </cell>
          <cell r="Y1203">
            <v>46094</v>
          </cell>
          <cell r="Z1203" t="str">
            <v/>
          </cell>
          <cell r="AA1203">
            <v>46094</v>
          </cell>
          <cell r="AB1203" t="str">
            <v>Annalene Conde Mar 13, 2026 10:30 AM</v>
          </cell>
          <cell r="AC1203" t="str">
            <v/>
          </cell>
          <cell r="AD1203" t="str">
            <v/>
          </cell>
          <cell r="AE1203" t="str">
            <v/>
          </cell>
          <cell r="AF1203" t="str">
            <v/>
          </cell>
          <cell r="AG1203">
            <v>46099</v>
          </cell>
          <cell r="AH1203" t="str">
            <v/>
          </cell>
          <cell r="AI1203" t="str">
            <v/>
          </cell>
        </row>
        <row r="1204">
          <cell r="C1204" t="str">
            <v>55352-S2.1</v>
          </cell>
          <cell r="D1204" t="str">
            <v/>
          </cell>
          <cell r="E1204" t="str">
            <v/>
          </cell>
          <cell r="F1204" t="str">
            <v>Service</v>
          </cell>
          <cell r="G1204" t="str">
            <v>Service Collected</v>
          </cell>
          <cell r="H1204" t="str">
            <v>No</v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M1204" t="str">
            <v/>
          </cell>
          <cell r="N1204" t="str">
            <v/>
          </cell>
          <cell r="O1204" t="str">
            <v/>
          </cell>
          <cell r="P1204" t="str">
            <v/>
          </cell>
          <cell r="Q1204" t="str">
            <v>https://panda-windows-and-doors.monday.com/protected_static/21046287/resources/2828089026/Service Form.pdf</v>
          </cell>
          <cell r="R1204" t="str">
            <v/>
          </cell>
          <cell r="S1204" t="str">
            <v/>
          </cell>
          <cell r="T1204" t="str">
            <v/>
          </cell>
          <cell r="U1204" t="str">
            <v/>
          </cell>
          <cell r="V1204">
            <v>85</v>
          </cell>
          <cell r="W1204" t="str">
            <v>Annalene Conde Mar 18, 2026 1:21 PM</v>
          </cell>
          <cell r="X1204" t="str">
            <v/>
          </cell>
          <cell r="Y1204">
            <v>46094</v>
          </cell>
          <cell r="Z1204" t="str">
            <v/>
          </cell>
          <cell r="AA1204">
            <v>46094</v>
          </cell>
          <cell r="AB1204" t="str">
            <v>Annalene Conde Mar 13, 2026 2:04 PM</v>
          </cell>
          <cell r="AC1204" t="str">
            <v/>
          </cell>
          <cell r="AD1204" t="str">
            <v/>
          </cell>
          <cell r="AE1204" t="str">
            <v/>
          </cell>
          <cell r="AF1204" t="str">
            <v/>
          </cell>
          <cell r="AG1204">
            <v>46099</v>
          </cell>
          <cell r="AH1204" t="str">
            <v/>
          </cell>
          <cell r="AI1204" t="str">
            <v/>
          </cell>
        </row>
        <row r="1205">
          <cell r="C1205">
            <v>82057</v>
          </cell>
          <cell r="D1205" t="str">
            <v/>
          </cell>
          <cell r="E1205" t="str">
            <v/>
          </cell>
          <cell r="F1205" t="str">
            <v>Service</v>
          </cell>
          <cell r="G1205" t="str">
            <v>Service Collected</v>
          </cell>
          <cell r="H1205" t="str">
            <v>No</v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M1205" t="str">
            <v/>
          </cell>
          <cell r="N1205" t="str">
            <v/>
          </cell>
          <cell r="O1205" t="str">
            <v/>
          </cell>
          <cell r="P1205" t="str">
            <v/>
          </cell>
          <cell r="Q1205" t="str">
            <v>https://panda-windows-and-doors.monday.com/protected_static/21046287/resources/2825066022/SO E. Williams.pdf, https://panda-windows-and-doors.monday.com/protected_static/21046287/resources/3040136220/Service Form.pdf</v>
          </cell>
          <cell r="R1205" t="str">
            <v>https://panda-windows-and-doors.monday.com/protected_static/21046287/resources/2462556118/Cutting List from 9_26_2025.pdf, https://panda-windows-and-doors.monday.com/protected_static/21046287/resources/2462556117/Cut Optimisation from 9_26_2025.pdf, https://panda-windows-and-doors.monday.com/protected_static/21046287/resources/2462556115/Assembly List Panda 001(1) from 9_26_2025.pdf, https://panda-windows-and-doors.monday.com/protected_static/21046287/resources/2462556122/Stock List from 9_26_2025.pdf</v>
          </cell>
          <cell r="S1205" t="str">
            <v>Completed - Closed Out</v>
          </cell>
          <cell r="T1205" t="str">
            <v/>
          </cell>
          <cell r="U1205" t="str">
            <v/>
          </cell>
          <cell r="V1205">
            <v>785</v>
          </cell>
          <cell r="W1205" t="str">
            <v>Annalene Conde Mar 18, 2026 2:36 PM</v>
          </cell>
          <cell r="X1205" t="str">
            <v/>
          </cell>
          <cell r="Y1205">
            <v>46093</v>
          </cell>
          <cell r="Z1205" t="str">
            <v/>
          </cell>
          <cell r="AA1205">
            <v>46093</v>
          </cell>
          <cell r="AB1205" t="str">
            <v>Annalene Conde Mar 12, 2026 2:13 PM</v>
          </cell>
          <cell r="AC1205" t="str">
            <v/>
          </cell>
          <cell r="AD1205" t="str">
            <v/>
          </cell>
          <cell r="AE1205" t="str">
            <v/>
          </cell>
          <cell r="AF1205" t="str">
            <v/>
          </cell>
          <cell r="AG1205">
            <v>46099</v>
          </cell>
          <cell r="AH1205" t="str">
            <v/>
          </cell>
          <cell r="AI1205" t="str">
            <v/>
          </cell>
        </row>
        <row r="1206">
          <cell r="C1206" t="str">
            <v>70247-S2</v>
          </cell>
          <cell r="D1206" t="str">
            <v/>
          </cell>
          <cell r="E1206" t="str">
            <v/>
          </cell>
          <cell r="F1206" t="str">
            <v>Service</v>
          </cell>
          <cell r="G1206" t="str">
            <v>Service Collected</v>
          </cell>
          <cell r="H1206" t="str">
            <v>No</v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N1206" t="str">
            <v/>
          </cell>
          <cell r="O1206" t="str">
            <v/>
          </cell>
          <cell r="P1206" t="str">
            <v/>
          </cell>
          <cell r="Q1206" t="str">
            <v>https://panda-windows-and-doors.monday.com/protected_static/21046287/resources/2798995483/Service Form.pdf, https://panda-windows-and-doors.monday.com/protected_static/21046287/resources/2903594875/Service Form.pdf</v>
          </cell>
          <cell r="R1206" t="str">
            <v/>
          </cell>
          <cell r="S1206" t="str">
            <v/>
          </cell>
          <cell r="T1206" t="str">
            <v/>
          </cell>
          <cell r="U1206" t="str">
            <v/>
          </cell>
          <cell r="V1206">
            <v>69</v>
          </cell>
          <cell r="W1206" t="str">
            <v>Annalene Conde Apr 15, 2026 12:32 PM</v>
          </cell>
          <cell r="X1206" t="str">
            <v/>
          </cell>
          <cell r="Y1206">
            <v>46084</v>
          </cell>
          <cell r="Z1206" t="str">
            <v/>
          </cell>
          <cell r="AA1206">
            <v>46084</v>
          </cell>
          <cell r="AB1206" t="str">
            <v>Annalene Conde Mar 3, 2026 8:42 AM</v>
          </cell>
          <cell r="AC1206" t="str">
            <v/>
          </cell>
          <cell r="AD1206" t="str">
            <v/>
          </cell>
          <cell r="AE1206" t="str">
            <v/>
          </cell>
          <cell r="AF1206" t="str">
            <v/>
          </cell>
          <cell r="AG1206">
            <v>46100</v>
          </cell>
          <cell r="AH1206" t="str">
            <v/>
          </cell>
          <cell r="AI1206" t="str">
            <v/>
          </cell>
        </row>
        <row r="1207">
          <cell r="C1207">
            <v>79940</v>
          </cell>
          <cell r="D1207" t="str">
            <v/>
          </cell>
          <cell r="E1207" t="str">
            <v/>
          </cell>
          <cell r="F1207" t="str">
            <v>Service</v>
          </cell>
          <cell r="G1207" t="str">
            <v>Service Collected</v>
          </cell>
          <cell r="H1207" t="str">
            <v>No</v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N1207" t="str">
            <v/>
          </cell>
          <cell r="O1207" t="str">
            <v/>
          </cell>
          <cell r="P1207" t="str">
            <v/>
          </cell>
          <cell r="Q1207" t="str">
            <v>https://panda-windows-and-doors.monday.com/protected_static/21046287/resources/2839200511/Service Form.pdf</v>
          </cell>
          <cell r="R1207" t="str">
            <v/>
          </cell>
          <cell r="S1207" t="str">
            <v>Completed - Closed Out</v>
          </cell>
          <cell r="T1207" t="str">
            <v/>
          </cell>
          <cell r="U1207" t="str">
            <v/>
          </cell>
          <cell r="V1207">
            <v>2108.35</v>
          </cell>
          <cell r="W1207" t="str">
            <v>Annalene Conde Mar 19, 2026 5:01 PM</v>
          </cell>
          <cell r="X1207" t="str">
            <v/>
          </cell>
          <cell r="Y1207">
            <v>46099</v>
          </cell>
          <cell r="Z1207" t="str">
            <v/>
          </cell>
          <cell r="AA1207">
            <v>46099</v>
          </cell>
          <cell r="AB1207" t="str">
            <v>Annalene Conde Mar 18, 2026 2:45 PM</v>
          </cell>
          <cell r="AC1207" t="str">
            <v/>
          </cell>
          <cell r="AD1207" t="str">
            <v/>
          </cell>
          <cell r="AE1207" t="str">
            <v/>
          </cell>
          <cell r="AF1207" t="str">
            <v/>
          </cell>
          <cell r="AG1207">
            <v>46100</v>
          </cell>
          <cell r="AH1207" t="str">
            <v/>
          </cell>
          <cell r="AI1207" t="str">
            <v/>
          </cell>
        </row>
        <row r="1208">
          <cell r="C1208">
            <v>72951</v>
          </cell>
          <cell r="D1208" t="str">
            <v/>
          </cell>
          <cell r="E1208" t="str">
            <v/>
          </cell>
          <cell r="F1208" t="str">
            <v>Service</v>
          </cell>
          <cell r="G1208" t="str">
            <v>Service Collected</v>
          </cell>
          <cell r="H1208" t="str">
            <v>No</v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M1208" t="str">
            <v/>
          </cell>
          <cell r="N1208" t="str">
            <v/>
          </cell>
          <cell r="O1208" t="str">
            <v/>
          </cell>
          <cell r="P1208" t="str">
            <v/>
          </cell>
          <cell r="Q1208" t="str">
            <v>https://panda-windows-and-doors.monday.com/protected_static/21046287/resources/2841662257/Service Form.pdf</v>
          </cell>
          <cell r="R1208" t="str">
            <v/>
          </cell>
          <cell r="S1208" t="str">
            <v/>
          </cell>
          <cell r="T1208" t="str">
            <v/>
          </cell>
          <cell r="U1208" t="str">
            <v/>
          </cell>
          <cell r="V1208">
            <v>653</v>
          </cell>
          <cell r="W1208" t="str">
            <v>Annalene Conde Mar 24, 2026 3:55 PM</v>
          </cell>
          <cell r="X1208" t="str">
            <v/>
          </cell>
          <cell r="Y1208">
            <v>46100</v>
          </cell>
          <cell r="Z1208" t="str">
            <v/>
          </cell>
          <cell r="AA1208">
            <v>46100</v>
          </cell>
          <cell r="AB1208" t="str">
            <v>Annalene Conde Mar 19, 2026 12:09 PM</v>
          </cell>
          <cell r="AC1208" t="str">
            <v/>
          </cell>
          <cell r="AD1208" t="str">
            <v/>
          </cell>
          <cell r="AE1208" t="str">
            <v/>
          </cell>
          <cell r="AF1208" t="str">
            <v/>
          </cell>
          <cell r="AG1208">
            <v>46105</v>
          </cell>
          <cell r="AH1208" t="str">
            <v/>
          </cell>
          <cell r="AI1208" t="str">
            <v/>
          </cell>
        </row>
        <row r="1209">
          <cell r="C1209">
            <v>18830</v>
          </cell>
          <cell r="D1209" t="str">
            <v/>
          </cell>
          <cell r="E1209" t="str">
            <v/>
          </cell>
          <cell r="F1209" t="str">
            <v>Service</v>
          </cell>
          <cell r="G1209" t="str">
            <v>Service Collected</v>
          </cell>
          <cell r="H1209" t="str">
            <v>No</v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M1209" t="str">
            <v/>
          </cell>
          <cell r="N1209" t="str">
            <v/>
          </cell>
          <cell r="O1209" t="str">
            <v/>
          </cell>
          <cell r="P1209" t="str">
            <v/>
          </cell>
          <cell r="Q1209" t="str">
            <v>https://panda-windows-and-doors.monday.com/protected_static/21046287/resources/2848578918/Service Form.pdf</v>
          </cell>
          <cell r="R1209" t="str">
            <v/>
          </cell>
          <cell r="S1209" t="str">
            <v/>
          </cell>
          <cell r="T1209" t="str">
            <v/>
          </cell>
          <cell r="U1209" t="str">
            <v/>
          </cell>
          <cell r="V1209">
            <v>67</v>
          </cell>
          <cell r="W1209" t="str">
            <v>Annalene Conde Mar 24, 2026 4:01 PM</v>
          </cell>
          <cell r="X1209" t="str">
            <v/>
          </cell>
          <cell r="Y1209">
            <v>46104</v>
          </cell>
          <cell r="Z1209" t="str">
            <v/>
          </cell>
          <cell r="AA1209">
            <v>46104</v>
          </cell>
          <cell r="AB1209" t="str">
            <v>Annalene Conde Mar 23, 2026 2:11 PM</v>
          </cell>
          <cell r="AC1209" t="str">
            <v/>
          </cell>
          <cell r="AD1209" t="str">
            <v/>
          </cell>
          <cell r="AE1209" t="str">
            <v/>
          </cell>
          <cell r="AF1209" t="str">
            <v/>
          </cell>
          <cell r="AG1209">
            <v>46105</v>
          </cell>
          <cell r="AH1209" t="str">
            <v/>
          </cell>
          <cell r="AI1209" t="str">
            <v/>
          </cell>
        </row>
        <row r="1210">
          <cell r="C1210" t="str">
            <v>S2 Architects</v>
          </cell>
          <cell r="D1210" t="str">
            <v/>
          </cell>
          <cell r="E1210" t="str">
            <v/>
          </cell>
          <cell r="F1210" t="str">
            <v>Service</v>
          </cell>
          <cell r="G1210" t="str">
            <v>Service Collected</v>
          </cell>
          <cell r="H1210" t="str">
            <v>No</v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M1210" t="str">
            <v/>
          </cell>
          <cell r="N1210" t="str">
            <v/>
          </cell>
          <cell r="O1210" t="str">
            <v/>
          </cell>
          <cell r="P1210" t="str">
            <v/>
          </cell>
          <cell r="Q1210" t="str">
            <v>https://panda-windows-and-doors.monday.com/protected_static/21046287/resources/2828132920/SO S2 Architects.pdf</v>
          </cell>
          <cell r="R1210" t="str">
            <v/>
          </cell>
          <cell r="S1210" t="str">
            <v/>
          </cell>
          <cell r="T1210" t="str">
            <v/>
          </cell>
          <cell r="U1210" t="str">
            <v/>
          </cell>
          <cell r="V1210">
            <v>407</v>
          </cell>
          <cell r="W1210" t="str">
            <v>Annalene Conde Mar 25, 2026 10:20 AM</v>
          </cell>
          <cell r="X1210" t="str">
            <v/>
          </cell>
          <cell r="Y1210">
            <v>46094</v>
          </cell>
          <cell r="Z1210" t="str">
            <v/>
          </cell>
          <cell r="AA1210">
            <v>46094</v>
          </cell>
          <cell r="AB1210" t="str">
            <v>Annalene Conde Mar 13, 2026 2:21 PM</v>
          </cell>
          <cell r="AC1210" t="str">
            <v/>
          </cell>
          <cell r="AD1210" t="str">
            <v/>
          </cell>
          <cell r="AE1210" t="str">
            <v/>
          </cell>
          <cell r="AF1210" t="str">
            <v/>
          </cell>
          <cell r="AG1210">
            <v>46106</v>
          </cell>
          <cell r="AH1210" t="str">
            <v/>
          </cell>
          <cell r="AI1210" t="str">
            <v/>
          </cell>
        </row>
        <row r="1211">
          <cell r="C1211">
            <v>76159</v>
          </cell>
          <cell r="D1211" t="str">
            <v/>
          </cell>
          <cell r="E1211" t="str">
            <v/>
          </cell>
          <cell r="F1211" t="str">
            <v>Service</v>
          </cell>
          <cell r="G1211" t="str">
            <v>Service Collected</v>
          </cell>
          <cell r="H1211" t="str">
            <v>No</v>
          </cell>
          <cell r="I1211" t="str">
            <v/>
          </cell>
          <cell r="J1211" t="str">
            <v>Maliah Hernandez</v>
          </cell>
          <cell r="K1211" t="str">
            <v/>
          </cell>
          <cell r="L1211" t="str">
            <v/>
          </cell>
          <cell r="M1211" t="str">
            <v/>
          </cell>
          <cell r="N1211" t="str">
            <v/>
          </cell>
          <cell r="O1211" t="str">
            <v/>
          </cell>
          <cell r="P1211" t="str">
            <v>https://panda-windows-and-doors.monday.com/protected_static/21046287/resources/2818226758/Service Form.pdf</v>
          </cell>
          <cell r="Q1211" t="str">
            <v>https://panda-windows-and-doors.monday.com/protected_static/21046287/resources/2818092685/Service Form.pdf</v>
          </cell>
          <cell r="R1211" t="str">
            <v/>
          </cell>
          <cell r="S1211" t="str">
            <v/>
          </cell>
          <cell r="T1211" t="str">
            <v/>
          </cell>
          <cell r="U1211" t="str">
            <v/>
          </cell>
          <cell r="V1211">
            <v>429</v>
          </cell>
          <cell r="W1211" t="str">
            <v>Annalene Conde Mar 25, 2026 4:11 PM</v>
          </cell>
          <cell r="X1211" t="str">
            <v/>
          </cell>
          <cell r="Y1211" t="str">
            <v/>
          </cell>
          <cell r="Z1211" t="str">
            <v/>
          </cell>
          <cell r="AA1211">
            <v>46091</v>
          </cell>
          <cell r="AB1211" t="str">
            <v>Annalene Conde Mar 10, 2026 2:34 PM</v>
          </cell>
          <cell r="AC1211" t="str">
            <v/>
          </cell>
          <cell r="AD1211" t="str">
            <v/>
          </cell>
          <cell r="AE1211" t="str">
            <v/>
          </cell>
          <cell r="AF1211" t="str">
            <v/>
          </cell>
          <cell r="AG1211">
            <v>46106</v>
          </cell>
          <cell r="AH1211" t="str">
            <v/>
          </cell>
          <cell r="AI1211" t="str">
            <v/>
          </cell>
        </row>
        <row r="1212">
          <cell r="C1212" t="str">
            <v>Cornerstone</v>
          </cell>
          <cell r="D1212" t="str">
            <v/>
          </cell>
          <cell r="E1212" t="str">
            <v/>
          </cell>
          <cell r="F1212" t="str">
            <v>Service</v>
          </cell>
          <cell r="G1212" t="str">
            <v>Service Collected</v>
          </cell>
          <cell r="H1212" t="str">
            <v>No</v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N1212" t="str">
            <v/>
          </cell>
          <cell r="O1212" t="str">
            <v/>
          </cell>
          <cell r="P1212" t="str">
            <v/>
          </cell>
          <cell r="Q1212" t="str">
            <v>https://panda-windows-and-doors.monday.com/protected_static/21046287/resources/2817823357/SO Cornerstone.pdf</v>
          </cell>
          <cell r="R1212" t="str">
            <v/>
          </cell>
          <cell r="S1212" t="str">
            <v/>
          </cell>
          <cell r="T1212" t="str">
            <v/>
          </cell>
          <cell r="U1212" t="str">
            <v/>
          </cell>
          <cell r="V1212">
            <v>1909</v>
          </cell>
          <cell r="W1212" t="str">
            <v>Annalene Conde Mar 30, 2026 2:04 PM</v>
          </cell>
          <cell r="X1212" t="str">
            <v/>
          </cell>
          <cell r="Y1212">
            <v>46091</v>
          </cell>
          <cell r="Z1212" t="str">
            <v/>
          </cell>
          <cell r="AA1212">
            <v>46091</v>
          </cell>
          <cell r="AB1212" t="str">
            <v>Annalene Conde Mar 10, 2026 1:07 PM</v>
          </cell>
          <cell r="AC1212" t="str">
            <v/>
          </cell>
          <cell r="AD1212" t="str">
            <v/>
          </cell>
          <cell r="AE1212" t="str">
            <v/>
          </cell>
          <cell r="AF1212" t="str">
            <v/>
          </cell>
          <cell r="AG1212">
            <v>46111</v>
          </cell>
          <cell r="AH1212" t="str">
            <v/>
          </cell>
          <cell r="AI1212" t="str">
            <v/>
          </cell>
        </row>
        <row r="1213">
          <cell r="C1213" t="str">
            <v>Pitfire Pizza</v>
          </cell>
          <cell r="D1213" t="str">
            <v/>
          </cell>
          <cell r="E1213" t="str">
            <v/>
          </cell>
          <cell r="F1213" t="str">
            <v>Service</v>
          </cell>
          <cell r="G1213" t="str">
            <v>Service Collected</v>
          </cell>
          <cell r="H1213" t="str">
            <v>No</v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/>
          </cell>
          <cell r="N1213" t="str">
            <v/>
          </cell>
          <cell r="O1213" t="str">
            <v/>
          </cell>
          <cell r="P1213" t="str">
            <v/>
          </cell>
          <cell r="Q1213" t="str">
            <v>https://panda-windows-and-doors.monday.com/protected_static/21046287/resources/2841571619/SO Gonzo.pdf</v>
          </cell>
          <cell r="R1213" t="str">
            <v/>
          </cell>
          <cell r="S1213" t="str">
            <v/>
          </cell>
          <cell r="T1213" t="str">
            <v/>
          </cell>
          <cell r="U1213" t="str">
            <v/>
          </cell>
          <cell r="V1213">
            <v>8428</v>
          </cell>
          <cell r="W1213" t="str">
            <v>Annalene Conde Mar 30, 2026 2:24 PM</v>
          </cell>
          <cell r="X1213" t="str">
            <v/>
          </cell>
          <cell r="Y1213">
            <v>46100</v>
          </cell>
          <cell r="Z1213" t="str">
            <v/>
          </cell>
          <cell r="AA1213">
            <v>46100</v>
          </cell>
          <cell r="AB1213" t="str">
            <v>Annalene Conde Mar 19, 2026 11:39 AM</v>
          </cell>
          <cell r="AC1213" t="str">
            <v/>
          </cell>
          <cell r="AD1213" t="str">
            <v/>
          </cell>
          <cell r="AE1213" t="str">
            <v/>
          </cell>
          <cell r="AF1213" t="str">
            <v/>
          </cell>
          <cell r="AG1213">
            <v>46111</v>
          </cell>
          <cell r="AH1213" t="str">
            <v/>
          </cell>
          <cell r="AI1213" t="str">
            <v/>
          </cell>
        </row>
        <row r="1214">
          <cell r="C1214">
            <v>71241.100000000006</v>
          </cell>
          <cell r="D1214" t="str">
            <v/>
          </cell>
          <cell r="E1214" t="str">
            <v/>
          </cell>
          <cell r="F1214" t="str">
            <v>Service</v>
          </cell>
          <cell r="G1214" t="str">
            <v>Service Collected</v>
          </cell>
          <cell r="H1214" t="str">
            <v>No</v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M1214" t="str">
            <v/>
          </cell>
          <cell r="N1214" t="str">
            <v/>
          </cell>
          <cell r="O1214" t="str">
            <v/>
          </cell>
          <cell r="P1214" t="str">
            <v/>
          </cell>
          <cell r="Q1214" t="str">
            <v>https://panda-windows-and-doors.monday.com/protected_static/21046287/resources/2769260497/SO 71241.pdf</v>
          </cell>
          <cell r="R1214" t="str">
            <v/>
          </cell>
          <cell r="S1214" t="str">
            <v/>
          </cell>
          <cell r="T1214" t="str">
            <v/>
          </cell>
          <cell r="U1214" t="str">
            <v/>
          </cell>
          <cell r="V1214">
            <v>849</v>
          </cell>
          <cell r="W1214" t="str">
            <v>Annalene Conde Apr 1, 2026 11:24 AM</v>
          </cell>
          <cell r="X1214" t="str">
            <v/>
          </cell>
          <cell r="Y1214">
            <v>46071</v>
          </cell>
          <cell r="Z1214" t="str">
            <v/>
          </cell>
          <cell r="AA1214">
            <v>46071</v>
          </cell>
          <cell r="AB1214" t="str">
            <v>Annalene Conde Feb 18, 2026 1:19 PM</v>
          </cell>
          <cell r="AC1214" t="str">
            <v/>
          </cell>
          <cell r="AD1214" t="str">
            <v/>
          </cell>
          <cell r="AE1214" t="str">
            <v/>
          </cell>
          <cell r="AF1214" t="str">
            <v/>
          </cell>
          <cell r="AG1214">
            <v>46113</v>
          </cell>
          <cell r="AH1214" t="str">
            <v/>
          </cell>
          <cell r="AI1214" t="str">
            <v/>
          </cell>
        </row>
        <row r="1215">
          <cell r="C1215">
            <v>70808</v>
          </cell>
          <cell r="D1215" t="str">
            <v/>
          </cell>
          <cell r="E1215" t="str">
            <v/>
          </cell>
          <cell r="F1215" t="str">
            <v>Service</v>
          </cell>
          <cell r="G1215" t="str">
            <v>Service Collected</v>
          </cell>
          <cell r="H1215" t="str">
            <v>No</v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/>
          </cell>
          <cell r="N1215" t="str">
            <v/>
          </cell>
          <cell r="O1215" t="str">
            <v/>
          </cell>
          <cell r="P1215" t="str">
            <v/>
          </cell>
          <cell r="Q1215" t="str">
            <v>https://panda-windows-and-doors.monday.com/protected_static/21046287/resources/2854007320/Service Form.pdf, https://panda-windows-and-doors.monday.com/protected_static/21046287/resources/2996612889/Service Form.pdf</v>
          </cell>
          <cell r="R1215" t="str">
            <v/>
          </cell>
          <cell r="S1215" t="str">
            <v/>
          </cell>
          <cell r="T1215" t="str">
            <v/>
          </cell>
          <cell r="U1215" t="str">
            <v/>
          </cell>
          <cell r="V1215">
            <v>725</v>
          </cell>
          <cell r="W1215" t="str">
            <v>Annalene Conde Apr 1, 2026 2:24 PM</v>
          </cell>
          <cell r="X1215" t="str">
            <v/>
          </cell>
          <cell r="Y1215">
            <v>46106</v>
          </cell>
          <cell r="Z1215" t="str">
            <v/>
          </cell>
          <cell r="AA1215">
            <v>46106</v>
          </cell>
          <cell r="AB1215" t="str">
            <v>Annalene Conde Mar 25, 2026 10:00 AM</v>
          </cell>
          <cell r="AC1215" t="str">
            <v/>
          </cell>
          <cell r="AD1215" t="str">
            <v/>
          </cell>
          <cell r="AE1215" t="str">
            <v/>
          </cell>
          <cell r="AF1215" t="str">
            <v/>
          </cell>
          <cell r="AG1215">
            <v>46113</v>
          </cell>
          <cell r="AH1215" t="str">
            <v/>
          </cell>
          <cell r="AI1215" t="str">
            <v/>
          </cell>
        </row>
        <row r="1216">
          <cell r="C1216">
            <v>31</v>
          </cell>
          <cell r="D1216" t="str">
            <v/>
          </cell>
          <cell r="E1216" t="str">
            <v/>
          </cell>
          <cell r="F1216" t="str">
            <v>Service</v>
          </cell>
          <cell r="G1216" t="str">
            <v>Service Collected</v>
          </cell>
          <cell r="H1216" t="str">
            <v>No</v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N1216" t="str">
            <v/>
          </cell>
          <cell r="O1216" t="str">
            <v/>
          </cell>
          <cell r="P1216" t="str">
            <v/>
          </cell>
          <cell r="Q1216" t="str">
            <v>https://panda-windows-and-doors.monday.com/protected_static/21046287/resources/2827704333/Service Form.pdf</v>
          </cell>
          <cell r="R1216" t="str">
            <v/>
          </cell>
          <cell r="S1216" t="str">
            <v/>
          </cell>
          <cell r="T1216" t="str">
            <v/>
          </cell>
          <cell r="U1216" t="str">
            <v/>
          </cell>
          <cell r="V1216">
            <v>2348</v>
          </cell>
          <cell r="W1216" t="str">
            <v>Annalene Conde Apr 1, 2026 2:28 PM</v>
          </cell>
          <cell r="X1216" t="str">
            <v/>
          </cell>
          <cell r="Y1216">
            <v>46094</v>
          </cell>
          <cell r="Z1216" t="str">
            <v/>
          </cell>
          <cell r="AA1216">
            <v>46094</v>
          </cell>
          <cell r="AB1216" t="str">
            <v>Annalene Conde Mar 13, 2026 11:56 AM</v>
          </cell>
          <cell r="AC1216" t="str">
            <v/>
          </cell>
          <cell r="AD1216" t="str">
            <v/>
          </cell>
          <cell r="AE1216" t="str">
            <v/>
          </cell>
          <cell r="AF1216" t="str">
            <v/>
          </cell>
          <cell r="AG1216">
            <v>46113</v>
          </cell>
          <cell r="AH1216" t="str">
            <v/>
          </cell>
          <cell r="AI1216" t="str">
            <v/>
          </cell>
        </row>
        <row r="1217">
          <cell r="C1217">
            <v>33309</v>
          </cell>
          <cell r="D1217" t="str">
            <v/>
          </cell>
          <cell r="E1217" t="str">
            <v/>
          </cell>
          <cell r="F1217" t="str">
            <v>Service</v>
          </cell>
          <cell r="G1217" t="str">
            <v>Service Collected</v>
          </cell>
          <cell r="H1217" t="str">
            <v>No</v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N1217" t="str">
            <v/>
          </cell>
          <cell r="O1217" t="str">
            <v/>
          </cell>
          <cell r="P1217" t="str">
            <v/>
          </cell>
          <cell r="Q1217" t="str">
            <v>https://panda-windows-and-doors.monday.com/protected_static/21046287/resources/2865810462/Service Form.pdf</v>
          </cell>
          <cell r="R1217" t="str">
            <v/>
          </cell>
          <cell r="S1217" t="str">
            <v/>
          </cell>
          <cell r="T1217" t="str">
            <v/>
          </cell>
          <cell r="U1217" t="str">
            <v/>
          </cell>
          <cell r="V1217">
            <v>412</v>
          </cell>
          <cell r="W1217" t="str">
            <v>Annalene Conde Apr 2, 2026 3:41 PM</v>
          </cell>
          <cell r="X1217" t="str">
            <v/>
          </cell>
          <cell r="Y1217">
            <v>46111</v>
          </cell>
          <cell r="Z1217" t="str">
            <v/>
          </cell>
          <cell r="AA1217">
            <v>46111</v>
          </cell>
          <cell r="AB1217" t="str">
            <v>Annalene Conde Mar 30, 2026 3:18 PM</v>
          </cell>
          <cell r="AC1217" t="str">
            <v/>
          </cell>
          <cell r="AD1217" t="str">
            <v/>
          </cell>
          <cell r="AE1217" t="str">
            <v/>
          </cell>
          <cell r="AF1217" t="str">
            <v/>
          </cell>
          <cell r="AG1217">
            <v>46114</v>
          </cell>
          <cell r="AH1217" t="str">
            <v/>
          </cell>
          <cell r="AI1217" t="str">
            <v/>
          </cell>
        </row>
        <row r="1218">
          <cell r="C1218" t="str">
            <v>Fiesta Mariachi</v>
          </cell>
          <cell r="D1218" t="str">
            <v/>
          </cell>
          <cell r="E1218" t="str">
            <v/>
          </cell>
          <cell r="F1218" t="str">
            <v>Service</v>
          </cell>
          <cell r="G1218" t="str">
            <v>Service Collected</v>
          </cell>
          <cell r="H1218" t="str">
            <v>No</v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N1218" t="str">
            <v/>
          </cell>
          <cell r="O1218" t="str">
            <v/>
          </cell>
          <cell r="P1218" t="str">
            <v/>
          </cell>
          <cell r="Q1218" t="str">
            <v>https://panda-windows-and-doors.monday.com/protected_static/21046287/resources/2865615390/SO Christopher Builders.pdf</v>
          </cell>
          <cell r="R1218" t="str">
            <v/>
          </cell>
          <cell r="S1218" t="str">
            <v/>
          </cell>
          <cell r="T1218" t="str">
            <v/>
          </cell>
          <cell r="U1218" t="str">
            <v/>
          </cell>
          <cell r="V1218">
            <v>975</v>
          </cell>
          <cell r="W1218" t="str">
            <v>Annalene Conde Apr 3, 2026 4:12 PM</v>
          </cell>
          <cell r="X1218" t="str">
            <v/>
          </cell>
          <cell r="Y1218">
            <v>46111</v>
          </cell>
          <cell r="Z1218" t="str">
            <v/>
          </cell>
          <cell r="AA1218">
            <v>46111</v>
          </cell>
          <cell r="AB1218" t="str">
            <v>Annalene Conde Mar 30, 2026 2:10 PM</v>
          </cell>
          <cell r="AC1218" t="str">
            <v/>
          </cell>
          <cell r="AD1218" t="str">
            <v/>
          </cell>
          <cell r="AE1218" t="str">
            <v/>
          </cell>
          <cell r="AF1218" t="str">
            <v/>
          </cell>
          <cell r="AG1218">
            <v>46115</v>
          </cell>
          <cell r="AH1218" t="str">
            <v/>
          </cell>
          <cell r="AI1218" t="str">
            <v/>
          </cell>
        </row>
        <row r="1219">
          <cell r="C1219">
            <v>92123</v>
          </cell>
          <cell r="D1219" t="str">
            <v/>
          </cell>
          <cell r="E1219" t="str">
            <v/>
          </cell>
          <cell r="F1219" t="str">
            <v>Service</v>
          </cell>
          <cell r="G1219" t="str">
            <v>Service Collected</v>
          </cell>
          <cell r="H1219" t="str">
            <v>No</v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N1219" t="str">
            <v/>
          </cell>
          <cell r="O1219" t="str">
            <v/>
          </cell>
          <cell r="P1219" t="str">
            <v/>
          </cell>
          <cell r="Q1219" t="str">
            <v>https://panda-windows-and-doors.monday.com/protected_static/21046287/resources/2879428411/Service Form.pdf</v>
          </cell>
          <cell r="R1219" t="str">
            <v/>
          </cell>
          <cell r="S1219" t="str">
            <v/>
          </cell>
          <cell r="T1219" t="str">
            <v/>
          </cell>
          <cell r="U1219" t="str">
            <v/>
          </cell>
          <cell r="V1219">
            <v>329</v>
          </cell>
          <cell r="W1219" t="str">
            <v>Annalene Conde Apr 6, 2026 5:11 PM</v>
          </cell>
          <cell r="X1219" t="str">
            <v/>
          </cell>
          <cell r="Y1219">
            <v>46118</v>
          </cell>
          <cell r="Z1219" t="str">
            <v/>
          </cell>
          <cell r="AA1219">
            <v>46118</v>
          </cell>
          <cell r="AB1219" t="str">
            <v>Annalene Conde Apr 6, 2026 10:24 AM</v>
          </cell>
          <cell r="AC1219" t="str">
            <v/>
          </cell>
          <cell r="AD1219" t="str">
            <v/>
          </cell>
          <cell r="AE1219" t="str">
            <v/>
          </cell>
          <cell r="AF1219" t="str">
            <v/>
          </cell>
          <cell r="AG1219">
            <v>46118</v>
          </cell>
          <cell r="AH1219" t="str">
            <v/>
          </cell>
          <cell r="AI1219" t="str">
            <v/>
          </cell>
        </row>
        <row r="1220">
          <cell r="C1220" t="str">
            <v>54662-S5</v>
          </cell>
          <cell r="D1220" t="str">
            <v/>
          </cell>
          <cell r="E1220" t="str">
            <v/>
          </cell>
          <cell r="F1220" t="str">
            <v>Service</v>
          </cell>
          <cell r="G1220" t="str">
            <v>Service Collected</v>
          </cell>
          <cell r="H1220" t="str">
            <v>No</v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M1220" t="str">
            <v/>
          </cell>
          <cell r="N1220" t="str">
            <v/>
          </cell>
          <cell r="O1220" t="str">
            <v/>
          </cell>
          <cell r="P1220" t="str">
            <v/>
          </cell>
          <cell r="Q1220" t="str">
            <v>https://panda-windows-and-doors.monday.com/protected_static/21046287/resources/2876200111/Service Form.pdf, https://panda-windows-and-doors.monday.com/protected_static/21046287/resources/2905999631/Service Form.pdf, https://panda-windows-and-doors.monday.com/protected_static/21046287/resources/2935170734/Service Form.pdf</v>
          </cell>
          <cell r="R1220" t="str">
            <v/>
          </cell>
          <cell r="S1220" t="str">
            <v/>
          </cell>
          <cell r="T1220" t="str">
            <v/>
          </cell>
          <cell r="U1220" t="str">
            <v/>
          </cell>
          <cell r="V1220">
            <v>378</v>
          </cell>
          <cell r="W1220" t="str">
            <v>Annalene Conde Apr 16, 2026 8:29 AM</v>
          </cell>
          <cell r="X1220" t="str">
            <v/>
          </cell>
          <cell r="Y1220">
            <v>46115</v>
          </cell>
          <cell r="Z1220" t="str">
            <v/>
          </cell>
          <cell r="AA1220">
            <v>46115</v>
          </cell>
          <cell r="AB1220" t="str">
            <v>Annalene Conde Apr 3, 2026 8:44 AM</v>
          </cell>
          <cell r="AC1220" t="str">
            <v/>
          </cell>
          <cell r="AD1220" t="str">
            <v/>
          </cell>
          <cell r="AE1220" t="str">
            <v/>
          </cell>
          <cell r="AF1220" t="str">
            <v/>
          </cell>
          <cell r="AG1220">
            <v>46118</v>
          </cell>
          <cell r="AH1220" t="str">
            <v/>
          </cell>
          <cell r="AI1220" t="str">
            <v/>
          </cell>
        </row>
        <row r="1221">
          <cell r="C1221">
            <v>11484</v>
          </cell>
          <cell r="D1221" t="str">
            <v/>
          </cell>
          <cell r="E1221" t="str">
            <v/>
          </cell>
          <cell r="F1221" t="str">
            <v>Service</v>
          </cell>
          <cell r="G1221" t="str">
            <v>Service Collected</v>
          </cell>
          <cell r="H1221" t="str">
            <v>No</v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N1221" t="str">
            <v/>
          </cell>
          <cell r="O1221" t="str">
            <v/>
          </cell>
          <cell r="P1221" t="str">
            <v/>
          </cell>
          <cell r="Q1221" t="str">
            <v>https://panda-windows-and-doors.monday.com/protected_static/21046287/resources/2882680177/SO 11484.pdf</v>
          </cell>
          <cell r="R1221" t="str">
            <v/>
          </cell>
          <cell r="S1221" t="str">
            <v/>
          </cell>
          <cell r="T1221" t="str">
            <v/>
          </cell>
          <cell r="U1221" t="str">
            <v/>
          </cell>
          <cell r="V1221">
            <v>25382</v>
          </cell>
          <cell r="W1221" t="str">
            <v>Annalene Conde Apr 8, 2026 11:48 AM</v>
          </cell>
          <cell r="X1221" t="str">
            <v/>
          </cell>
          <cell r="Y1221">
            <v>46119</v>
          </cell>
          <cell r="Z1221" t="str">
            <v/>
          </cell>
          <cell r="AA1221">
            <v>46119</v>
          </cell>
          <cell r="AB1221" t="str">
            <v>Annalene Conde Apr 7, 2026 8:47 AM</v>
          </cell>
          <cell r="AC1221" t="str">
            <v/>
          </cell>
          <cell r="AD1221" t="str">
            <v/>
          </cell>
          <cell r="AE1221" t="str">
            <v/>
          </cell>
          <cell r="AF1221" t="str">
            <v/>
          </cell>
          <cell r="AG1221">
            <v>46120</v>
          </cell>
          <cell r="AH1221" t="str">
            <v/>
          </cell>
          <cell r="AI1221" t="str">
            <v/>
          </cell>
        </row>
        <row r="1222">
          <cell r="C1222" t="str">
            <v>92111-S2</v>
          </cell>
          <cell r="D1222" t="str">
            <v/>
          </cell>
          <cell r="E1222" t="str">
            <v/>
          </cell>
          <cell r="F1222" t="str">
            <v>Service</v>
          </cell>
          <cell r="G1222" t="str">
            <v>Service Collected</v>
          </cell>
          <cell r="H1222" t="str">
            <v>No</v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N1222" t="str">
            <v/>
          </cell>
          <cell r="O1222" t="str">
            <v/>
          </cell>
          <cell r="P1222" t="str">
            <v/>
          </cell>
          <cell r="Q1222" t="str">
            <v>https://panda-windows-and-doors.monday.com/protected_static/21046287/resources/2865025542/Service Form.pdf</v>
          </cell>
          <cell r="R1222" t="str">
            <v/>
          </cell>
          <cell r="S1222" t="str">
            <v/>
          </cell>
          <cell r="T1222" t="str">
            <v/>
          </cell>
          <cell r="U1222" t="str">
            <v/>
          </cell>
          <cell r="V1222">
            <v>329</v>
          </cell>
          <cell r="W1222" t="str">
            <v>Annalene Conde Apr 8, 2026 11:54 AM</v>
          </cell>
          <cell r="X1222" t="str">
            <v/>
          </cell>
          <cell r="Y1222">
            <v>46111</v>
          </cell>
          <cell r="Z1222" t="str">
            <v/>
          </cell>
          <cell r="AA1222">
            <v>46111</v>
          </cell>
          <cell r="AB1222" t="str">
            <v>Annalene Conde Mar 30, 2026 11:32 AM</v>
          </cell>
          <cell r="AC1222" t="str">
            <v/>
          </cell>
          <cell r="AD1222" t="str">
            <v/>
          </cell>
          <cell r="AE1222" t="str">
            <v/>
          </cell>
          <cell r="AF1222" t="str">
            <v/>
          </cell>
          <cell r="AG1222">
            <v>46120</v>
          </cell>
          <cell r="AH1222" t="str">
            <v/>
          </cell>
          <cell r="AI1222" t="str">
            <v/>
          </cell>
        </row>
        <row r="1223">
          <cell r="C1223" t="str">
            <v>74146-S</v>
          </cell>
          <cell r="D1223" t="str">
            <v/>
          </cell>
          <cell r="E1223" t="str">
            <v/>
          </cell>
          <cell r="F1223" t="str">
            <v>Service</v>
          </cell>
          <cell r="G1223" t="str">
            <v>Service Collected</v>
          </cell>
          <cell r="H1223" t="str">
            <v>No</v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N1223" t="str">
            <v/>
          </cell>
          <cell r="O1223" t="str">
            <v/>
          </cell>
          <cell r="P1223" t="str">
            <v/>
          </cell>
          <cell r="Q1223" t="str">
            <v>https://panda-windows-and-doors.monday.com/protected_static/21046287/resources/2879209112/Service Form.pdf</v>
          </cell>
          <cell r="R1223" t="str">
            <v/>
          </cell>
          <cell r="S1223" t="str">
            <v/>
          </cell>
          <cell r="T1223" t="str">
            <v/>
          </cell>
          <cell r="U1223" t="str">
            <v/>
          </cell>
          <cell r="V1223">
            <v>289</v>
          </cell>
          <cell r="W1223" t="str">
            <v>Annalene Conde Apr 8, 2026 11:57 AM</v>
          </cell>
          <cell r="X1223" t="str">
            <v/>
          </cell>
          <cell r="Y1223">
            <v>46118</v>
          </cell>
          <cell r="Z1223" t="str">
            <v/>
          </cell>
          <cell r="AA1223">
            <v>46118</v>
          </cell>
          <cell r="AB1223" t="str">
            <v>Annalene Conde Apr 6, 2026 9:15 AM</v>
          </cell>
          <cell r="AC1223" t="str">
            <v/>
          </cell>
          <cell r="AD1223" t="str">
            <v/>
          </cell>
          <cell r="AE1223" t="str">
            <v/>
          </cell>
          <cell r="AF1223" t="str">
            <v/>
          </cell>
          <cell r="AG1223">
            <v>46120</v>
          </cell>
          <cell r="AH1223" t="str">
            <v/>
          </cell>
          <cell r="AI1223" t="str">
            <v/>
          </cell>
        </row>
        <row r="1224">
          <cell r="C1224">
            <v>18417</v>
          </cell>
          <cell r="D1224" t="str">
            <v/>
          </cell>
          <cell r="E1224" t="str">
            <v/>
          </cell>
          <cell r="F1224" t="str">
            <v>Service</v>
          </cell>
          <cell r="G1224" t="str">
            <v>Service Collected</v>
          </cell>
          <cell r="H1224" t="str">
            <v>No</v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N1224" t="str">
            <v/>
          </cell>
          <cell r="O1224" t="str">
            <v/>
          </cell>
          <cell r="P1224" t="str">
            <v/>
          </cell>
          <cell r="Q1224" t="str">
            <v>https://panda-windows-and-doors.monday.com/protected_static/21046287/resources/2880598516/SO Badgley.pdf</v>
          </cell>
          <cell r="R1224" t="str">
            <v/>
          </cell>
          <cell r="S1224" t="str">
            <v/>
          </cell>
          <cell r="T1224" t="str">
            <v/>
          </cell>
          <cell r="U1224" t="str">
            <v/>
          </cell>
          <cell r="V1224">
            <v>329</v>
          </cell>
          <cell r="W1224" t="str">
            <v>Annalene Conde Apr 13, 2026 2:16 PM</v>
          </cell>
          <cell r="X1224" t="str">
            <v/>
          </cell>
          <cell r="Y1224">
            <v>46118</v>
          </cell>
          <cell r="Z1224" t="str">
            <v/>
          </cell>
          <cell r="AA1224">
            <v>46118</v>
          </cell>
          <cell r="AB1224" t="str">
            <v>Annalene Conde Apr 6, 2026 2:43 PM</v>
          </cell>
          <cell r="AC1224" t="str">
            <v/>
          </cell>
          <cell r="AD1224" t="str">
            <v/>
          </cell>
          <cell r="AE1224" t="str">
            <v/>
          </cell>
          <cell r="AF1224" t="str">
            <v/>
          </cell>
          <cell r="AG1224">
            <v>46125</v>
          </cell>
          <cell r="AH1224" t="str">
            <v/>
          </cell>
          <cell r="AI1224" t="str">
            <v/>
          </cell>
        </row>
        <row r="1225">
          <cell r="C1225" t="str">
            <v>54662-S6</v>
          </cell>
          <cell r="D1225" t="str">
            <v/>
          </cell>
          <cell r="E1225" t="str">
            <v/>
          </cell>
          <cell r="F1225" t="str">
            <v>Service</v>
          </cell>
          <cell r="G1225" t="str">
            <v>Service Collected</v>
          </cell>
          <cell r="H1225" t="str">
            <v>No</v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N1225" t="str">
            <v/>
          </cell>
          <cell r="O1225" t="str">
            <v/>
          </cell>
          <cell r="P1225" t="str">
            <v/>
          </cell>
          <cell r="Q1225" t="str">
            <v>https://panda-windows-and-doors.monday.com/protected_static/21046287/resources/2905999631/Service Form.pdf, https://panda-windows-and-doors.monday.com/protected_static/21046287/resources/2935170734/Service Form.pdf</v>
          </cell>
          <cell r="R1225" t="str">
            <v/>
          </cell>
          <cell r="S1225" t="str">
            <v/>
          </cell>
          <cell r="T1225" t="str">
            <v/>
          </cell>
          <cell r="U1225">
            <v>0</v>
          </cell>
          <cell r="V1225">
            <v>378</v>
          </cell>
          <cell r="W1225" t="str">
            <v>Annalene Conde Apr 16, 2026 3:14 PM</v>
          </cell>
          <cell r="X1225" t="str">
            <v/>
          </cell>
          <cell r="Y1225">
            <v>46128</v>
          </cell>
          <cell r="Z1225" t="str">
            <v/>
          </cell>
          <cell r="AA1225">
            <v>46128</v>
          </cell>
          <cell r="AB1225" t="str">
            <v>Annalene Conde Apr 16, 2026 8:58 AM</v>
          </cell>
          <cell r="AC1225" t="str">
            <v/>
          </cell>
          <cell r="AD1225" t="str">
            <v/>
          </cell>
          <cell r="AE1225" t="str">
            <v/>
          </cell>
          <cell r="AF1225" t="str">
            <v/>
          </cell>
          <cell r="AG1225">
            <v>46128</v>
          </cell>
          <cell r="AH1225" t="str">
            <v/>
          </cell>
          <cell r="AI1225" t="str">
            <v/>
          </cell>
        </row>
        <row r="1226">
          <cell r="C1226">
            <v>18490</v>
          </cell>
          <cell r="D1226" t="str">
            <v/>
          </cell>
          <cell r="E1226" t="str">
            <v/>
          </cell>
          <cell r="F1226" t="str">
            <v>Service</v>
          </cell>
          <cell r="G1226" t="str">
            <v>Service Collected</v>
          </cell>
          <cell r="H1226" t="str">
            <v>No</v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N1226" t="str">
            <v/>
          </cell>
          <cell r="O1226" t="str">
            <v/>
          </cell>
          <cell r="P1226" t="str">
            <v/>
          </cell>
          <cell r="Q1226" t="str">
            <v>https://panda-windows-and-doors.monday.com/protected_static/21046287/resources/2874801639/SO Carebbean Windows.pdf</v>
          </cell>
          <cell r="R1226" t="str">
            <v/>
          </cell>
          <cell r="S1226" t="str">
            <v/>
          </cell>
          <cell r="T1226" t="str">
            <v/>
          </cell>
          <cell r="U1226">
            <v>0</v>
          </cell>
          <cell r="V1226">
            <v>1785</v>
          </cell>
          <cell r="W1226" t="str">
            <v>Annalene Conde Apr 17, 2026 11:45 AM</v>
          </cell>
          <cell r="X1226" t="str">
            <v/>
          </cell>
          <cell r="Y1226">
            <v>46114</v>
          </cell>
          <cell r="Z1226" t="str">
            <v/>
          </cell>
          <cell r="AA1226">
            <v>46114</v>
          </cell>
          <cell r="AB1226" t="str">
            <v>Annalene Conde Apr 2, 2026 12:00 PM</v>
          </cell>
          <cell r="AC1226" t="str">
            <v/>
          </cell>
          <cell r="AD1226" t="str">
            <v/>
          </cell>
          <cell r="AE1226" t="str">
            <v/>
          </cell>
          <cell r="AF1226" t="str">
            <v/>
          </cell>
          <cell r="AG1226">
            <v>46129</v>
          </cell>
          <cell r="AH1226" t="str">
            <v/>
          </cell>
          <cell r="AI1226" t="str">
            <v/>
          </cell>
        </row>
        <row r="1227">
          <cell r="C1227">
            <v>13550</v>
          </cell>
          <cell r="D1227" t="str">
            <v/>
          </cell>
          <cell r="E1227" t="str">
            <v/>
          </cell>
          <cell r="F1227" t="str">
            <v>Service</v>
          </cell>
          <cell r="G1227" t="str">
            <v>Service Collected</v>
          </cell>
          <cell r="H1227" t="str">
            <v>No</v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/>
          </cell>
          <cell r="N1227" t="str">
            <v>https://panda-windows-and-doors.monday.com/protected_static/21046287/resources/2900526733/10666 Anjinnov.pdf</v>
          </cell>
          <cell r="O1227" t="str">
            <v/>
          </cell>
          <cell r="P1227" t="str">
            <v/>
          </cell>
          <cell r="Q1227" t="str">
            <v>https://panda-windows-and-doors.monday.com/protected_static/21046287/resources/2900348131/Service Form.pdf</v>
          </cell>
          <cell r="R1227" t="str">
            <v/>
          </cell>
          <cell r="S1227" t="str">
            <v/>
          </cell>
          <cell r="T1227" t="str">
            <v/>
          </cell>
          <cell r="U1227">
            <v>0</v>
          </cell>
          <cell r="V1227">
            <v>335</v>
          </cell>
          <cell r="W1227" t="str">
            <v>Annalene Conde Apr 20, 2026 8:31 AM</v>
          </cell>
          <cell r="X1227" t="str">
            <v/>
          </cell>
          <cell r="Y1227">
            <v>46126</v>
          </cell>
          <cell r="Z1227" t="str">
            <v/>
          </cell>
          <cell r="AA1227">
            <v>46126</v>
          </cell>
          <cell r="AB1227" t="str">
            <v>Annalene Conde Apr 14, 2026 8:30 AM</v>
          </cell>
          <cell r="AC1227" t="str">
            <v/>
          </cell>
          <cell r="AD1227" t="str">
            <v/>
          </cell>
          <cell r="AE1227" t="str">
            <v/>
          </cell>
          <cell r="AF1227" t="str">
            <v/>
          </cell>
          <cell r="AG1227">
            <v>46132</v>
          </cell>
          <cell r="AH1227" t="str">
            <v/>
          </cell>
          <cell r="AI1227" t="str">
            <v/>
          </cell>
        </row>
        <row r="1228">
          <cell r="C1228">
            <v>74123</v>
          </cell>
          <cell r="D1228" t="str">
            <v/>
          </cell>
          <cell r="E1228" t="str">
            <v/>
          </cell>
          <cell r="F1228" t="str">
            <v>Service</v>
          </cell>
          <cell r="G1228" t="str">
            <v>Service Collected</v>
          </cell>
          <cell r="H1228" t="str">
            <v>No</v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/>
          </cell>
          <cell r="N1228" t="str">
            <v/>
          </cell>
          <cell r="O1228" t="str">
            <v/>
          </cell>
          <cell r="P1228" t="str">
            <v/>
          </cell>
          <cell r="Q1228" t="str">
            <v>https://panda-windows-and-doors.monday.com/protected_static/21046287/resources/2799394852/SO Midfirst.pdf</v>
          </cell>
          <cell r="R1228" t="str">
            <v/>
          </cell>
          <cell r="S1228" t="str">
            <v>Completed - Closed Out</v>
          </cell>
          <cell r="T1228" t="str">
            <v/>
          </cell>
          <cell r="U1228">
            <v>0</v>
          </cell>
          <cell r="V1228">
            <v>489</v>
          </cell>
          <cell r="W1228" t="str">
            <v>Annalene Conde Apr 20, 2026 8:34 AM</v>
          </cell>
          <cell r="X1228" t="str">
            <v/>
          </cell>
          <cell r="Y1228">
            <v>46084</v>
          </cell>
          <cell r="Z1228" t="str">
            <v/>
          </cell>
          <cell r="AA1228">
            <v>46084</v>
          </cell>
          <cell r="AB1228" t="str">
            <v>Annalene Conde Mar 3, 2026 10:25 AM</v>
          </cell>
          <cell r="AC1228" t="str">
            <v/>
          </cell>
          <cell r="AD1228" t="str">
            <v/>
          </cell>
          <cell r="AE1228" t="str">
            <v/>
          </cell>
          <cell r="AF1228" t="str">
            <v/>
          </cell>
          <cell r="AG1228">
            <v>46132</v>
          </cell>
          <cell r="AH1228" t="str">
            <v/>
          </cell>
          <cell r="AI1228" t="str">
            <v/>
          </cell>
        </row>
        <row r="1229">
          <cell r="C1229" t="str">
            <v>Gentry Door</v>
          </cell>
          <cell r="D1229" t="str">
            <v/>
          </cell>
          <cell r="E1229" t="str">
            <v/>
          </cell>
          <cell r="F1229" t="str">
            <v>Service</v>
          </cell>
          <cell r="G1229" t="str">
            <v>Service Collected</v>
          </cell>
          <cell r="H1229" t="str">
            <v>No</v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N1229" t="str">
            <v/>
          </cell>
          <cell r="O1229" t="str">
            <v/>
          </cell>
          <cell r="P1229" t="str">
            <v/>
          </cell>
          <cell r="Q1229" t="str">
            <v>https://panda-windows-and-doors.monday.com/protected_static/21046287/resources/2909712596/SO Gentry.pdf</v>
          </cell>
          <cell r="R1229" t="str">
            <v/>
          </cell>
          <cell r="S1229" t="str">
            <v/>
          </cell>
          <cell r="T1229" t="str">
            <v/>
          </cell>
          <cell r="U1229">
            <v>0</v>
          </cell>
          <cell r="V1229">
            <v>965</v>
          </cell>
          <cell r="W1229" t="str">
            <v>Annalene Conde Apr 20, 2026 8:36 AM</v>
          </cell>
          <cell r="X1229" t="str">
            <v/>
          </cell>
          <cell r="Y1229">
            <v>46129</v>
          </cell>
          <cell r="Z1229" t="str">
            <v/>
          </cell>
          <cell r="AA1229">
            <v>46129</v>
          </cell>
          <cell r="AB1229" t="str">
            <v>Annalene Conde Apr 17, 2026 1:12 PM</v>
          </cell>
          <cell r="AC1229" t="str">
            <v/>
          </cell>
          <cell r="AD1229" t="str">
            <v/>
          </cell>
          <cell r="AE1229" t="str">
            <v/>
          </cell>
          <cell r="AF1229" t="str">
            <v/>
          </cell>
          <cell r="AG1229">
            <v>46132</v>
          </cell>
          <cell r="AH1229" t="str">
            <v/>
          </cell>
          <cell r="AI1229" t="str">
            <v/>
          </cell>
        </row>
        <row r="1230">
          <cell r="C1230" t="str">
            <v>4-S</v>
          </cell>
          <cell r="D1230" t="str">
            <v/>
          </cell>
          <cell r="E1230" t="str">
            <v/>
          </cell>
          <cell r="F1230" t="str">
            <v>Service</v>
          </cell>
          <cell r="G1230" t="str">
            <v>Service Collected</v>
          </cell>
          <cell r="H1230" t="str">
            <v>No</v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str">
            <v/>
          </cell>
          <cell r="N1230" t="str">
            <v/>
          </cell>
          <cell r="O1230" t="str">
            <v/>
          </cell>
          <cell r="P1230" t="str">
            <v/>
          </cell>
          <cell r="Q1230" t="str">
            <v>https://panda-windows-and-doors.monday.com/protected_static/21046287/resources/2886016805/Service Form.pdf</v>
          </cell>
          <cell r="R1230" t="str">
            <v/>
          </cell>
          <cell r="S1230" t="str">
            <v/>
          </cell>
          <cell r="T1230" t="str">
            <v/>
          </cell>
          <cell r="U1230">
            <v>0</v>
          </cell>
          <cell r="V1230">
            <v>942</v>
          </cell>
          <cell r="W1230" t="str">
            <v>Annalene Conde Apr 20, 2026 8:41 AM</v>
          </cell>
          <cell r="X1230" t="str">
            <v/>
          </cell>
          <cell r="Y1230">
            <v>46120</v>
          </cell>
          <cell r="Z1230" t="str">
            <v/>
          </cell>
          <cell r="AA1230">
            <v>46120</v>
          </cell>
          <cell r="AB1230" t="str">
            <v>Annalene Conde Apr 8, 2026 8:22 AM</v>
          </cell>
          <cell r="AC1230" t="str">
            <v/>
          </cell>
          <cell r="AD1230" t="str">
            <v/>
          </cell>
          <cell r="AE1230" t="str">
            <v/>
          </cell>
          <cell r="AF1230" t="str">
            <v/>
          </cell>
          <cell r="AG1230">
            <v>46132</v>
          </cell>
          <cell r="AH1230" t="str">
            <v/>
          </cell>
          <cell r="AI1230" t="str">
            <v/>
          </cell>
        </row>
        <row r="1231">
          <cell r="C1231" t="str">
            <v>70247-s3</v>
          </cell>
          <cell r="D1231" t="str">
            <v/>
          </cell>
          <cell r="E1231" t="str">
            <v/>
          </cell>
          <cell r="F1231" t="str">
            <v>Service</v>
          </cell>
          <cell r="G1231" t="str">
            <v>Service Collected</v>
          </cell>
          <cell r="H1231" t="str">
            <v>No</v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M1231" t="str">
            <v/>
          </cell>
          <cell r="N1231" t="str">
            <v/>
          </cell>
          <cell r="O1231" t="str">
            <v/>
          </cell>
          <cell r="P1231" t="str">
            <v/>
          </cell>
          <cell r="Q1231" t="str">
            <v>https://panda-windows-and-doors.monday.com/protected_static/21046287/resources/2903594875/Service Form.pdf</v>
          </cell>
          <cell r="R1231" t="str">
            <v/>
          </cell>
          <cell r="S1231" t="str">
            <v/>
          </cell>
          <cell r="T1231" t="str">
            <v/>
          </cell>
          <cell r="U1231">
            <v>0</v>
          </cell>
          <cell r="V1231">
            <v>109</v>
          </cell>
          <cell r="W1231" t="str">
            <v>Annalene Conde Apr 20, 2026 8:45 AM</v>
          </cell>
          <cell r="X1231" t="str">
            <v/>
          </cell>
          <cell r="Y1231">
            <v>46127</v>
          </cell>
          <cell r="Z1231" t="str">
            <v/>
          </cell>
          <cell r="AA1231">
            <v>46127</v>
          </cell>
          <cell r="AB1231" t="str">
            <v>Annalene Conde Apr 15, 2026 12:35 PM</v>
          </cell>
          <cell r="AC1231" t="str">
            <v/>
          </cell>
          <cell r="AD1231" t="str">
            <v/>
          </cell>
          <cell r="AE1231" t="str">
            <v/>
          </cell>
          <cell r="AF1231" t="str">
            <v/>
          </cell>
          <cell r="AG1231">
            <v>46132</v>
          </cell>
          <cell r="AH1231" t="str">
            <v/>
          </cell>
          <cell r="AI1231" t="str">
            <v/>
          </cell>
        </row>
        <row r="1232">
          <cell r="C1232" t="str">
            <v>13021-S2</v>
          </cell>
          <cell r="D1232" t="str">
            <v/>
          </cell>
          <cell r="E1232" t="str">
            <v/>
          </cell>
          <cell r="F1232" t="str">
            <v>Service</v>
          </cell>
          <cell r="G1232" t="str">
            <v>Service Collected</v>
          </cell>
          <cell r="H1232" t="str">
            <v>No</v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M1232" t="str">
            <v/>
          </cell>
          <cell r="N1232" t="str">
            <v/>
          </cell>
          <cell r="O1232" t="str">
            <v/>
          </cell>
          <cell r="P1232" t="str">
            <v/>
          </cell>
          <cell r="Q1232" t="str">
            <v>https://panda-windows-and-doors.monday.com/protected_static/21046287/resources/2876256908/Service Form.pdf, https://panda-windows-and-doors.monday.com/protected_static/21046287/resources/3049534202/Service Form.pdf</v>
          </cell>
          <cell r="R1232" t="str">
            <v/>
          </cell>
          <cell r="S1232" t="str">
            <v/>
          </cell>
          <cell r="T1232" t="str">
            <v/>
          </cell>
          <cell r="U1232">
            <v>0</v>
          </cell>
          <cell r="V1232">
            <v>119</v>
          </cell>
          <cell r="W1232" t="str">
            <v>Amit Iarochevsky Apr 23, 2026 8:18 AM</v>
          </cell>
          <cell r="X1232" t="str">
            <v/>
          </cell>
          <cell r="Y1232">
            <v>46115</v>
          </cell>
          <cell r="Z1232" t="str">
            <v/>
          </cell>
          <cell r="AA1232">
            <v>46115</v>
          </cell>
          <cell r="AB1232" t="str">
            <v>Annalene Conde Apr 3, 2026 9:19 AM</v>
          </cell>
          <cell r="AC1232" t="str">
            <v/>
          </cell>
          <cell r="AD1232" t="str">
            <v/>
          </cell>
          <cell r="AE1232" t="str">
            <v/>
          </cell>
          <cell r="AF1232" t="str">
            <v/>
          </cell>
          <cell r="AG1232">
            <v>46135</v>
          </cell>
          <cell r="AH1232" t="str">
            <v/>
          </cell>
          <cell r="AI1232" t="str">
            <v/>
          </cell>
        </row>
        <row r="1233">
          <cell r="C1233">
            <v>10539</v>
          </cell>
          <cell r="D1233" t="str">
            <v/>
          </cell>
          <cell r="E1233" t="str">
            <v/>
          </cell>
          <cell r="F1233" t="str">
            <v>Service</v>
          </cell>
          <cell r="G1233" t="str">
            <v>Service Collected</v>
          </cell>
          <cell r="H1233" t="str">
            <v>No</v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M1233" t="str">
            <v/>
          </cell>
          <cell r="N1233" t="str">
            <v/>
          </cell>
          <cell r="O1233" t="str">
            <v/>
          </cell>
          <cell r="P1233" t="str">
            <v/>
          </cell>
          <cell r="Q1233" t="str">
            <v>https://panda-windows-and-doors.monday.com/protected_static/21046287/resources/2916539927/Service Form.pdf</v>
          </cell>
          <cell r="R1233" t="str">
            <v/>
          </cell>
          <cell r="S1233" t="str">
            <v/>
          </cell>
          <cell r="T1233" t="str">
            <v/>
          </cell>
          <cell r="U1233">
            <v>0</v>
          </cell>
          <cell r="V1233">
            <v>329</v>
          </cell>
          <cell r="W1233" t="str">
            <v>Amit Iarochevsky Apr 24, 2026 11:56 AM</v>
          </cell>
          <cell r="X1233" t="str">
            <v/>
          </cell>
          <cell r="Y1233">
            <v>46133</v>
          </cell>
          <cell r="Z1233" t="str">
            <v/>
          </cell>
          <cell r="AA1233">
            <v>46133</v>
          </cell>
          <cell r="AB1233" t="str">
            <v>Annalene Conde Apr 21, 2026 12:19 PM</v>
          </cell>
          <cell r="AC1233" t="str">
            <v/>
          </cell>
          <cell r="AD1233" t="str">
            <v/>
          </cell>
          <cell r="AE1233" t="str">
            <v/>
          </cell>
          <cell r="AF1233" t="str">
            <v/>
          </cell>
          <cell r="AG1233">
            <v>46136</v>
          </cell>
          <cell r="AH1233" t="str">
            <v/>
          </cell>
          <cell r="AI1233" t="str">
            <v/>
          </cell>
        </row>
        <row r="1234">
          <cell r="C1234">
            <v>59195</v>
          </cell>
          <cell r="D1234" t="str">
            <v/>
          </cell>
          <cell r="E1234" t="str">
            <v/>
          </cell>
          <cell r="F1234" t="str">
            <v>Service</v>
          </cell>
          <cell r="G1234" t="str">
            <v>Service Collected</v>
          </cell>
          <cell r="H1234" t="str">
            <v>No</v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M1234" t="str">
            <v/>
          </cell>
          <cell r="N1234" t="str">
            <v/>
          </cell>
          <cell r="O1234" t="str">
            <v/>
          </cell>
          <cell r="P1234" t="str">
            <v/>
          </cell>
          <cell r="Q1234" t="str">
            <v>https://panda-windows-and-doors.monday.com/protected_static/21046287/resources/2918738246/Service Form.pdf</v>
          </cell>
          <cell r="R1234" t="str">
            <v/>
          </cell>
          <cell r="S1234" t="str">
            <v/>
          </cell>
          <cell r="T1234" t="str">
            <v/>
          </cell>
          <cell r="U1234">
            <v>0</v>
          </cell>
          <cell r="V1234">
            <v>988</v>
          </cell>
          <cell r="W1234" t="str">
            <v>Amit Iarochevsky Apr 24, 2026 1:03 PM</v>
          </cell>
          <cell r="X1234" t="str">
            <v/>
          </cell>
          <cell r="Y1234">
            <v>46134</v>
          </cell>
          <cell r="Z1234" t="str">
            <v/>
          </cell>
          <cell r="AA1234">
            <v>46134</v>
          </cell>
          <cell r="AB1234" t="str">
            <v>Annalene Conde Apr 22, 2026 8:41 AM</v>
          </cell>
          <cell r="AC1234" t="str">
            <v/>
          </cell>
          <cell r="AD1234" t="str">
            <v/>
          </cell>
          <cell r="AE1234" t="str">
            <v/>
          </cell>
          <cell r="AF1234" t="str">
            <v/>
          </cell>
          <cell r="AG1234">
            <v>46136</v>
          </cell>
          <cell r="AH1234" t="str">
            <v/>
          </cell>
          <cell r="AI1234" t="str">
            <v/>
          </cell>
        </row>
        <row r="1235">
          <cell r="C1235" t="str">
            <v>Living Interiors</v>
          </cell>
          <cell r="D1235" t="str">
            <v/>
          </cell>
          <cell r="E1235" t="str">
            <v/>
          </cell>
          <cell r="F1235" t="str">
            <v>Service</v>
          </cell>
          <cell r="G1235" t="str">
            <v>Service Collected</v>
          </cell>
          <cell r="H1235" t="str">
            <v>No</v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M1235" t="str">
            <v/>
          </cell>
          <cell r="N1235" t="str">
            <v/>
          </cell>
          <cell r="O1235" t="str">
            <v/>
          </cell>
          <cell r="P1235" t="str">
            <v/>
          </cell>
          <cell r="Q1235" t="str">
            <v>https://panda-windows-and-doors.monday.com/protected_static/21046287/resources/2921477772/SO Assessment_Gail.pdf</v>
          </cell>
          <cell r="R1235" t="str">
            <v/>
          </cell>
          <cell r="S1235" t="str">
            <v/>
          </cell>
          <cell r="T1235" t="str">
            <v/>
          </cell>
          <cell r="U1235">
            <v>0</v>
          </cell>
          <cell r="V1235">
            <v>350</v>
          </cell>
          <cell r="W1235" t="str">
            <v>Amit Iarochevsky Apr 27, 2026 9:51 AM</v>
          </cell>
          <cell r="X1235" t="str">
            <v/>
          </cell>
          <cell r="Y1235">
            <v>46135</v>
          </cell>
          <cell r="Z1235" t="str">
            <v/>
          </cell>
          <cell r="AA1235">
            <v>46135</v>
          </cell>
          <cell r="AB1235" t="str">
            <v>Annalene Conde Apr 23, 2026 7:58 AM</v>
          </cell>
          <cell r="AC1235" t="str">
            <v/>
          </cell>
          <cell r="AD1235" t="str">
            <v/>
          </cell>
          <cell r="AE1235" t="str">
            <v/>
          </cell>
          <cell r="AF1235" t="str">
            <v/>
          </cell>
          <cell r="AG1235">
            <v>46139</v>
          </cell>
          <cell r="AH1235" t="str">
            <v/>
          </cell>
          <cell r="AI1235" t="str">
            <v/>
          </cell>
        </row>
        <row r="1236">
          <cell r="C1236" t="str">
            <v>81592-S2</v>
          </cell>
          <cell r="D1236" t="str">
            <v/>
          </cell>
          <cell r="E1236" t="str">
            <v/>
          </cell>
          <cell r="F1236" t="str">
            <v>Service</v>
          </cell>
          <cell r="G1236" t="str">
            <v>Service Collected</v>
          </cell>
          <cell r="H1236" t="str">
            <v>No</v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N1236" t="str">
            <v/>
          </cell>
          <cell r="O1236" t="str">
            <v/>
          </cell>
          <cell r="P1236" t="str">
            <v/>
          </cell>
          <cell r="Q1236" t="str">
            <v>https://panda-windows-and-doors.monday.com/protected_static/21046287/resources/2923011533/Service Form.pdf</v>
          </cell>
          <cell r="R1236" t="str">
            <v/>
          </cell>
          <cell r="S1236" t="str">
            <v/>
          </cell>
          <cell r="T1236" t="str">
            <v/>
          </cell>
          <cell r="U1236">
            <v>0</v>
          </cell>
          <cell r="V1236">
            <v>1157</v>
          </cell>
          <cell r="W1236" t="str">
            <v>Amit Iarochevsky Apr 29, 2026 10:21 AM</v>
          </cell>
          <cell r="X1236" t="str">
            <v/>
          </cell>
          <cell r="Y1236">
            <v>46135</v>
          </cell>
          <cell r="Z1236" t="str">
            <v/>
          </cell>
          <cell r="AA1236">
            <v>46135</v>
          </cell>
          <cell r="AB1236" t="str">
            <v>Annalene Conde Apr 23, 2026 3:41 PM</v>
          </cell>
          <cell r="AC1236" t="str">
            <v/>
          </cell>
          <cell r="AD1236" t="str">
            <v/>
          </cell>
          <cell r="AE1236" t="str">
            <v/>
          </cell>
          <cell r="AF1236" t="str">
            <v/>
          </cell>
          <cell r="AG1236">
            <v>46141</v>
          </cell>
          <cell r="AH1236" t="str">
            <v/>
          </cell>
          <cell r="AI1236" t="str">
            <v/>
          </cell>
        </row>
        <row r="1237">
          <cell r="C1237">
            <v>75888.100000000006</v>
          </cell>
          <cell r="D1237" t="str">
            <v/>
          </cell>
          <cell r="E1237" t="str">
            <v/>
          </cell>
          <cell r="F1237" t="str">
            <v>Service</v>
          </cell>
          <cell r="G1237" t="str">
            <v>Service Collected</v>
          </cell>
          <cell r="H1237" t="str">
            <v>No</v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M1237" t="str">
            <v/>
          </cell>
          <cell r="N1237" t="str">
            <v/>
          </cell>
          <cell r="O1237" t="str">
            <v/>
          </cell>
          <cell r="P1237" t="str">
            <v/>
          </cell>
          <cell r="Q1237" t="str">
            <v>https://panda-windows-and-doors.monday.com/protected_static/21046287/resources/2773014729/SO Travis Mathews.pdf</v>
          </cell>
          <cell r="R1237" t="str">
            <v/>
          </cell>
          <cell r="S1237" t="str">
            <v/>
          </cell>
          <cell r="T1237" t="str">
            <v/>
          </cell>
          <cell r="U1237">
            <v>0</v>
          </cell>
          <cell r="V1237">
            <v>1355</v>
          </cell>
          <cell r="W1237" t="str">
            <v>Amit Iarochevsky Apr 29, 2026 4:53 PM</v>
          </cell>
          <cell r="X1237" t="str">
            <v/>
          </cell>
          <cell r="Y1237">
            <v>46072</v>
          </cell>
          <cell r="Z1237" t="str">
            <v/>
          </cell>
          <cell r="AA1237">
            <v>46072</v>
          </cell>
          <cell r="AB1237" t="str">
            <v>Annalene Conde Feb 19, 2026 3:20 PM</v>
          </cell>
          <cell r="AC1237" t="str">
            <v/>
          </cell>
          <cell r="AD1237" t="str">
            <v/>
          </cell>
          <cell r="AE1237" t="str">
            <v/>
          </cell>
          <cell r="AF1237" t="str">
            <v/>
          </cell>
          <cell r="AG1237">
            <v>46141</v>
          </cell>
          <cell r="AH1237" t="str">
            <v/>
          </cell>
          <cell r="AI1237" t="str">
            <v/>
          </cell>
        </row>
        <row r="1238">
          <cell r="C1238" t="str">
            <v>54662-S7</v>
          </cell>
          <cell r="D1238" t="str">
            <v/>
          </cell>
          <cell r="E1238" t="str">
            <v/>
          </cell>
          <cell r="F1238" t="str">
            <v>Service</v>
          </cell>
          <cell r="G1238" t="str">
            <v>Service Collected</v>
          </cell>
          <cell r="H1238" t="str">
            <v>No</v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N1238" t="str">
            <v>https://panda-windows-and-doors.monday.com/protected_static/21046287/resources/2935355770/10716 It Works GLass.pdf</v>
          </cell>
          <cell r="O1238" t="str">
            <v/>
          </cell>
          <cell r="P1238" t="str">
            <v/>
          </cell>
          <cell r="Q1238" t="str">
            <v>https://panda-windows-and-doors.monday.com/protected_static/21046287/resources/2935170734/Service Form.pdf</v>
          </cell>
          <cell r="R1238" t="str">
            <v/>
          </cell>
          <cell r="S1238" t="str">
            <v/>
          </cell>
          <cell r="T1238" t="str">
            <v/>
          </cell>
          <cell r="U1238" t="str">
            <v/>
          </cell>
          <cell r="V1238" t="str">
            <v/>
          </cell>
          <cell r="W1238" t="str">
            <v>Amit Iarochevsky Apr 30, 2026 2:04 PM</v>
          </cell>
          <cell r="X1238" t="str">
            <v/>
          </cell>
          <cell r="Y1238">
            <v>46141</v>
          </cell>
          <cell r="Z1238" t="str">
            <v/>
          </cell>
          <cell r="AA1238">
            <v>46141</v>
          </cell>
          <cell r="AB1238" t="str">
            <v>Annalene Conde Apr 29, 2026 11:17 AM</v>
          </cell>
          <cell r="AC1238" t="str">
            <v/>
          </cell>
          <cell r="AD1238" t="str">
            <v/>
          </cell>
          <cell r="AE1238" t="str">
            <v/>
          </cell>
          <cell r="AF1238" t="str">
            <v/>
          </cell>
          <cell r="AG1238">
            <v>46142</v>
          </cell>
          <cell r="AH1238" t="str">
            <v/>
          </cell>
          <cell r="AI1238" t="str">
            <v/>
          </cell>
        </row>
        <row r="1239">
          <cell r="C1239">
            <v>685</v>
          </cell>
          <cell r="D1239" t="str">
            <v/>
          </cell>
          <cell r="E1239" t="str">
            <v/>
          </cell>
          <cell r="F1239" t="str">
            <v>Service</v>
          </cell>
          <cell r="G1239" t="str">
            <v>Service Collected</v>
          </cell>
          <cell r="H1239" t="str">
            <v>No</v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N1239" t="str">
            <v>https://panda-windows-and-doors.monday.com/protected_static/21046287/resources/2931878303/10713 Epsilon Windows &amp; Doors.pdf</v>
          </cell>
          <cell r="O1239" t="str">
            <v/>
          </cell>
          <cell r="P1239" t="str">
            <v/>
          </cell>
          <cell r="Q1239" t="str">
            <v>https://panda-windows-and-doors.monday.com/protected_static/21046287/resources/2931845948/Service Form.pdf</v>
          </cell>
          <cell r="R1239" t="str">
            <v/>
          </cell>
          <cell r="S1239" t="str">
            <v/>
          </cell>
          <cell r="T1239" t="str">
            <v/>
          </cell>
          <cell r="U1239" t="str">
            <v/>
          </cell>
          <cell r="V1239">
            <v>1130</v>
          </cell>
          <cell r="W1239" t="str">
            <v>Amit Iarochevsky Apr 30, 2026 2:38 PM</v>
          </cell>
          <cell r="X1239" t="str">
            <v/>
          </cell>
          <cell r="Y1239">
            <v>46140</v>
          </cell>
          <cell r="Z1239" t="str">
            <v/>
          </cell>
          <cell r="AA1239">
            <v>46140</v>
          </cell>
          <cell r="AB1239" t="str">
            <v>Annalene Conde Apr 28, 2026 12:52 PM</v>
          </cell>
          <cell r="AC1239" t="str">
            <v/>
          </cell>
          <cell r="AD1239" t="str">
            <v/>
          </cell>
          <cell r="AE1239" t="str">
            <v/>
          </cell>
          <cell r="AF1239" t="str">
            <v/>
          </cell>
          <cell r="AG1239">
            <v>46142</v>
          </cell>
          <cell r="AH1239" t="str">
            <v/>
          </cell>
          <cell r="AI1239" t="str">
            <v/>
          </cell>
        </row>
        <row r="1240">
          <cell r="C1240">
            <v>76110.2</v>
          </cell>
          <cell r="D1240" t="str">
            <v/>
          </cell>
          <cell r="E1240" t="str">
            <v/>
          </cell>
          <cell r="F1240" t="str">
            <v>Service</v>
          </cell>
          <cell r="G1240" t="str">
            <v>Service Collected</v>
          </cell>
          <cell r="H1240" t="str">
            <v>No</v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M1240" t="str">
            <v/>
          </cell>
          <cell r="N1240" t="str">
            <v/>
          </cell>
          <cell r="O1240" t="str">
            <v/>
          </cell>
          <cell r="P1240" t="str">
            <v/>
          </cell>
          <cell r="Q1240" t="str">
            <v>https://panda-windows-and-doors.monday.com/protected_static/21046287/resources/2876803455/SO Colorado West.pdf</v>
          </cell>
          <cell r="R1240" t="str">
            <v/>
          </cell>
          <cell r="S1240" t="str">
            <v/>
          </cell>
          <cell r="T1240" t="str">
            <v/>
          </cell>
          <cell r="U1240">
            <v>0</v>
          </cell>
          <cell r="V1240">
            <v>257</v>
          </cell>
          <cell r="W1240" t="str">
            <v>Amit Iarochevsky Apr 30, 2026 2:48 PM</v>
          </cell>
          <cell r="X1240" t="str">
            <v/>
          </cell>
          <cell r="Y1240">
            <v>46115</v>
          </cell>
          <cell r="Z1240" t="str">
            <v/>
          </cell>
          <cell r="AA1240">
            <v>46115</v>
          </cell>
          <cell r="AB1240" t="str">
            <v>Annalene Conde Apr 3, 2026 12:42 PM</v>
          </cell>
          <cell r="AC1240" t="str">
            <v/>
          </cell>
          <cell r="AD1240" t="str">
            <v/>
          </cell>
          <cell r="AE1240" t="str">
            <v/>
          </cell>
          <cell r="AF1240" t="str">
            <v/>
          </cell>
          <cell r="AG1240">
            <v>46142</v>
          </cell>
          <cell r="AH1240" t="str">
            <v/>
          </cell>
          <cell r="AI1240" t="str">
            <v/>
          </cell>
        </row>
        <row r="1241">
          <cell r="C1241" t="str">
            <v>Fred's Glass</v>
          </cell>
          <cell r="D1241" t="str">
            <v/>
          </cell>
          <cell r="E1241" t="str">
            <v/>
          </cell>
          <cell r="F1241" t="str">
            <v>Service</v>
          </cell>
          <cell r="G1241" t="str">
            <v>Service Collected</v>
          </cell>
          <cell r="H1241" t="str">
            <v>No</v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N1241" t="str">
            <v/>
          </cell>
          <cell r="O1241" t="str">
            <v/>
          </cell>
          <cell r="P1241" t="str">
            <v/>
          </cell>
          <cell r="Q1241" t="str">
            <v>https://panda-windows-and-doors.monday.com/protected_static/21046287/resources/2869328427/SO Freds.pdf</v>
          </cell>
          <cell r="R1241" t="str">
            <v/>
          </cell>
          <cell r="S1241" t="str">
            <v/>
          </cell>
          <cell r="T1241" t="str">
            <v/>
          </cell>
          <cell r="U1241">
            <v>0</v>
          </cell>
          <cell r="V1241">
            <v>395</v>
          </cell>
          <cell r="W1241" t="str">
            <v>Amit Iarochevsky Apr 30, 2026 2:56 PM</v>
          </cell>
          <cell r="X1241" t="str">
            <v/>
          </cell>
          <cell r="Y1241">
            <v>46112</v>
          </cell>
          <cell r="Z1241" t="str">
            <v/>
          </cell>
          <cell r="AA1241">
            <v>46112</v>
          </cell>
          <cell r="AB1241" t="str">
            <v>Annalene Conde Mar 31, 2026 3:25 PM</v>
          </cell>
          <cell r="AC1241" t="str">
            <v/>
          </cell>
          <cell r="AD1241" t="str">
            <v/>
          </cell>
          <cell r="AE1241" t="str">
            <v/>
          </cell>
          <cell r="AF1241" t="str">
            <v/>
          </cell>
          <cell r="AG1241">
            <v>46142</v>
          </cell>
          <cell r="AH1241" t="str">
            <v/>
          </cell>
          <cell r="AI1241" t="str">
            <v/>
          </cell>
        </row>
        <row r="1242">
          <cell r="C1242">
            <v>21704</v>
          </cell>
          <cell r="D1242" t="str">
            <v/>
          </cell>
          <cell r="E1242" t="str">
            <v/>
          </cell>
          <cell r="F1242" t="str">
            <v>Service</v>
          </cell>
          <cell r="G1242" t="str">
            <v>Service Collected</v>
          </cell>
          <cell r="H1242" t="str">
            <v>No</v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M1242" t="str">
            <v/>
          </cell>
          <cell r="N1242" t="str">
            <v/>
          </cell>
          <cell r="O1242" t="str">
            <v/>
          </cell>
          <cell r="P1242" t="str">
            <v/>
          </cell>
          <cell r="Q1242" t="str">
            <v>https://panda-windows-and-doors.monday.com/protected_static/21046287/resources/2914349989/SO Nagely.pdf</v>
          </cell>
          <cell r="R1242" t="str">
            <v/>
          </cell>
          <cell r="S1242" t="str">
            <v/>
          </cell>
          <cell r="T1242" t="str">
            <v/>
          </cell>
          <cell r="U1242">
            <v>0</v>
          </cell>
          <cell r="V1242">
            <v>255</v>
          </cell>
          <cell r="W1242" t="str">
            <v>Amit Iarochevsky Apr 30, 2026 3:27 PM</v>
          </cell>
          <cell r="X1242" t="str">
            <v/>
          </cell>
          <cell r="Y1242">
            <v>46132</v>
          </cell>
          <cell r="Z1242" t="str">
            <v/>
          </cell>
          <cell r="AA1242">
            <v>46132</v>
          </cell>
          <cell r="AB1242" t="str">
            <v>Annalene Conde Apr 20, 2026 4:02 PM</v>
          </cell>
          <cell r="AC1242" t="str">
            <v/>
          </cell>
          <cell r="AD1242" t="str">
            <v/>
          </cell>
          <cell r="AE1242" t="str">
            <v/>
          </cell>
          <cell r="AF1242" t="str">
            <v/>
          </cell>
          <cell r="AG1242">
            <v>46142</v>
          </cell>
          <cell r="AH1242" t="str">
            <v/>
          </cell>
          <cell r="AI1242" t="str">
            <v/>
          </cell>
        </row>
        <row r="1243">
          <cell r="C1243" t="str">
            <v>555 Bryant</v>
          </cell>
          <cell r="D1243" t="str">
            <v/>
          </cell>
          <cell r="E1243" t="str">
            <v/>
          </cell>
          <cell r="F1243" t="str">
            <v>Service</v>
          </cell>
          <cell r="G1243" t="str">
            <v>Service Collected</v>
          </cell>
          <cell r="H1243" t="str">
            <v>No</v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M1243" t="str">
            <v/>
          </cell>
          <cell r="N1243" t="str">
            <v/>
          </cell>
          <cell r="O1243" t="str">
            <v/>
          </cell>
          <cell r="P1243" t="str">
            <v/>
          </cell>
          <cell r="Q1243" t="str">
            <v>https://panda-windows-and-doors.monday.com/protected_static/21046287/resources/2914355256/SO Woodbridge.pdf</v>
          </cell>
          <cell r="R1243" t="str">
            <v/>
          </cell>
          <cell r="S1243" t="str">
            <v/>
          </cell>
          <cell r="T1243" t="str">
            <v/>
          </cell>
          <cell r="U1243">
            <v>0</v>
          </cell>
          <cell r="V1243">
            <v>79</v>
          </cell>
          <cell r="W1243" t="str">
            <v>Amit Iarochevsky May 4, 2026 4:08 PM</v>
          </cell>
          <cell r="X1243" t="str">
            <v/>
          </cell>
          <cell r="Y1243">
            <v>46132</v>
          </cell>
          <cell r="Z1243" t="str">
            <v/>
          </cell>
          <cell r="AA1243">
            <v>46132</v>
          </cell>
          <cell r="AB1243" t="str">
            <v>Annalene Conde Apr 20, 2026 4:05 PM</v>
          </cell>
          <cell r="AC1243" t="str">
            <v/>
          </cell>
          <cell r="AD1243" t="str">
            <v/>
          </cell>
          <cell r="AE1243" t="str">
            <v/>
          </cell>
          <cell r="AF1243" t="str">
            <v/>
          </cell>
          <cell r="AG1243">
            <v>46146</v>
          </cell>
          <cell r="AH1243" t="str">
            <v/>
          </cell>
          <cell r="AI1243" t="str">
            <v/>
          </cell>
        </row>
        <row r="1244">
          <cell r="C1244" t="str">
            <v>Gentry door1</v>
          </cell>
          <cell r="D1244" t="str">
            <v/>
          </cell>
          <cell r="E1244" t="str">
            <v/>
          </cell>
          <cell r="F1244" t="str">
            <v>Service</v>
          </cell>
          <cell r="G1244" t="str">
            <v>Service Collected</v>
          </cell>
          <cell r="H1244" t="str">
            <v>No</v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M1244" t="str">
            <v/>
          </cell>
          <cell r="N1244" t="str">
            <v>https://panda-windows-and-doors.monday.com/protected_static/21046287/resources/2936102546/10718 Gary Gentry.pdf</v>
          </cell>
          <cell r="O1244" t="str">
            <v/>
          </cell>
          <cell r="P1244" t="str">
            <v/>
          </cell>
          <cell r="Q1244" t="str">
            <v>https://panda-windows-and-doors.monday.com/protected_static/21046287/resources/2936037907/SO Gentry 1.pdf</v>
          </cell>
          <cell r="R1244" t="str">
            <v/>
          </cell>
          <cell r="S1244" t="str">
            <v/>
          </cell>
          <cell r="T1244" t="str">
            <v/>
          </cell>
          <cell r="U1244">
            <v>0</v>
          </cell>
          <cell r="V1244">
            <v>785</v>
          </cell>
          <cell r="W1244" t="str">
            <v>Amit Iarochevsky May 7, 2026 12:53 PM</v>
          </cell>
          <cell r="X1244" t="str">
            <v/>
          </cell>
          <cell r="Y1244">
            <v>46141</v>
          </cell>
          <cell r="Z1244" t="str">
            <v/>
          </cell>
          <cell r="AA1244">
            <v>46141</v>
          </cell>
          <cell r="AB1244" t="str">
            <v>Annalene Conde Apr 29, 2026 4:07 PM</v>
          </cell>
          <cell r="AC1244" t="str">
            <v/>
          </cell>
          <cell r="AD1244" t="str">
            <v/>
          </cell>
          <cell r="AE1244" t="str">
            <v/>
          </cell>
          <cell r="AF1244" t="str">
            <v/>
          </cell>
          <cell r="AG1244">
            <v>46149</v>
          </cell>
          <cell r="AH1244" t="str">
            <v/>
          </cell>
          <cell r="AI1244" t="str">
            <v/>
          </cell>
        </row>
        <row r="1245">
          <cell r="C1245" t="str">
            <v>75028-S2</v>
          </cell>
          <cell r="D1245" t="str">
            <v/>
          </cell>
          <cell r="E1245" t="str">
            <v/>
          </cell>
          <cell r="F1245" t="str">
            <v>Service</v>
          </cell>
          <cell r="G1245" t="str">
            <v>Service Collected</v>
          </cell>
          <cell r="H1245" t="str">
            <v>No</v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M1245" t="str">
            <v/>
          </cell>
          <cell r="N1245" t="str">
            <v>https://panda-windows-and-doors.monday.com/protected_static/21046287/resources/2936138811/10720 U.S. Architectural Glass &amp; Metal.pdf</v>
          </cell>
          <cell r="O1245" t="str">
            <v/>
          </cell>
          <cell r="P1245" t="str">
            <v/>
          </cell>
          <cell r="Q1245" t="str">
            <v>https://panda-windows-and-doors.monday.com/protected_static/21046287/resources/2929103369/SO Obama.pdf</v>
          </cell>
          <cell r="R1245" t="str">
            <v/>
          </cell>
          <cell r="S1245" t="str">
            <v/>
          </cell>
          <cell r="T1245" t="str">
            <v/>
          </cell>
          <cell r="U1245" t="str">
            <v/>
          </cell>
          <cell r="V1245">
            <v>797.5</v>
          </cell>
          <cell r="W1245" t="str">
            <v>Amit Iarochevsky May 7, 2026 1:02 PM</v>
          </cell>
          <cell r="X1245" t="str">
            <v/>
          </cell>
          <cell r="Y1245">
            <v>46139</v>
          </cell>
          <cell r="Z1245" t="str">
            <v/>
          </cell>
          <cell r="AA1245">
            <v>46139</v>
          </cell>
          <cell r="AB1245" t="str">
            <v>Annalene Conde Apr 27, 2026 2:56 PM</v>
          </cell>
          <cell r="AC1245" t="str">
            <v/>
          </cell>
          <cell r="AD1245" t="str">
            <v/>
          </cell>
          <cell r="AE1245" t="str">
            <v/>
          </cell>
          <cell r="AF1245" t="str">
            <v/>
          </cell>
          <cell r="AG1245">
            <v>46149</v>
          </cell>
          <cell r="AH1245" t="str">
            <v/>
          </cell>
          <cell r="AI1245" t="str">
            <v/>
          </cell>
        </row>
        <row r="1246">
          <cell r="C1246">
            <v>10833</v>
          </cell>
          <cell r="D1246" t="str">
            <v/>
          </cell>
          <cell r="E1246" t="str">
            <v/>
          </cell>
          <cell r="F1246" t="str">
            <v>Service</v>
          </cell>
          <cell r="G1246" t="str">
            <v>Service Collected</v>
          </cell>
          <cell r="H1246" t="str">
            <v>No</v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N1246" t="str">
            <v/>
          </cell>
          <cell r="O1246" t="str">
            <v/>
          </cell>
          <cell r="P1246" t="str">
            <v/>
          </cell>
          <cell r="Q1246" t="str">
            <v>https://panda-windows-and-doors.monday.com/protected_static/21046287/resources/2948206603/Service Form.pdf</v>
          </cell>
          <cell r="R1246" t="str">
            <v/>
          </cell>
          <cell r="S1246" t="str">
            <v/>
          </cell>
          <cell r="T1246" t="str">
            <v/>
          </cell>
          <cell r="U1246">
            <v>0</v>
          </cell>
          <cell r="V1246">
            <v>44</v>
          </cell>
          <cell r="W1246" t="str">
            <v>Amit Iarochevsky May 7, 2026 1:06 PM</v>
          </cell>
          <cell r="X1246" t="str">
            <v/>
          </cell>
          <cell r="Y1246">
            <v>46147</v>
          </cell>
          <cell r="Z1246" t="str">
            <v/>
          </cell>
          <cell r="AA1246">
            <v>46147</v>
          </cell>
          <cell r="AB1246" t="str">
            <v>Annalene Conde May 5, 2026 10:24 AM</v>
          </cell>
          <cell r="AC1246" t="str">
            <v/>
          </cell>
          <cell r="AD1246" t="str">
            <v/>
          </cell>
          <cell r="AE1246" t="str">
            <v/>
          </cell>
          <cell r="AF1246" t="str">
            <v/>
          </cell>
          <cell r="AG1246">
            <v>46149</v>
          </cell>
          <cell r="AH1246" t="str">
            <v/>
          </cell>
          <cell r="AI1246" t="str">
            <v/>
          </cell>
        </row>
        <row r="1247">
          <cell r="C1247" t="str">
            <v>64559-S1</v>
          </cell>
          <cell r="D1247" t="str">
            <v/>
          </cell>
          <cell r="E1247" t="str">
            <v/>
          </cell>
          <cell r="F1247" t="str">
            <v>Service</v>
          </cell>
          <cell r="G1247" t="str">
            <v>Service Collected</v>
          </cell>
          <cell r="H1247" t="str">
            <v>No</v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N1247" t="str">
            <v/>
          </cell>
          <cell r="O1247" t="str">
            <v/>
          </cell>
          <cell r="P1247" t="str">
            <v/>
          </cell>
          <cell r="Q1247" t="str">
            <v>https://panda-windows-and-doors.monday.com/protected_static/21046287/resources/2949060837/SO Niral Hilltop.pdf</v>
          </cell>
          <cell r="R1247" t="str">
            <v/>
          </cell>
          <cell r="S1247" t="str">
            <v/>
          </cell>
          <cell r="T1247" t="str">
            <v/>
          </cell>
          <cell r="U1247">
            <v>0</v>
          </cell>
          <cell r="V1247">
            <v>924</v>
          </cell>
          <cell r="W1247" t="str">
            <v>Amit Iarochevsky May 11, 2026 4:36 PM</v>
          </cell>
          <cell r="X1247" t="str">
            <v/>
          </cell>
          <cell r="Y1247">
            <v>46147</v>
          </cell>
          <cell r="Z1247" t="str">
            <v/>
          </cell>
          <cell r="AA1247">
            <v>46147</v>
          </cell>
          <cell r="AB1247" t="str">
            <v>Annalene Conde May 5, 2026 2:30 PM</v>
          </cell>
          <cell r="AC1247" t="str">
            <v/>
          </cell>
          <cell r="AD1247">
            <v>46153</v>
          </cell>
          <cell r="AE1247" t="str">
            <v/>
          </cell>
          <cell r="AF1247" t="str">
            <v/>
          </cell>
          <cell r="AG1247">
            <v>46153</v>
          </cell>
          <cell r="AH1247" t="str">
            <v/>
          </cell>
          <cell r="AI1247" t="str">
            <v/>
          </cell>
        </row>
        <row r="1248">
          <cell r="C1248">
            <v>21774</v>
          </cell>
          <cell r="D1248" t="str">
            <v/>
          </cell>
          <cell r="E1248" t="str">
            <v/>
          </cell>
          <cell r="F1248" t="str">
            <v>Service</v>
          </cell>
          <cell r="G1248" t="str">
            <v>Service Collected</v>
          </cell>
          <cell r="H1248" t="str">
            <v>No</v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 t="str">
            <v>https://panda-windows-and-doors.monday.com/protected_static/21046287/resources/2965090759/Service Form.pdf</v>
          </cell>
          <cell r="R1248" t="str">
            <v/>
          </cell>
          <cell r="S1248" t="str">
            <v/>
          </cell>
          <cell r="T1248" t="str">
            <v/>
          </cell>
          <cell r="U1248" t="str">
            <v/>
          </cell>
          <cell r="V1248" t="str">
            <v/>
          </cell>
          <cell r="W1248" t="str">
            <v>Amit Iarochevsky May 14, 2026 10:00 AM</v>
          </cell>
          <cell r="X1248" t="str">
            <v/>
          </cell>
          <cell r="Y1248">
            <v>46154</v>
          </cell>
          <cell r="Z1248" t="str">
            <v/>
          </cell>
          <cell r="AA1248">
            <v>46154</v>
          </cell>
          <cell r="AB1248" t="str">
            <v>Annalene Conde May 12, 2026 11:00 AM</v>
          </cell>
          <cell r="AC1248" t="str">
            <v/>
          </cell>
          <cell r="AD1248" t="str">
            <v/>
          </cell>
          <cell r="AE1248" t="str">
            <v/>
          </cell>
          <cell r="AF1248" t="str">
            <v/>
          </cell>
          <cell r="AG1248">
            <v>46156</v>
          </cell>
          <cell r="AH1248" t="str">
            <v/>
          </cell>
          <cell r="AI1248" t="str">
            <v/>
          </cell>
        </row>
        <row r="1249">
          <cell r="C1249">
            <v>28134</v>
          </cell>
          <cell r="D1249" t="str">
            <v/>
          </cell>
          <cell r="E1249" t="str">
            <v/>
          </cell>
          <cell r="F1249" t="str">
            <v>Service</v>
          </cell>
          <cell r="G1249" t="str">
            <v>Service Collected</v>
          </cell>
          <cell r="H1249" t="str">
            <v>No</v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 t="str">
            <v>https://panda-windows-and-doors.monday.com/protected_static/21046287/resources/2951439860/Service Form.pdf</v>
          </cell>
          <cell r="R1249" t="str">
            <v/>
          </cell>
          <cell r="S1249" t="str">
            <v/>
          </cell>
          <cell r="T1249" t="str">
            <v/>
          </cell>
          <cell r="U1249">
            <v>0</v>
          </cell>
          <cell r="V1249">
            <v>900</v>
          </cell>
          <cell r="W1249" t="str">
            <v>Amit Iarochevsky May 14, 2026 10:07 AM</v>
          </cell>
          <cell r="X1249" t="str">
            <v/>
          </cell>
          <cell r="Y1249">
            <v>46148</v>
          </cell>
          <cell r="Z1249" t="str">
            <v/>
          </cell>
          <cell r="AA1249">
            <v>46148</v>
          </cell>
          <cell r="AB1249" t="str">
            <v>Annalene Conde May 6, 2026 11:43 AM</v>
          </cell>
          <cell r="AC1249" t="str">
            <v/>
          </cell>
          <cell r="AD1249" t="str">
            <v/>
          </cell>
          <cell r="AE1249" t="str">
            <v/>
          </cell>
          <cell r="AF1249" t="str">
            <v/>
          </cell>
          <cell r="AG1249">
            <v>46156</v>
          </cell>
          <cell r="AH1249" t="str">
            <v/>
          </cell>
          <cell r="AI1249" t="str">
            <v/>
          </cell>
        </row>
        <row r="1250">
          <cell r="C1250" t="str">
            <v>75247-S1</v>
          </cell>
          <cell r="D1250" t="str">
            <v/>
          </cell>
          <cell r="E1250" t="str">
            <v/>
          </cell>
          <cell r="F1250" t="str">
            <v>Service</v>
          </cell>
          <cell r="G1250" t="str">
            <v>Service Collected</v>
          </cell>
          <cell r="H1250" t="str">
            <v>No</v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 t="str">
            <v>https://panda-windows-and-doors.monday.com/protected_static/21046287/resources/2851000079/SO Costar.pdf</v>
          </cell>
          <cell r="R1250" t="str">
            <v/>
          </cell>
          <cell r="S1250" t="str">
            <v/>
          </cell>
          <cell r="T1250" t="str">
            <v/>
          </cell>
          <cell r="U1250">
            <v>0</v>
          </cell>
          <cell r="V1250">
            <v>2300</v>
          </cell>
          <cell r="W1250" t="str">
            <v>Amit Iarochevsky May 15, 2026 2:31 PM</v>
          </cell>
          <cell r="X1250" t="str">
            <v/>
          </cell>
          <cell r="Y1250">
            <v>46105</v>
          </cell>
          <cell r="Z1250" t="str">
            <v/>
          </cell>
          <cell r="AA1250">
            <v>46105</v>
          </cell>
          <cell r="AB1250" t="str">
            <v>Annalene Conde Mar 24, 2026 10:52 AM</v>
          </cell>
          <cell r="AC1250" t="str">
            <v/>
          </cell>
          <cell r="AD1250" t="str">
            <v/>
          </cell>
          <cell r="AE1250" t="str">
            <v/>
          </cell>
          <cell r="AF1250" t="str">
            <v/>
          </cell>
          <cell r="AG1250">
            <v>46157</v>
          </cell>
          <cell r="AH1250" t="str">
            <v/>
          </cell>
          <cell r="AI1250" t="str">
            <v/>
          </cell>
        </row>
        <row r="1251">
          <cell r="C1251">
            <v>1588</v>
          </cell>
          <cell r="D1251" t="str">
            <v/>
          </cell>
          <cell r="E1251" t="str">
            <v/>
          </cell>
          <cell r="F1251" t="str">
            <v>Service</v>
          </cell>
          <cell r="G1251" t="str">
            <v>Service Collected</v>
          </cell>
          <cell r="H1251" t="str">
            <v>No</v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 t="str">
            <v>https://panda-windows-and-doors.monday.com/protected_static/21046287/resources/2920156282/Service Form.pdf</v>
          </cell>
          <cell r="R1251" t="str">
            <v/>
          </cell>
          <cell r="S1251" t="str">
            <v/>
          </cell>
          <cell r="T1251" t="str">
            <v/>
          </cell>
          <cell r="U1251">
            <v>0</v>
          </cell>
          <cell r="V1251">
            <v>371</v>
          </cell>
          <cell r="W1251" t="str">
            <v>Amit Iarochevsky May 18, 2026 11:31 AM</v>
          </cell>
          <cell r="X1251" t="str">
            <v/>
          </cell>
          <cell r="Y1251">
            <v>46134</v>
          </cell>
          <cell r="Z1251" t="str">
            <v/>
          </cell>
          <cell r="AA1251">
            <v>46134</v>
          </cell>
          <cell r="AB1251" t="str">
            <v>Annalene Conde Apr 22, 2026 4:19 PM</v>
          </cell>
          <cell r="AC1251" t="str">
            <v/>
          </cell>
          <cell r="AD1251" t="str">
            <v/>
          </cell>
          <cell r="AE1251" t="str">
            <v/>
          </cell>
          <cell r="AF1251" t="str">
            <v/>
          </cell>
          <cell r="AG1251">
            <v>46160</v>
          </cell>
          <cell r="AH1251" t="str">
            <v/>
          </cell>
          <cell r="AI1251" t="str">
            <v/>
          </cell>
        </row>
        <row r="1252">
          <cell r="C1252">
            <v>412</v>
          </cell>
          <cell r="D1252" t="str">
            <v/>
          </cell>
          <cell r="E1252" t="str">
            <v/>
          </cell>
          <cell r="F1252" t="str">
            <v>Service</v>
          </cell>
          <cell r="G1252" t="str">
            <v>Service Collected</v>
          </cell>
          <cell r="H1252" t="str">
            <v>No</v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 t="str">
            <v>https://panda-windows-and-doors.monday.com/protected_static/21046287/resources/2954268179/Service Form.pdf</v>
          </cell>
          <cell r="R1252" t="str">
            <v/>
          </cell>
          <cell r="S1252" t="str">
            <v/>
          </cell>
          <cell r="T1252" t="str">
            <v/>
          </cell>
          <cell r="U1252">
            <v>0</v>
          </cell>
          <cell r="V1252">
            <v>706.8</v>
          </cell>
          <cell r="W1252" t="str">
            <v>Amit Iarochevsky May 18, 2026 11:35 AM</v>
          </cell>
          <cell r="X1252" t="str">
            <v/>
          </cell>
          <cell r="Y1252">
            <v>46149</v>
          </cell>
          <cell r="Z1252" t="str">
            <v/>
          </cell>
          <cell r="AA1252">
            <v>46149</v>
          </cell>
          <cell r="AB1252" t="str">
            <v>Annalene Conde May 7, 2026 10:37 AM</v>
          </cell>
          <cell r="AC1252" t="str">
            <v/>
          </cell>
          <cell r="AD1252" t="str">
            <v/>
          </cell>
          <cell r="AE1252" t="str">
            <v/>
          </cell>
          <cell r="AF1252" t="str">
            <v/>
          </cell>
          <cell r="AG1252">
            <v>46160</v>
          </cell>
          <cell r="AH1252" t="str">
            <v/>
          </cell>
          <cell r="AI1252" t="str">
            <v/>
          </cell>
        </row>
        <row r="1253">
          <cell r="C1253" t="str">
            <v>78744-S1</v>
          </cell>
          <cell r="D1253" t="str">
            <v/>
          </cell>
          <cell r="E1253" t="str">
            <v/>
          </cell>
          <cell r="F1253" t="str">
            <v>Service</v>
          </cell>
          <cell r="G1253" t="str">
            <v>Service Collected</v>
          </cell>
          <cell r="H1253" t="str">
            <v>No</v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 t="str">
            <v>https://panda-windows-and-doors.monday.com/protected_static/21046287/resources/2951536623/SO Bill Waterline.pdf</v>
          </cell>
          <cell r="R1253" t="str">
            <v>https://panda-windows-and-doors.monday.com/protected_static/21046287/resources/2289664617/Polk Architectural - Sales &amp; Use Tax Permit  12-3-2019 - TX.pdf</v>
          </cell>
          <cell r="S1253" t="str">
            <v/>
          </cell>
          <cell r="T1253" t="str">
            <v/>
          </cell>
          <cell r="U1253">
            <v>0</v>
          </cell>
          <cell r="V1253">
            <v>329</v>
          </cell>
          <cell r="W1253" t="str">
            <v>Amit Iarochevsky May 20, 2026 11:22 AM</v>
          </cell>
          <cell r="X1253" t="str">
            <v/>
          </cell>
          <cell r="Y1253">
            <v>46148</v>
          </cell>
          <cell r="Z1253" t="str">
            <v/>
          </cell>
          <cell r="AA1253">
            <v>46148</v>
          </cell>
          <cell r="AB1253" t="str">
            <v>Annalene Conde May 6, 2026 12:15 PM</v>
          </cell>
          <cell r="AC1253" t="str">
            <v/>
          </cell>
          <cell r="AD1253" t="str">
            <v/>
          </cell>
          <cell r="AE1253" t="str">
            <v/>
          </cell>
          <cell r="AF1253" t="str">
            <v/>
          </cell>
          <cell r="AG1253">
            <v>46162</v>
          </cell>
          <cell r="AH1253" t="str">
            <v/>
          </cell>
          <cell r="AI1253" t="str">
            <v/>
          </cell>
        </row>
        <row r="1254">
          <cell r="C1254">
            <v>10511</v>
          </cell>
          <cell r="D1254" t="str">
            <v/>
          </cell>
          <cell r="E1254" t="str">
            <v/>
          </cell>
          <cell r="F1254" t="str">
            <v>Service</v>
          </cell>
          <cell r="G1254" t="str">
            <v>Service Collected</v>
          </cell>
          <cell r="H1254" t="str">
            <v>No</v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 t="str">
            <v>https://panda-windows-and-doors.monday.com/protected_static/21046287/resources/2971855056/Service Form.pdf</v>
          </cell>
          <cell r="R1254" t="str">
            <v/>
          </cell>
          <cell r="S1254" t="str">
            <v/>
          </cell>
          <cell r="T1254" t="str">
            <v/>
          </cell>
          <cell r="U1254">
            <v>0</v>
          </cell>
          <cell r="V1254">
            <v>1208.01</v>
          </cell>
          <cell r="W1254" t="str">
            <v>Amit Iarochevsky May 20, 2026 2:38 PM</v>
          </cell>
          <cell r="X1254" t="str">
            <v/>
          </cell>
          <cell r="Y1254">
            <v>46156</v>
          </cell>
          <cell r="Z1254" t="str">
            <v/>
          </cell>
          <cell r="AA1254">
            <v>46156</v>
          </cell>
          <cell r="AB1254" t="str">
            <v>Annalene Conde May 14, 2026 4:17 PM</v>
          </cell>
          <cell r="AC1254" t="str">
            <v/>
          </cell>
          <cell r="AD1254" t="str">
            <v/>
          </cell>
          <cell r="AE1254" t="str">
            <v/>
          </cell>
          <cell r="AF1254" t="str">
            <v/>
          </cell>
          <cell r="AG1254">
            <v>46162</v>
          </cell>
          <cell r="AH1254" t="str">
            <v/>
          </cell>
          <cell r="AI1254" t="str">
            <v/>
          </cell>
        </row>
        <row r="1255">
          <cell r="C1255">
            <v>55666</v>
          </cell>
          <cell r="D1255" t="str">
            <v/>
          </cell>
          <cell r="E1255" t="str">
            <v/>
          </cell>
          <cell r="F1255" t="str">
            <v>Service</v>
          </cell>
          <cell r="G1255" t="str">
            <v>Service Collected</v>
          </cell>
          <cell r="H1255" t="str">
            <v>No</v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N1255" t="str">
            <v>https://panda-windows-and-doors.monday.com/protected_static/21046287/resources/2973820805/10768 SoCal Glass Inc.pdf</v>
          </cell>
          <cell r="O1255" t="str">
            <v/>
          </cell>
          <cell r="P1255" t="str">
            <v/>
          </cell>
          <cell r="Q1255" t="str">
            <v>https://panda-windows-and-doors.monday.com/protected_static/21046287/resources/2973643176/SO Silvergate.pdf</v>
          </cell>
          <cell r="R1255" t="str">
            <v/>
          </cell>
          <cell r="S1255" t="str">
            <v/>
          </cell>
          <cell r="T1255" t="str">
            <v/>
          </cell>
          <cell r="U1255" t="str">
            <v/>
          </cell>
          <cell r="V1255" t="str">
            <v/>
          </cell>
          <cell r="W1255" t="str">
            <v>Amit Iarochevsky May 20, 2026 2:38 PM</v>
          </cell>
          <cell r="X1255" t="str">
            <v/>
          </cell>
          <cell r="Y1255">
            <v>46157</v>
          </cell>
          <cell r="Z1255" t="str">
            <v/>
          </cell>
          <cell r="AA1255">
            <v>46157</v>
          </cell>
          <cell r="AB1255" t="str">
            <v>Annalene Conde May 15, 2026 11:36 AM</v>
          </cell>
          <cell r="AC1255" t="str">
            <v/>
          </cell>
          <cell r="AD1255" t="str">
            <v/>
          </cell>
          <cell r="AE1255" t="str">
            <v/>
          </cell>
          <cell r="AF1255" t="str">
            <v/>
          </cell>
          <cell r="AG1255">
            <v>46162</v>
          </cell>
          <cell r="AH1255" t="str">
            <v/>
          </cell>
          <cell r="AI1255" t="str">
            <v/>
          </cell>
        </row>
        <row r="1256">
          <cell r="C1256" t="str">
            <v>56792-S</v>
          </cell>
          <cell r="D1256" t="str">
            <v/>
          </cell>
          <cell r="E1256" t="str">
            <v/>
          </cell>
          <cell r="F1256" t="str">
            <v>Service</v>
          </cell>
          <cell r="G1256" t="str">
            <v>Service Collected</v>
          </cell>
          <cell r="H1256" t="str">
            <v>No</v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M1256" t="str">
            <v/>
          </cell>
          <cell r="N1256" t="str">
            <v>https://panda-windows-and-doors.monday.com/protected_static/21046287/resources/2982157346/10779 M-Core Const.pdf</v>
          </cell>
          <cell r="O1256" t="str">
            <v/>
          </cell>
          <cell r="P1256" t="str">
            <v/>
          </cell>
          <cell r="Q1256" t="str">
            <v>https://panda-windows-and-doors.monday.com/protected_static/21046287/resources/2982134764/Service Form.pdf</v>
          </cell>
          <cell r="R1256" t="str">
            <v/>
          </cell>
          <cell r="S1256" t="str">
            <v/>
          </cell>
          <cell r="T1256" t="str">
            <v/>
          </cell>
          <cell r="U1256" t="str">
            <v/>
          </cell>
          <cell r="V1256">
            <v>3874</v>
          </cell>
          <cell r="W1256" t="str">
            <v>Amit Iarochevsky May 21, 2026 3:49 PM</v>
          </cell>
          <cell r="X1256" t="str">
            <v/>
          </cell>
          <cell r="Y1256">
            <v>46161</v>
          </cell>
          <cell r="Z1256" t="str">
            <v/>
          </cell>
          <cell r="AA1256">
            <v>46161</v>
          </cell>
          <cell r="AB1256" t="str">
            <v>Annalene Conde May 19, 2026 3:48 PM</v>
          </cell>
          <cell r="AC1256" t="str">
            <v/>
          </cell>
          <cell r="AD1256" t="str">
            <v/>
          </cell>
          <cell r="AE1256" t="str">
            <v/>
          </cell>
          <cell r="AF1256" t="str">
            <v/>
          </cell>
          <cell r="AG1256">
            <v>46163</v>
          </cell>
          <cell r="AH1256" t="str">
            <v/>
          </cell>
          <cell r="AI1256" t="str">
            <v/>
          </cell>
        </row>
        <row r="1257">
          <cell r="C1257" t="str">
            <v>78597-S</v>
          </cell>
          <cell r="D1257" t="str">
            <v/>
          </cell>
          <cell r="E1257" t="str">
            <v/>
          </cell>
          <cell r="F1257" t="str">
            <v>Service</v>
          </cell>
          <cell r="G1257" t="str">
            <v>Service Collected</v>
          </cell>
          <cell r="H1257" t="str">
            <v>No</v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M1257" t="str">
            <v/>
          </cell>
          <cell r="N1257" t="str">
            <v>https://panda-windows-and-doors.monday.com/protected_static/21046287/resources/2990349307/10763 R &amp; S Impact.pdf</v>
          </cell>
          <cell r="O1257" t="str">
            <v/>
          </cell>
          <cell r="P1257" t="str">
            <v/>
          </cell>
          <cell r="Q1257" t="str">
            <v>https://panda-windows-and-doors.monday.com/protected_static/21046287/resources/2971815389/Service Form.pdf</v>
          </cell>
          <cell r="R1257" t="str">
            <v/>
          </cell>
          <cell r="S1257" t="str">
            <v/>
          </cell>
          <cell r="T1257" t="str">
            <v/>
          </cell>
          <cell r="U1257" t="str">
            <v/>
          </cell>
          <cell r="V1257">
            <v>1077</v>
          </cell>
          <cell r="W1257" t="str">
            <v>Amit Iarochevsky May 22, 2026 1:01 PM</v>
          </cell>
          <cell r="X1257" t="str">
            <v/>
          </cell>
          <cell r="Y1257">
            <v>46156</v>
          </cell>
          <cell r="Z1257" t="str">
            <v/>
          </cell>
          <cell r="AA1257">
            <v>46156</v>
          </cell>
          <cell r="AB1257" t="str">
            <v>Annalene Conde May 14, 2026 4:00 PM</v>
          </cell>
          <cell r="AC1257" t="str">
            <v/>
          </cell>
          <cell r="AD1257" t="str">
            <v/>
          </cell>
          <cell r="AE1257" t="str">
            <v/>
          </cell>
          <cell r="AF1257" t="str">
            <v/>
          </cell>
          <cell r="AG1257">
            <v>46164</v>
          </cell>
          <cell r="AH1257" t="str">
            <v/>
          </cell>
          <cell r="AI1257" t="str">
            <v/>
          </cell>
        </row>
        <row r="1258">
          <cell r="C1258">
            <v>55352.3</v>
          </cell>
          <cell r="D1258" t="str">
            <v/>
          </cell>
          <cell r="E1258" t="str">
            <v/>
          </cell>
          <cell r="F1258" t="str">
            <v>Service</v>
          </cell>
          <cell r="G1258" t="str">
            <v>Service Collected</v>
          </cell>
          <cell r="H1258" t="str">
            <v>No</v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M1258" t="str">
            <v/>
          </cell>
          <cell r="N1258" t="str">
            <v>https://panda-windows-and-doors.monday.com/protected_static/21046287/resources/2982149252/10778 Mauna Kea.pdf</v>
          </cell>
          <cell r="O1258" t="str">
            <v/>
          </cell>
          <cell r="P1258" t="str">
            <v/>
          </cell>
          <cell r="Q1258" t="str">
            <v>https://panda-windows-and-doors.monday.com/protected_static/21046287/resources/2982106213/SO Hapuna4.pdf</v>
          </cell>
          <cell r="R1258" t="str">
            <v/>
          </cell>
          <cell r="S1258" t="str">
            <v/>
          </cell>
          <cell r="T1258" t="str">
            <v/>
          </cell>
          <cell r="U1258" t="str">
            <v/>
          </cell>
          <cell r="V1258">
            <v>10131</v>
          </cell>
          <cell r="W1258" t="str">
            <v>Amit Iarochevsky May 22, 2026 1:47 PM</v>
          </cell>
          <cell r="X1258" t="str">
            <v/>
          </cell>
          <cell r="Y1258">
            <v>46161</v>
          </cell>
          <cell r="Z1258" t="str">
            <v/>
          </cell>
          <cell r="AA1258">
            <v>46161</v>
          </cell>
          <cell r="AB1258" t="str">
            <v>Annalene Conde May 19, 2026 3:34 PM</v>
          </cell>
          <cell r="AC1258" t="str">
            <v/>
          </cell>
          <cell r="AD1258" t="str">
            <v/>
          </cell>
          <cell r="AE1258" t="str">
            <v/>
          </cell>
          <cell r="AF1258" t="str">
            <v/>
          </cell>
          <cell r="AG1258">
            <v>46164</v>
          </cell>
          <cell r="AH1258" t="str">
            <v/>
          </cell>
          <cell r="AI1258" t="str">
            <v/>
          </cell>
        </row>
        <row r="1259">
          <cell r="C1259" t="str">
            <v>AAAQ1012</v>
          </cell>
          <cell r="D1259" t="str">
            <v/>
          </cell>
          <cell r="E1259" t="str">
            <v/>
          </cell>
          <cell r="F1259" t="str">
            <v>Service</v>
          </cell>
          <cell r="G1259" t="str">
            <v>Service Collected</v>
          </cell>
          <cell r="H1259" t="str">
            <v>No</v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 t="str">
            <v>https://panda-windows-and-doors.monday.com/protected_static/21046287/resources/2971148568/Service Form.pdf</v>
          </cell>
          <cell r="R1259" t="str">
            <v/>
          </cell>
          <cell r="S1259" t="str">
            <v/>
          </cell>
          <cell r="T1259" t="str">
            <v/>
          </cell>
          <cell r="U1259" t="str">
            <v/>
          </cell>
          <cell r="V1259">
            <v>407</v>
          </cell>
          <cell r="W1259" t="str">
            <v>Amit Iarochevsky May 26, 2026 5:19 PM</v>
          </cell>
          <cell r="X1259" t="str">
            <v/>
          </cell>
          <cell r="Y1259">
            <v>46156</v>
          </cell>
          <cell r="Z1259" t="str">
            <v/>
          </cell>
          <cell r="AA1259">
            <v>46156</v>
          </cell>
          <cell r="AB1259" t="str">
            <v>Annalene Conde May 14, 2026 11:26 AM</v>
          </cell>
          <cell r="AC1259" t="str">
            <v/>
          </cell>
          <cell r="AD1259" t="str">
            <v/>
          </cell>
          <cell r="AE1259" t="str">
            <v/>
          </cell>
          <cell r="AF1259" t="str">
            <v/>
          </cell>
          <cell r="AG1259">
            <v>46168</v>
          </cell>
          <cell r="AH1259" t="str">
            <v/>
          </cell>
          <cell r="AI1259" t="str">
            <v/>
          </cell>
        </row>
        <row r="1260">
          <cell r="C1260">
            <v>83144</v>
          </cell>
          <cell r="D1260" t="str">
            <v/>
          </cell>
          <cell r="E1260" t="str">
            <v/>
          </cell>
          <cell r="F1260" t="str">
            <v>Service</v>
          </cell>
          <cell r="G1260" t="str">
            <v>Service Collected</v>
          </cell>
          <cell r="H1260" t="str">
            <v>No</v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M1260" t="str">
            <v/>
          </cell>
          <cell r="N1260" t="str">
            <v>https://panda-windows-and-doors.monday.com/protected_static/21046287/resources/2999925611/10805 Long Glazing &amp; Doors.pdf</v>
          </cell>
          <cell r="O1260" t="str">
            <v/>
          </cell>
          <cell r="P1260" t="str">
            <v/>
          </cell>
          <cell r="Q1260" t="str">
            <v>https://panda-windows-and-doors.monday.com/protected_static/21046287/resources/2997428885/SO KCS.pdf</v>
          </cell>
          <cell r="R1260" t="str">
            <v>https://panda-windows-and-doors.monday.com/protected_static/21046287/resources/2205670146/MF 4886 Q83144 KCS -B.O.M.pdf, https://panda-windows-and-doors.monday.com/protected_static/21046287/resources/2205670142/MF 4886 Q83144 KCS - CUTLIST (GINERI).pdf, https://panda-windows-and-doors.monday.com/protected_static/21046287/resources/2205670144/MF 4886 Q83144 KCS - CUTLIST (MANUAL).pdf, https://panda-windows-and-doors.monday.com/protected_static/21046287/resources/2205670143/MF 4886 Q83144 KCS - OPT.pdf</v>
          </cell>
          <cell r="S1260" t="str">
            <v>Completed - Closed Out</v>
          </cell>
          <cell r="T1260" t="str">
            <v/>
          </cell>
          <cell r="U1260" t="str">
            <v/>
          </cell>
          <cell r="V1260">
            <v>254</v>
          </cell>
          <cell r="W1260" t="str">
            <v>Amit Iarochevsky May 28, 2026 1:51 PM</v>
          </cell>
          <cell r="X1260" t="str">
            <v/>
          </cell>
          <cell r="Y1260">
            <v>46168</v>
          </cell>
          <cell r="Z1260" t="str">
            <v/>
          </cell>
          <cell r="AA1260">
            <v>46168</v>
          </cell>
          <cell r="AB1260" t="str">
            <v>Annalene Conde May 26, 2026 3:59 PM</v>
          </cell>
          <cell r="AC1260" t="str">
            <v/>
          </cell>
          <cell r="AD1260" t="str">
            <v/>
          </cell>
          <cell r="AE1260" t="str">
            <v/>
          </cell>
          <cell r="AF1260" t="str">
            <v/>
          </cell>
          <cell r="AG1260">
            <v>46170</v>
          </cell>
          <cell r="AH1260" t="str">
            <v/>
          </cell>
          <cell r="AI1260" t="str">
            <v/>
          </cell>
        </row>
        <row r="1261">
          <cell r="C1261">
            <v>61348.1</v>
          </cell>
          <cell r="D1261" t="str">
            <v/>
          </cell>
          <cell r="E1261" t="str">
            <v/>
          </cell>
          <cell r="F1261" t="str">
            <v>Service</v>
          </cell>
          <cell r="G1261" t="str">
            <v>Service Collected</v>
          </cell>
          <cell r="H1261" t="str">
            <v>No</v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N1261" t="str">
            <v>https://panda-windows-and-doors.monday.com/protected_static/21046287/resources/3000007413/10806 Colorado West Construction.pdf</v>
          </cell>
          <cell r="O1261" t="str">
            <v/>
          </cell>
          <cell r="P1261" t="str">
            <v/>
          </cell>
          <cell r="Q1261" t="str">
            <v>https://panda-windows-and-doors.monday.com/protected_static/21046287/resources/2999457485/SO CWC.pdf</v>
          </cell>
          <cell r="R1261" t="str">
            <v/>
          </cell>
          <cell r="S1261" t="str">
            <v/>
          </cell>
          <cell r="T1261" t="str">
            <v/>
          </cell>
          <cell r="U1261" t="str">
            <v/>
          </cell>
          <cell r="V1261">
            <v>254</v>
          </cell>
          <cell r="W1261" t="str">
            <v>Amit Iarochevsky May 29, 2026 3:35 PM</v>
          </cell>
          <cell r="X1261" t="str">
            <v/>
          </cell>
          <cell r="Y1261">
            <v>46169</v>
          </cell>
          <cell r="Z1261" t="str">
            <v/>
          </cell>
          <cell r="AA1261">
            <v>46169</v>
          </cell>
          <cell r="AB1261" t="str">
            <v>Annalene Conde May 27, 2026 8:37 AM</v>
          </cell>
          <cell r="AC1261" t="str">
            <v/>
          </cell>
          <cell r="AD1261" t="str">
            <v/>
          </cell>
          <cell r="AE1261" t="str">
            <v/>
          </cell>
          <cell r="AF1261" t="str">
            <v/>
          </cell>
          <cell r="AG1261">
            <v>46171</v>
          </cell>
          <cell r="AH1261" t="str">
            <v/>
          </cell>
          <cell r="AI1261" t="str">
            <v/>
          </cell>
        </row>
        <row r="1262">
          <cell r="C1262">
            <v>70125</v>
          </cell>
          <cell r="D1262" t="str">
            <v/>
          </cell>
          <cell r="E1262" t="str">
            <v/>
          </cell>
          <cell r="F1262" t="str">
            <v>Service</v>
          </cell>
          <cell r="G1262" t="str">
            <v>Service Collected</v>
          </cell>
          <cell r="H1262" t="str">
            <v>No</v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 t="str">
            <v>https://panda-windows-and-doors.monday.com/protected_static/21046287/resources/2967904153/SO Walter and wolf.pdf</v>
          </cell>
          <cell r="R1262" t="str">
            <v/>
          </cell>
          <cell r="S1262" t="str">
            <v/>
          </cell>
          <cell r="T1262" t="str">
            <v/>
          </cell>
          <cell r="U1262" t="str">
            <v/>
          </cell>
          <cell r="V1262">
            <v>437</v>
          </cell>
          <cell r="W1262" t="str">
            <v>Amit Iarochevsky Jun 2, 2026 10:07 AM</v>
          </cell>
          <cell r="X1262" t="str">
            <v/>
          </cell>
          <cell r="Y1262">
            <v>46155</v>
          </cell>
          <cell r="Z1262" t="str">
            <v/>
          </cell>
          <cell r="AA1262">
            <v>46155</v>
          </cell>
          <cell r="AB1262" t="str">
            <v>Annalene Conde May 13, 2026 9:44 AM</v>
          </cell>
          <cell r="AC1262" t="str">
            <v/>
          </cell>
          <cell r="AD1262" t="str">
            <v/>
          </cell>
          <cell r="AE1262" t="str">
            <v/>
          </cell>
          <cell r="AF1262" t="str">
            <v/>
          </cell>
          <cell r="AG1262">
            <v>46175</v>
          </cell>
          <cell r="AH1262" t="str">
            <v/>
          </cell>
          <cell r="AI1262" t="str">
            <v/>
          </cell>
        </row>
        <row r="1263">
          <cell r="C1263" t="str">
            <v>130-S</v>
          </cell>
          <cell r="D1263" t="str">
            <v/>
          </cell>
          <cell r="E1263" t="str">
            <v/>
          </cell>
          <cell r="F1263" t="str">
            <v>Service</v>
          </cell>
          <cell r="G1263" t="str">
            <v>Service Collected</v>
          </cell>
          <cell r="H1263" t="str">
            <v>No</v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 t="str">
            <v>https://panda-windows-and-doors.monday.com/protected_static/21046287/resources/2929029456/Service Form.pdf</v>
          </cell>
          <cell r="R1263" t="str">
            <v/>
          </cell>
          <cell r="S1263" t="str">
            <v/>
          </cell>
          <cell r="T1263" t="str">
            <v/>
          </cell>
          <cell r="U1263">
            <v>0</v>
          </cell>
          <cell r="V1263">
            <v>143</v>
          </cell>
          <cell r="W1263" t="str">
            <v>Amit Iarochevsky Jun 4, 2026 10:56 AM</v>
          </cell>
          <cell r="X1263" t="str">
            <v/>
          </cell>
          <cell r="Y1263">
            <v>46139</v>
          </cell>
          <cell r="Z1263" t="str">
            <v/>
          </cell>
          <cell r="AA1263">
            <v>46139</v>
          </cell>
          <cell r="AB1263" t="str">
            <v>Annalene Conde Apr 27, 2026 2:27 PM</v>
          </cell>
          <cell r="AC1263" t="str">
            <v/>
          </cell>
          <cell r="AD1263" t="str">
            <v/>
          </cell>
          <cell r="AE1263" t="str">
            <v/>
          </cell>
          <cell r="AF1263" t="str">
            <v/>
          </cell>
          <cell r="AG1263">
            <v>46177</v>
          </cell>
          <cell r="AH1263" t="str">
            <v/>
          </cell>
          <cell r="AI1263" t="str">
            <v/>
          </cell>
        </row>
        <row r="1264">
          <cell r="C1264">
            <v>2968</v>
          </cell>
          <cell r="D1264" t="str">
            <v/>
          </cell>
          <cell r="E1264" t="str">
            <v/>
          </cell>
          <cell r="F1264" t="str">
            <v>Service</v>
          </cell>
          <cell r="G1264" t="str">
            <v>Service Collected</v>
          </cell>
          <cell r="H1264" t="str">
            <v>No</v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N1264" t="str">
            <v>https://panda-windows-and-doors.monday.com/protected_static/21046287/resources/3019553728/10837 Michael Bonner.pdf</v>
          </cell>
          <cell r="O1264" t="str">
            <v/>
          </cell>
          <cell r="P1264" t="str">
            <v/>
          </cell>
          <cell r="Q1264" t="str">
            <v>https://panda-windows-and-doors.monday.com/protected_static/21046287/resources/3019382947/Service Form.pdf</v>
          </cell>
          <cell r="R1264" t="str">
            <v/>
          </cell>
          <cell r="S1264" t="str">
            <v/>
          </cell>
          <cell r="T1264" t="str">
            <v/>
          </cell>
          <cell r="U1264" t="str">
            <v/>
          </cell>
          <cell r="V1264" t="str">
            <v/>
          </cell>
          <cell r="W1264" t="str">
            <v>Amit Iarochevsky Jun 4, 2026 11:27 AM</v>
          </cell>
          <cell r="X1264" t="str">
            <v/>
          </cell>
          <cell r="Y1264">
            <v>46176</v>
          </cell>
          <cell r="Z1264" t="str">
            <v/>
          </cell>
          <cell r="AA1264">
            <v>46176</v>
          </cell>
          <cell r="AB1264" t="str">
            <v>Annalene Conde Jun 3, 2026 3:15 PM</v>
          </cell>
          <cell r="AC1264" t="str">
            <v/>
          </cell>
          <cell r="AD1264" t="str">
            <v/>
          </cell>
          <cell r="AE1264" t="str">
            <v/>
          </cell>
          <cell r="AF1264" t="str">
            <v/>
          </cell>
          <cell r="AG1264">
            <v>46177</v>
          </cell>
          <cell r="AH1264" t="str">
            <v/>
          </cell>
          <cell r="AI1264" t="str">
            <v/>
          </cell>
        </row>
        <row r="1265">
          <cell r="C1265" t="str">
            <v>1588-S</v>
          </cell>
          <cell r="D1265" t="str">
            <v/>
          </cell>
          <cell r="E1265" t="str">
            <v/>
          </cell>
          <cell r="F1265" t="str">
            <v>Service</v>
          </cell>
          <cell r="G1265" t="str">
            <v>Service Collected</v>
          </cell>
          <cell r="H1265" t="str">
            <v>No</v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 t="str">
            <v>https://panda-windows-and-doors.monday.com/protected_static/21046287/resources/3012561440/Service Form.pdf</v>
          </cell>
          <cell r="R1265" t="str">
            <v/>
          </cell>
          <cell r="S1265" t="str">
            <v/>
          </cell>
          <cell r="T1265" t="str">
            <v/>
          </cell>
          <cell r="U1265">
            <v>0</v>
          </cell>
          <cell r="V1265">
            <v>756</v>
          </cell>
          <cell r="W1265" t="str">
            <v>Amit Iarochevsky Jun 5, 2026 12:30 PM</v>
          </cell>
          <cell r="X1265" t="str">
            <v/>
          </cell>
          <cell r="Y1265">
            <v>46174</v>
          </cell>
          <cell r="Z1265" t="str">
            <v/>
          </cell>
          <cell r="AA1265">
            <v>46174</v>
          </cell>
          <cell r="AB1265" t="str">
            <v>Annalene Conde Jun 1, 2026 3:41 PM</v>
          </cell>
          <cell r="AC1265" t="str">
            <v/>
          </cell>
          <cell r="AD1265" t="str">
            <v/>
          </cell>
          <cell r="AE1265" t="str">
            <v/>
          </cell>
          <cell r="AF1265" t="str">
            <v/>
          </cell>
          <cell r="AG1265">
            <v>46178</v>
          </cell>
          <cell r="AH1265" t="str">
            <v/>
          </cell>
          <cell r="AI1265" t="str">
            <v/>
          </cell>
        </row>
        <row r="1266">
          <cell r="C1266">
            <v>60186</v>
          </cell>
          <cell r="D1266" t="str">
            <v/>
          </cell>
          <cell r="E1266" t="str">
            <v/>
          </cell>
          <cell r="F1266" t="str">
            <v>Service</v>
          </cell>
          <cell r="G1266" t="str">
            <v>Service Collected</v>
          </cell>
          <cell r="H1266" t="str">
            <v>No</v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M1266" t="str">
            <v/>
          </cell>
          <cell r="N1266" t="str">
            <v>https://panda-windows-and-doors.monday.com/protected_static/21046287/resources/3017731353/10828 Herzog Glass.pdf</v>
          </cell>
          <cell r="O1266" t="str">
            <v/>
          </cell>
          <cell r="P1266" t="str">
            <v/>
          </cell>
          <cell r="Q1266" t="str">
            <v>https://panda-windows-and-doors.monday.com/protected_static/21046287/resources/3016233574/Service Form.pdf</v>
          </cell>
          <cell r="R1266" t="str">
            <v/>
          </cell>
          <cell r="S1266" t="str">
            <v/>
          </cell>
          <cell r="T1266" t="str">
            <v/>
          </cell>
          <cell r="U1266" t="str">
            <v/>
          </cell>
          <cell r="V1266" t="str">
            <v/>
          </cell>
          <cell r="W1266" t="str">
            <v>Amit Iarochevsky Jun 5, 2026 12:34 PM</v>
          </cell>
          <cell r="X1266" t="str">
            <v/>
          </cell>
          <cell r="Y1266">
            <v>46175</v>
          </cell>
          <cell r="Z1266" t="str">
            <v/>
          </cell>
          <cell r="AA1266">
            <v>46175</v>
          </cell>
          <cell r="AB1266" t="str">
            <v>Annalene Conde Jun 2, 2026 4:38 PM</v>
          </cell>
          <cell r="AC1266" t="str">
            <v/>
          </cell>
          <cell r="AD1266" t="str">
            <v/>
          </cell>
          <cell r="AE1266" t="str">
            <v/>
          </cell>
          <cell r="AF1266" t="str">
            <v/>
          </cell>
          <cell r="AG1266">
            <v>46178</v>
          </cell>
          <cell r="AH1266" t="str">
            <v/>
          </cell>
          <cell r="AI1266" t="str">
            <v/>
          </cell>
        </row>
        <row r="1267">
          <cell r="C1267" t="str">
            <v>55352-S4</v>
          </cell>
          <cell r="D1267" t="str">
            <v/>
          </cell>
          <cell r="E1267" t="str">
            <v/>
          </cell>
          <cell r="F1267" t="str">
            <v>Service</v>
          </cell>
          <cell r="G1267" t="str">
            <v>Service Collected</v>
          </cell>
          <cell r="H1267" t="str">
            <v>No</v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 t="str">
            <v>https://panda-windows-and-doors.monday.com/protected_static/21046287/resources/2924352624/Service Form.pdf</v>
          </cell>
          <cell r="R1267" t="str">
            <v/>
          </cell>
          <cell r="S1267" t="str">
            <v/>
          </cell>
          <cell r="T1267" t="str">
            <v/>
          </cell>
          <cell r="U1267">
            <v>0</v>
          </cell>
          <cell r="V1267">
            <v>4051.92</v>
          </cell>
          <cell r="W1267" t="str">
            <v>Amit Iarochevsky Jun 8, 2026 12:45 PM</v>
          </cell>
          <cell r="X1267" t="str">
            <v/>
          </cell>
          <cell r="Y1267">
            <v>46136</v>
          </cell>
          <cell r="Z1267" t="str">
            <v/>
          </cell>
          <cell r="AA1267">
            <v>46136</v>
          </cell>
          <cell r="AB1267" t="str">
            <v>Annalene Conde Apr 24, 2026 8:54 AM</v>
          </cell>
          <cell r="AC1267" t="str">
            <v/>
          </cell>
          <cell r="AD1267" t="str">
            <v/>
          </cell>
          <cell r="AE1267" t="str">
            <v/>
          </cell>
          <cell r="AF1267" t="str">
            <v/>
          </cell>
          <cell r="AG1267">
            <v>46181</v>
          </cell>
          <cell r="AH1267" t="str">
            <v/>
          </cell>
          <cell r="AI1267" t="str">
            <v/>
          </cell>
        </row>
        <row r="1268">
          <cell r="C1268" t="str">
            <v>78744-S2</v>
          </cell>
          <cell r="D1268" t="str">
            <v/>
          </cell>
          <cell r="E1268" t="str">
            <v/>
          </cell>
          <cell r="F1268" t="str">
            <v>Service</v>
          </cell>
          <cell r="G1268" t="str">
            <v>Service Collected</v>
          </cell>
          <cell r="H1268" t="str">
            <v>No</v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N1268" t="str">
            <v>https://panda-windows-and-doors.monday.com/protected_static/21046287/resources/3018808093/10830 Polk Architectrual.pdf</v>
          </cell>
          <cell r="O1268" t="str">
            <v/>
          </cell>
          <cell r="P1268" t="str">
            <v/>
          </cell>
          <cell r="Q1268" t="str">
            <v>https://panda-windows-and-doors.monday.com/protected_static/21046287/resources/3018155443/SO Waterline.pdf</v>
          </cell>
          <cell r="R1268" t="str">
            <v>https://panda-windows-and-doors.monday.com/protected_static/21046287/resources/2289664617/Polk Architectural - Sales &amp; Use Tax Permit  12-3-2019 - TX.pdf</v>
          </cell>
          <cell r="S1268" t="str">
            <v/>
          </cell>
          <cell r="T1268" t="str">
            <v/>
          </cell>
          <cell r="U1268" t="str">
            <v/>
          </cell>
          <cell r="V1268">
            <v>667</v>
          </cell>
          <cell r="W1268" t="str">
            <v>Amit Iarochevsky Jun 8, 2026 2:29 PM</v>
          </cell>
          <cell r="X1268" t="str">
            <v/>
          </cell>
          <cell r="Y1268">
            <v>46176</v>
          </cell>
          <cell r="Z1268" t="str">
            <v/>
          </cell>
          <cell r="AA1268">
            <v>46176</v>
          </cell>
          <cell r="AB1268" t="str">
            <v>Annalene Conde Jun 3, 2026 10:03 AM</v>
          </cell>
          <cell r="AC1268" t="str">
            <v/>
          </cell>
          <cell r="AD1268" t="str">
            <v/>
          </cell>
          <cell r="AE1268" t="str">
            <v/>
          </cell>
          <cell r="AF1268" t="str">
            <v/>
          </cell>
          <cell r="AG1268">
            <v>46181</v>
          </cell>
          <cell r="AH1268" t="str">
            <v/>
          </cell>
          <cell r="AI1268" t="str">
            <v/>
          </cell>
        </row>
        <row r="1269">
          <cell r="C1269">
            <v>12380</v>
          </cell>
          <cell r="D1269" t="str">
            <v/>
          </cell>
          <cell r="E1269" t="str">
            <v/>
          </cell>
          <cell r="F1269" t="str">
            <v>Service</v>
          </cell>
          <cell r="G1269" t="str">
            <v>Service Collected</v>
          </cell>
          <cell r="H1269" t="str">
            <v>No</v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N1269" t="str">
            <v>https://panda-windows-and-doors.monday.com/protected_static/21046287/resources/3021040060/10841 Caribbean Impact W&amp; D LTD.pdf</v>
          </cell>
          <cell r="O1269" t="str">
            <v/>
          </cell>
          <cell r="P1269" t="str">
            <v/>
          </cell>
          <cell r="Q1269" t="str">
            <v>https://panda-windows-and-doors.monday.com/protected_static/21046287/resources/3021010662/Service Form.pdf</v>
          </cell>
          <cell r="R1269" t="str">
            <v/>
          </cell>
          <cell r="S1269" t="str">
            <v/>
          </cell>
          <cell r="T1269" t="str">
            <v/>
          </cell>
          <cell r="U1269" t="str">
            <v/>
          </cell>
          <cell r="V1269">
            <v>605</v>
          </cell>
          <cell r="W1269" t="str">
            <v>Amit Iarochevsky Jun 11, 2026 9:24 AM</v>
          </cell>
          <cell r="X1269" t="str">
            <v/>
          </cell>
          <cell r="Y1269">
            <v>46177</v>
          </cell>
          <cell r="Z1269" t="str">
            <v/>
          </cell>
          <cell r="AA1269">
            <v>46177</v>
          </cell>
          <cell r="AB1269" t="str">
            <v>Annalene Conde Jun 4, 2026 9:11 AM</v>
          </cell>
          <cell r="AC1269" t="str">
            <v/>
          </cell>
          <cell r="AD1269" t="str">
            <v/>
          </cell>
          <cell r="AE1269" t="str">
            <v/>
          </cell>
          <cell r="AF1269" t="str">
            <v/>
          </cell>
          <cell r="AG1269">
            <v>46184</v>
          </cell>
          <cell r="AH1269" t="str">
            <v/>
          </cell>
          <cell r="AI1269" t="str">
            <v/>
          </cell>
        </row>
        <row r="1270">
          <cell r="C1270">
            <v>3445</v>
          </cell>
          <cell r="D1270" t="str">
            <v/>
          </cell>
          <cell r="E1270" t="str">
            <v/>
          </cell>
          <cell r="F1270" t="str">
            <v>Service</v>
          </cell>
          <cell r="G1270" t="str">
            <v>Service Collected</v>
          </cell>
          <cell r="H1270" t="str">
            <v>No</v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M1270" t="str">
            <v/>
          </cell>
          <cell r="N1270" t="str">
            <v>https://panda-windows-and-doors.monday.com/protected_static/21046287/resources/3019519810/10836 Z Double B Inc.pdf</v>
          </cell>
          <cell r="O1270" t="str">
            <v/>
          </cell>
          <cell r="P1270" t="str">
            <v/>
          </cell>
          <cell r="Q1270" t="str">
            <v>https://panda-windows-and-doors.monday.com/protected_static/21046287/resources/3019179557/Service Form.pdf</v>
          </cell>
          <cell r="R1270" t="str">
            <v/>
          </cell>
          <cell r="S1270" t="str">
            <v/>
          </cell>
          <cell r="T1270" t="str">
            <v/>
          </cell>
          <cell r="U1270" t="str">
            <v/>
          </cell>
          <cell r="V1270" t="str">
            <v/>
          </cell>
          <cell r="W1270" t="str">
            <v>Amit Iarochevsky Jun 11, 2026 2:53 PM</v>
          </cell>
          <cell r="X1270" t="str">
            <v/>
          </cell>
          <cell r="Y1270">
            <v>46176</v>
          </cell>
          <cell r="Z1270" t="str">
            <v/>
          </cell>
          <cell r="AA1270">
            <v>46176</v>
          </cell>
          <cell r="AB1270" t="str">
            <v>Annalene Conde Jun 3, 2026 2:06 PM</v>
          </cell>
          <cell r="AC1270" t="str">
            <v/>
          </cell>
          <cell r="AD1270" t="str">
            <v/>
          </cell>
          <cell r="AE1270" t="str">
            <v/>
          </cell>
          <cell r="AF1270" t="str">
            <v/>
          </cell>
          <cell r="AG1270">
            <v>46184</v>
          </cell>
          <cell r="AH1270" t="str">
            <v/>
          </cell>
          <cell r="AI1270" t="str">
            <v/>
          </cell>
        </row>
        <row r="1271">
          <cell r="C1271" t="str">
            <v>63691-S</v>
          </cell>
          <cell r="D1271" t="str">
            <v/>
          </cell>
          <cell r="E1271" t="str">
            <v/>
          </cell>
          <cell r="F1271" t="str">
            <v>Service</v>
          </cell>
          <cell r="G1271" t="str">
            <v>Service Collected</v>
          </cell>
          <cell r="H1271" t="str">
            <v>No</v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M1271" t="str">
            <v/>
          </cell>
          <cell r="N1271" t="str">
            <v>https://panda-windows-and-doors.monday.com/protected_static/21046287/resources/2996233081/10800 Waldorf Daiquiri.pdf</v>
          </cell>
          <cell r="O1271" t="str">
            <v/>
          </cell>
          <cell r="P1271" t="str">
            <v/>
          </cell>
          <cell r="Q1271" t="str">
            <v>https://panda-windows-and-doors.monday.com/protected_static/21046287/resources/2995996044/Service Form.pdf</v>
          </cell>
          <cell r="R1271" t="str">
            <v/>
          </cell>
          <cell r="S1271" t="str">
            <v/>
          </cell>
          <cell r="T1271" t="str">
            <v/>
          </cell>
          <cell r="U1271" t="str">
            <v/>
          </cell>
          <cell r="V1271">
            <v>640</v>
          </cell>
          <cell r="W1271" t="str">
            <v>Amit Iarochevsky Jun 12, 2026 3:46 PM</v>
          </cell>
          <cell r="X1271" t="str">
            <v/>
          </cell>
          <cell r="Y1271">
            <v>46168</v>
          </cell>
          <cell r="Z1271" t="str">
            <v/>
          </cell>
          <cell r="AA1271">
            <v>46168</v>
          </cell>
          <cell r="AB1271" t="str">
            <v>Annalene Conde May 26, 2026 9:06 AM</v>
          </cell>
          <cell r="AC1271" t="str">
            <v/>
          </cell>
          <cell r="AD1271" t="str">
            <v/>
          </cell>
          <cell r="AE1271" t="str">
            <v/>
          </cell>
          <cell r="AF1271" t="str">
            <v/>
          </cell>
          <cell r="AG1271">
            <v>46185</v>
          </cell>
          <cell r="AH1271" t="str">
            <v/>
          </cell>
          <cell r="AI1271" t="str">
            <v/>
          </cell>
        </row>
        <row r="1272">
          <cell r="C1272" t="str">
            <v>powder springs</v>
          </cell>
          <cell r="D1272" t="str">
            <v/>
          </cell>
          <cell r="E1272" t="str">
            <v/>
          </cell>
          <cell r="F1272" t="str">
            <v>Service</v>
          </cell>
          <cell r="G1272" t="str">
            <v>Service Collected</v>
          </cell>
          <cell r="H1272" t="str">
            <v>No</v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 t="str">
            <v>https://panda-windows-and-doors.monday.com/protected_static/21046287/resources/3031530141/SO Powder Springs.pdf</v>
          </cell>
          <cell r="R1272" t="str">
            <v/>
          </cell>
          <cell r="S1272" t="str">
            <v/>
          </cell>
          <cell r="T1272" t="str">
            <v/>
          </cell>
          <cell r="U1272">
            <v>0</v>
          </cell>
          <cell r="V1272">
            <v>485</v>
          </cell>
          <cell r="W1272" t="str">
            <v>Amit Iarochevsky Jun 12, 2026 4:00 PM</v>
          </cell>
          <cell r="X1272" t="str">
            <v/>
          </cell>
          <cell r="Y1272">
            <v>46182</v>
          </cell>
          <cell r="Z1272" t="str">
            <v/>
          </cell>
          <cell r="AA1272">
            <v>46182</v>
          </cell>
          <cell r="AB1272" t="str">
            <v>Annalene Conde Jun 9, 2026 11:41 AM</v>
          </cell>
          <cell r="AC1272" t="str">
            <v/>
          </cell>
          <cell r="AD1272" t="str">
            <v/>
          </cell>
          <cell r="AE1272" t="str">
            <v/>
          </cell>
          <cell r="AF1272" t="str">
            <v/>
          </cell>
          <cell r="AG1272">
            <v>46185</v>
          </cell>
          <cell r="AH1272" t="str">
            <v/>
          </cell>
          <cell r="AI1272" t="str">
            <v/>
          </cell>
        </row>
        <row r="1273">
          <cell r="C1273">
            <v>83144.100000000006</v>
          </cell>
          <cell r="D1273" t="str">
            <v/>
          </cell>
          <cell r="E1273" t="str">
            <v/>
          </cell>
          <cell r="F1273" t="str">
            <v>Service</v>
          </cell>
          <cell r="G1273" t="str">
            <v>Service Collected</v>
          </cell>
          <cell r="H1273" t="str">
            <v>No</v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 t="str">
            <v>https://panda-windows-and-doors.monday.com/protected_static/21046287/resources/3037827023/SO KCS1.pdf</v>
          </cell>
          <cell r="R1273" t="str">
            <v/>
          </cell>
          <cell r="S1273" t="str">
            <v/>
          </cell>
          <cell r="T1273" t="str">
            <v/>
          </cell>
          <cell r="U1273">
            <v>0</v>
          </cell>
          <cell r="V1273">
            <v>254</v>
          </cell>
          <cell r="W1273" t="str">
            <v>Amit Iarochevsky Jun 15, 2026 12:09 PM</v>
          </cell>
          <cell r="X1273" t="str">
            <v/>
          </cell>
          <cell r="Y1273">
            <v>46184</v>
          </cell>
          <cell r="Z1273" t="str">
            <v/>
          </cell>
          <cell r="AA1273">
            <v>46184</v>
          </cell>
          <cell r="AB1273" t="str">
            <v>Annalene Conde Jun 11, 2026 1:00 PM</v>
          </cell>
          <cell r="AC1273" t="str">
            <v/>
          </cell>
          <cell r="AD1273" t="str">
            <v/>
          </cell>
          <cell r="AE1273" t="str">
            <v/>
          </cell>
          <cell r="AF1273" t="str">
            <v/>
          </cell>
          <cell r="AG1273">
            <v>46188</v>
          </cell>
          <cell r="AH1273" t="str">
            <v/>
          </cell>
          <cell r="AI1273" t="str">
            <v/>
          </cell>
        </row>
        <row r="1274">
          <cell r="C1274" t="str">
            <v>56792-S1</v>
          </cell>
          <cell r="D1274" t="str">
            <v/>
          </cell>
          <cell r="E1274" t="str">
            <v/>
          </cell>
          <cell r="F1274" t="str">
            <v>Service</v>
          </cell>
          <cell r="G1274" t="str">
            <v>Service Collected</v>
          </cell>
          <cell r="H1274" t="str">
            <v>No</v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 t="str">
            <v>https://panda-windows-and-doors.monday.com/protected_static/21046287/resources/3028826966/SO M_Core.pdf</v>
          </cell>
          <cell r="R1274" t="str">
            <v/>
          </cell>
          <cell r="S1274" t="str">
            <v/>
          </cell>
          <cell r="T1274" t="str">
            <v/>
          </cell>
          <cell r="U1274" t="str">
            <v/>
          </cell>
          <cell r="V1274" t="str">
            <v/>
          </cell>
          <cell r="W1274" t="str">
            <v>Amit Iarochevsky Jun 15, 2026 12:49 PM</v>
          </cell>
          <cell r="X1274" t="str">
            <v/>
          </cell>
          <cell r="Y1274">
            <v>46181</v>
          </cell>
          <cell r="Z1274" t="str">
            <v/>
          </cell>
          <cell r="AA1274">
            <v>46181</v>
          </cell>
          <cell r="AB1274" t="str">
            <v>Annalene Conde Jun 8, 2026 1:38 PM</v>
          </cell>
          <cell r="AC1274" t="str">
            <v/>
          </cell>
          <cell r="AD1274" t="str">
            <v/>
          </cell>
          <cell r="AE1274" t="str">
            <v/>
          </cell>
          <cell r="AF1274" t="str">
            <v/>
          </cell>
          <cell r="AG1274">
            <v>46188</v>
          </cell>
          <cell r="AH1274" t="str">
            <v/>
          </cell>
          <cell r="AI1274" t="str">
            <v/>
          </cell>
        </row>
        <row r="1275">
          <cell r="C1275">
            <v>75261.100000000006</v>
          </cell>
          <cell r="D1275" t="str">
            <v/>
          </cell>
          <cell r="E1275" t="str">
            <v/>
          </cell>
          <cell r="F1275" t="str">
            <v>Service</v>
          </cell>
          <cell r="G1275" t="str">
            <v>Service Collected</v>
          </cell>
          <cell r="H1275" t="str">
            <v>No</v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M1275" t="str">
            <v/>
          </cell>
          <cell r="N1275" t="str">
            <v>https://panda-windows-and-doors.monday.com/protected_static/21046287/resources/3039501088/10868 Glass and Metals Inc.pdf</v>
          </cell>
          <cell r="O1275" t="str">
            <v/>
          </cell>
          <cell r="P1275" t="str">
            <v/>
          </cell>
          <cell r="Q1275" t="str">
            <v>https://panda-windows-and-doors.monday.com/protected_static/21046287/resources/3039477059/SO Charlottesville.pdf</v>
          </cell>
          <cell r="R1275" t="str">
            <v/>
          </cell>
          <cell r="S1275" t="str">
            <v/>
          </cell>
          <cell r="T1275" t="str">
            <v/>
          </cell>
          <cell r="U1275" t="str">
            <v/>
          </cell>
          <cell r="V1275" t="str">
            <v/>
          </cell>
          <cell r="W1275" t="str">
            <v>Amit Iarochevsky Jun 15, 2026 2:29 PM</v>
          </cell>
          <cell r="X1275" t="str">
            <v/>
          </cell>
          <cell r="Y1275">
            <v>46185</v>
          </cell>
          <cell r="Z1275" t="str">
            <v/>
          </cell>
          <cell r="AA1275">
            <v>46185</v>
          </cell>
          <cell r="AB1275" t="str">
            <v>Annalene Conde Jun 12, 2026 8:29 AM</v>
          </cell>
          <cell r="AC1275" t="str">
            <v/>
          </cell>
          <cell r="AD1275" t="str">
            <v/>
          </cell>
          <cell r="AE1275" t="str">
            <v/>
          </cell>
          <cell r="AF1275" t="str">
            <v/>
          </cell>
          <cell r="AG1275">
            <v>46188</v>
          </cell>
          <cell r="AH1275" t="str">
            <v/>
          </cell>
          <cell r="AI1275" t="str">
            <v/>
          </cell>
        </row>
        <row r="1276">
          <cell r="C1276">
            <v>10755</v>
          </cell>
          <cell r="D1276" t="str">
            <v/>
          </cell>
          <cell r="E1276" t="str">
            <v/>
          </cell>
          <cell r="F1276" t="str">
            <v>Service</v>
          </cell>
          <cell r="G1276" t="str">
            <v>Service Collected</v>
          </cell>
          <cell r="H1276" t="str">
            <v>No</v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N1276" t="str">
            <v>https://panda-windows-and-doors.monday.com/protected_static/21046287/resources/3044374118/10876 Barrier Glazing.pdf</v>
          </cell>
          <cell r="O1276" t="str">
            <v/>
          </cell>
          <cell r="P1276" t="str">
            <v/>
          </cell>
          <cell r="Q1276" t="str">
            <v>https://panda-windows-and-doors.monday.com/protected_static/21046287/resources/3044251476/Service Form.pdf</v>
          </cell>
          <cell r="R1276" t="str">
            <v/>
          </cell>
          <cell r="S1276" t="str">
            <v/>
          </cell>
          <cell r="T1276" t="str">
            <v/>
          </cell>
          <cell r="U1276" t="str">
            <v/>
          </cell>
          <cell r="V1276">
            <v>144</v>
          </cell>
          <cell r="W1276" t="str">
            <v>Amit Iarochevsky Jun 17, 2026 2:36 PM</v>
          </cell>
          <cell r="X1276" t="str">
            <v/>
          </cell>
          <cell r="Y1276">
            <v>46188</v>
          </cell>
          <cell r="Z1276" t="str">
            <v/>
          </cell>
          <cell r="AA1276">
            <v>46188</v>
          </cell>
          <cell r="AB1276" t="str">
            <v>Annalene Conde Jun 15, 2026 2:23 PM</v>
          </cell>
          <cell r="AC1276" t="str">
            <v/>
          </cell>
          <cell r="AD1276" t="str">
            <v/>
          </cell>
          <cell r="AE1276" t="str">
            <v/>
          </cell>
          <cell r="AF1276" t="str">
            <v/>
          </cell>
          <cell r="AG1276">
            <v>46190</v>
          </cell>
          <cell r="AH1276" t="str">
            <v/>
          </cell>
          <cell r="AI1276" t="str">
            <v/>
          </cell>
        </row>
        <row r="1277">
          <cell r="C1277" t="str">
            <v>62286-S</v>
          </cell>
          <cell r="D1277" t="str">
            <v/>
          </cell>
          <cell r="E1277" t="str">
            <v/>
          </cell>
          <cell r="F1277" t="str">
            <v>Service</v>
          </cell>
          <cell r="G1277" t="str">
            <v>Service Collected</v>
          </cell>
          <cell r="H1277" t="str">
            <v>No</v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N1277" t="str">
            <v>https://panda-windows-and-doors.monday.com/protected_static/21046287/resources/3022217040/10843 Ultimate Installz.pdf</v>
          </cell>
          <cell r="O1277" t="str">
            <v/>
          </cell>
          <cell r="P1277" t="str">
            <v/>
          </cell>
          <cell r="Q1277" t="str">
            <v>https://panda-windows-and-doors.monday.com/protected_static/21046287/resources/3022052140/Service Form.pdf</v>
          </cell>
          <cell r="R1277" t="str">
            <v/>
          </cell>
          <cell r="S1277" t="str">
            <v/>
          </cell>
          <cell r="T1277" t="str">
            <v/>
          </cell>
          <cell r="U1277" t="str">
            <v/>
          </cell>
          <cell r="V1277" t="str">
            <v/>
          </cell>
          <cell r="W1277" t="str">
            <v>Amit Iarochevsky Jun 17, 2026 4:16 PM</v>
          </cell>
          <cell r="X1277" t="str">
            <v/>
          </cell>
          <cell r="Y1277">
            <v>46177</v>
          </cell>
          <cell r="Z1277" t="str">
            <v/>
          </cell>
          <cell r="AA1277">
            <v>46177</v>
          </cell>
          <cell r="AB1277" t="str">
            <v>Annalene Conde Jun 4, 2026 3:15 PM</v>
          </cell>
          <cell r="AC1277" t="str">
            <v/>
          </cell>
          <cell r="AD1277" t="str">
            <v/>
          </cell>
          <cell r="AE1277" t="str">
            <v/>
          </cell>
          <cell r="AF1277" t="str">
            <v/>
          </cell>
          <cell r="AG1277">
            <v>46190</v>
          </cell>
          <cell r="AH1277" t="str">
            <v/>
          </cell>
          <cell r="AI1277" t="str">
            <v/>
          </cell>
        </row>
        <row r="1278">
          <cell r="C1278" t="str">
            <v>4500697255 PARTS ORDER</v>
          </cell>
          <cell r="D1278" t="str">
            <v/>
          </cell>
          <cell r="E1278" t="str">
            <v/>
          </cell>
          <cell r="F1278" t="str">
            <v>Windsor</v>
          </cell>
          <cell r="G1278" t="str">
            <v>Windsor Collected</v>
          </cell>
          <cell r="H1278" t="str">
            <v>No</v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M1278" t="str">
            <v/>
          </cell>
          <cell r="N1278" t="str">
            <v>https://panda-windows-and-doors.monday.com/protected_static/21046287/resources/2029548523/4500697255 Final Invoice.pdf</v>
          </cell>
          <cell r="O1278" t="str">
            <v/>
          </cell>
          <cell r="P1278" t="str">
            <v/>
          </cell>
          <cell r="Q1278" t="str">
            <v/>
          </cell>
          <cell r="R1278" t="str">
            <v/>
          </cell>
          <cell r="S1278" t="str">
            <v/>
          </cell>
          <cell r="T1278" t="str">
            <v>https://panda-windows-and-doors.monday.com/protected_static/21046287/resources/2029391712/Print data.PDF</v>
          </cell>
          <cell r="U1278" t="str">
            <v/>
          </cell>
          <cell r="V1278">
            <v>135</v>
          </cell>
          <cell r="W1278" t="str">
            <v>Jayme Truong May 1, 2025 8:45 AM</v>
          </cell>
          <cell r="X1278" t="str">
            <v/>
          </cell>
          <cell r="Y1278">
            <v>45736</v>
          </cell>
          <cell r="Z1278" t="str">
            <v/>
          </cell>
          <cell r="AA1278">
            <v>45736</v>
          </cell>
          <cell r="AB1278" t="str">
            <v>Jayme Truong Mar 20, 2025 2:46 PM</v>
          </cell>
          <cell r="AC1278">
            <v>45736</v>
          </cell>
          <cell r="AD1278">
            <v>45744</v>
          </cell>
          <cell r="AE1278" t="str">
            <v/>
          </cell>
          <cell r="AF1278" t="str">
            <v/>
          </cell>
          <cell r="AG1278" t="str">
            <v/>
          </cell>
          <cell r="AH1278" t="str">
            <v/>
          </cell>
          <cell r="AI1278" t="str">
            <v/>
          </cell>
        </row>
        <row r="1279">
          <cell r="C1279" t="str">
            <v>4500695638 - PARTS ORDER</v>
          </cell>
          <cell r="D1279" t="str">
            <v/>
          </cell>
          <cell r="E1279" t="str">
            <v/>
          </cell>
          <cell r="F1279" t="str">
            <v>Windsor</v>
          </cell>
          <cell r="G1279" t="str">
            <v>Windsor Collected</v>
          </cell>
          <cell r="H1279" t="str">
            <v>No</v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N1279" t="str">
            <v>https://panda-windows-and-doors.monday.com/protected_static/21046287/resources/2026305938/4500695638 Deposit Invoice.pdf, https://panda-windows-and-doors.monday.com/protected_static/21046287/resources/2026313479/4500695638 final invoice.pdf</v>
          </cell>
          <cell r="O1279" t="str">
            <v/>
          </cell>
          <cell r="P1279" t="str">
            <v/>
          </cell>
          <cell r="Q1279" t="str">
            <v/>
          </cell>
          <cell r="R1279" t="str">
            <v/>
          </cell>
          <cell r="S1279" t="str">
            <v/>
          </cell>
          <cell r="T1279" t="str">
            <v>https://panda-windows-and-doors.monday.com/protected_static/21046287/resources/2022479843/Print data.PDF</v>
          </cell>
          <cell r="U1279">
            <v>0</v>
          </cell>
          <cell r="V1279">
            <v>375</v>
          </cell>
          <cell r="W1279" t="str">
            <v>Jayme Truong May 1, 2025 8:46 AM</v>
          </cell>
          <cell r="X1279" t="str">
            <v/>
          </cell>
          <cell r="Y1279">
            <v>45734</v>
          </cell>
          <cell r="Z1279" t="str">
            <v/>
          </cell>
          <cell r="AA1279">
            <v>45734</v>
          </cell>
          <cell r="AB1279" t="str">
            <v>Jayme Truong Mar 18, 2025 9:06 AM</v>
          </cell>
          <cell r="AC1279">
            <v>45735</v>
          </cell>
          <cell r="AD1279">
            <v>45744</v>
          </cell>
          <cell r="AE1279" t="str">
            <v/>
          </cell>
          <cell r="AF1279" t="str">
            <v/>
          </cell>
          <cell r="AG1279" t="str">
            <v/>
          </cell>
          <cell r="AH1279" t="str">
            <v/>
          </cell>
          <cell r="AI1279" t="str">
            <v/>
          </cell>
        </row>
        <row r="1280">
          <cell r="C1280" t="str">
            <v>4500697188 PARTS ORDER</v>
          </cell>
          <cell r="D1280" t="str">
            <v/>
          </cell>
          <cell r="E1280" t="str">
            <v/>
          </cell>
          <cell r="F1280" t="str">
            <v>Windsor</v>
          </cell>
          <cell r="G1280" t="str">
            <v>Windsor Collected</v>
          </cell>
          <cell r="H1280" t="str">
            <v>No</v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N1280" t="str">
            <v>https://panda-windows-and-doors.monday.com/protected_static/21046287/resources/2026376718/4500697188 final invoice.pdf</v>
          </cell>
          <cell r="O1280" t="str">
            <v/>
          </cell>
          <cell r="P1280" t="str">
            <v/>
          </cell>
          <cell r="Q1280" t="str">
            <v/>
          </cell>
          <cell r="R1280" t="str">
            <v/>
          </cell>
          <cell r="S1280" t="str">
            <v/>
          </cell>
          <cell r="T1280" t="str">
            <v>https://panda-windows-and-doors.monday.com/protected_static/21046287/resources/2026274010/Print data.PDF</v>
          </cell>
          <cell r="U1280">
            <v>0</v>
          </cell>
          <cell r="V1280">
            <v>240</v>
          </cell>
          <cell r="W1280" t="str">
            <v>Jayme Truong May 1, 2025 8:46 AM</v>
          </cell>
          <cell r="X1280" t="str">
            <v/>
          </cell>
          <cell r="Y1280">
            <v>45735</v>
          </cell>
          <cell r="Z1280" t="str">
            <v/>
          </cell>
          <cell r="AA1280">
            <v>45735</v>
          </cell>
          <cell r="AB1280" t="str">
            <v>Jayme Truong Mar 19, 2025 12:19 PM</v>
          </cell>
          <cell r="AC1280">
            <v>45735</v>
          </cell>
          <cell r="AD1280">
            <v>45744</v>
          </cell>
          <cell r="AE1280" t="str">
            <v/>
          </cell>
          <cell r="AF1280" t="str">
            <v/>
          </cell>
          <cell r="AG1280" t="str">
            <v/>
          </cell>
          <cell r="AH1280" t="str">
            <v/>
          </cell>
          <cell r="AI1280" t="str">
            <v/>
          </cell>
        </row>
        <row r="1281">
          <cell r="C1281" t="str">
            <v>4500697242 PARTS ORDER</v>
          </cell>
          <cell r="D1281" t="str">
            <v/>
          </cell>
          <cell r="E1281" t="str">
            <v/>
          </cell>
          <cell r="F1281" t="str">
            <v>Windsor</v>
          </cell>
          <cell r="G1281" t="str">
            <v>Windsor Collected</v>
          </cell>
          <cell r="H1281" t="str">
            <v>No</v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N1281" t="str">
            <v>https://panda-windows-and-doors.monday.com/protected_static/21046287/resources/2026930409/4500697242 final invoice.pdf</v>
          </cell>
          <cell r="O1281" t="str">
            <v/>
          </cell>
          <cell r="P1281" t="str">
            <v/>
          </cell>
          <cell r="Q1281" t="str">
            <v/>
          </cell>
          <cell r="R1281" t="str">
            <v/>
          </cell>
          <cell r="S1281" t="str">
            <v/>
          </cell>
          <cell r="T1281" t="str">
            <v>https://panda-windows-and-doors.monday.com/protected_static/21046287/resources/2026752901/Print data.PDF</v>
          </cell>
          <cell r="U1281">
            <v>0</v>
          </cell>
          <cell r="V1281">
            <v>50</v>
          </cell>
          <cell r="W1281" t="str">
            <v>Jayme Truong May 1, 2025 8:46 AM</v>
          </cell>
          <cell r="X1281" t="str">
            <v/>
          </cell>
          <cell r="Y1281">
            <v>45735</v>
          </cell>
          <cell r="Z1281" t="str">
            <v/>
          </cell>
          <cell r="AA1281">
            <v>45735</v>
          </cell>
          <cell r="AB1281" t="str">
            <v>Jayme Truong Mar 19, 2025 2:59 PM</v>
          </cell>
          <cell r="AC1281">
            <v>45735</v>
          </cell>
          <cell r="AD1281">
            <v>45744</v>
          </cell>
          <cell r="AE1281" t="str">
            <v/>
          </cell>
          <cell r="AF1281" t="str">
            <v/>
          </cell>
          <cell r="AG1281" t="str">
            <v/>
          </cell>
          <cell r="AH1281" t="str">
            <v/>
          </cell>
          <cell r="AI1281" t="str">
            <v/>
          </cell>
        </row>
        <row r="1282">
          <cell r="C1282" t="str">
            <v>4500704462 - PARTS ORDER</v>
          </cell>
          <cell r="D1282" t="str">
            <v/>
          </cell>
          <cell r="E1282" t="str">
            <v/>
          </cell>
          <cell r="F1282" t="str">
            <v>Windsor</v>
          </cell>
          <cell r="G1282" t="str">
            <v>Windsor Collected</v>
          </cell>
          <cell r="H1282" t="str">
            <v>No</v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N1282" t="str">
            <v>https://panda-windows-and-doors.monday.com/protected_static/21046287/resources/2123844870/4500704462 - Deposit Invoice.pdf</v>
          </cell>
          <cell r="O1282" t="str">
            <v/>
          </cell>
          <cell r="P1282" t="str">
            <v/>
          </cell>
          <cell r="Q1282" t="str">
            <v/>
          </cell>
          <cell r="R1282" t="str">
            <v/>
          </cell>
          <cell r="S1282" t="str">
            <v/>
          </cell>
          <cell r="T1282" t="str">
            <v>https://panda-windows-and-doors.monday.com/protected_static/21046287/resources/2123496218/Print data.PDF</v>
          </cell>
          <cell r="U1282" t="str">
            <v/>
          </cell>
          <cell r="V1282">
            <v>480</v>
          </cell>
          <cell r="W1282" t="str">
            <v>Elizabet Lopez Jun 16, 2025 9:53 AM</v>
          </cell>
          <cell r="X1282" t="str">
            <v/>
          </cell>
          <cell r="Y1282">
            <v>45783</v>
          </cell>
          <cell r="Z1282" t="str">
            <v/>
          </cell>
          <cell r="AA1282">
            <v>45783</v>
          </cell>
          <cell r="AB1282" t="str">
            <v>Jayme Truong May 6, 2025 1:18 PM</v>
          </cell>
          <cell r="AC1282" t="str">
            <v/>
          </cell>
          <cell r="AD1282" t="str">
            <v/>
          </cell>
          <cell r="AE1282" t="str">
            <v/>
          </cell>
          <cell r="AF1282" t="str">
            <v/>
          </cell>
          <cell r="AG1282">
            <v>45784</v>
          </cell>
          <cell r="AH1282" t="str">
            <v/>
          </cell>
          <cell r="AI1282" t="str">
            <v/>
          </cell>
        </row>
        <row r="1283">
          <cell r="C1283" t="str">
            <v>4500707724 - PARTS ORDER</v>
          </cell>
          <cell r="D1283" t="str">
            <v/>
          </cell>
          <cell r="E1283" t="str">
            <v/>
          </cell>
          <cell r="F1283" t="str">
            <v>Windsor Final</v>
          </cell>
          <cell r="G1283" t="str">
            <v>Windsor Collected</v>
          </cell>
          <cell r="H1283" t="str">
            <v>No</v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 t="str">
            <v/>
          </cell>
          <cell r="R1283" t="str">
            <v/>
          </cell>
          <cell r="S1283" t="str">
            <v/>
          </cell>
          <cell r="T1283" t="str">
            <v>https://panda-windows-and-doors.monday.com/protected_static/21046287/resources/2125933809/Print data.PDF</v>
          </cell>
          <cell r="U1283">
            <v>0</v>
          </cell>
          <cell r="V1283">
            <v>1846</v>
          </cell>
          <cell r="W1283" t="str">
            <v>Jayme Truong May 9, 2025 2:00 PM</v>
          </cell>
          <cell r="X1283" t="str">
            <v/>
          </cell>
          <cell r="Y1283">
            <v>45784</v>
          </cell>
          <cell r="Z1283" t="str">
            <v/>
          </cell>
          <cell r="AA1283">
            <v>45784</v>
          </cell>
          <cell r="AB1283" t="str">
            <v>Jayme Truong May 7, 2025 10:57 AM</v>
          </cell>
          <cell r="AC1283">
            <v>45784</v>
          </cell>
          <cell r="AD1283" t="str">
            <v/>
          </cell>
          <cell r="AE1283" t="str">
            <v/>
          </cell>
          <cell r="AF1283">
            <v>45784</v>
          </cell>
          <cell r="AG1283">
            <v>45786</v>
          </cell>
          <cell r="AH1283" t="str">
            <v/>
          </cell>
          <cell r="AI1283" t="str">
            <v/>
          </cell>
        </row>
        <row r="1284">
          <cell r="C1284" t="str">
            <v>4500713911 Parts</v>
          </cell>
          <cell r="D1284" t="str">
            <v/>
          </cell>
          <cell r="E1284" t="str">
            <v/>
          </cell>
          <cell r="F1284" t="str">
            <v>Windsor Final</v>
          </cell>
          <cell r="G1284" t="str">
            <v>Windsor Collected</v>
          </cell>
          <cell r="H1284" t="str">
            <v>No</v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 t="str">
            <v/>
          </cell>
          <cell r="R1284" t="str">
            <v/>
          </cell>
          <cell r="S1284" t="str">
            <v/>
          </cell>
          <cell r="T1284" t="str">
            <v>https://panda-windows-and-doors.monday.com/protected_static/21046287/resources/2141452869/Print data.PDF</v>
          </cell>
          <cell r="U1284" t="str">
            <v/>
          </cell>
          <cell r="V1284">
            <v>150</v>
          </cell>
          <cell r="W1284" t="str">
            <v>Elizabet Lopez Jun 16, 2025 9:53 AM</v>
          </cell>
          <cell r="X1284" t="str">
            <v/>
          </cell>
          <cell r="Y1284">
            <v>45791</v>
          </cell>
          <cell r="Z1284" t="str">
            <v/>
          </cell>
          <cell r="AA1284">
            <v>45791</v>
          </cell>
          <cell r="AB1284" t="str">
            <v>Jayme Truong May 14, 2025 3:17 PM</v>
          </cell>
          <cell r="AC1284">
            <v>45792</v>
          </cell>
          <cell r="AD1284" t="str">
            <v/>
          </cell>
          <cell r="AE1284" t="str">
            <v/>
          </cell>
          <cell r="AF1284">
            <v>45792</v>
          </cell>
          <cell r="AG1284">
            <v>45798</v>
          </cell>
          <cell r="AH1284" t="str">
            <v/>
          </cell>
          <cell r="AI1284" t="str">
            <v/>
          </cell>
        </row>
        <row r="1285">
          <cell r="C1285">
            <v>4500695071</v>
          </cell>
          <cell r="D1285" t="str">
            <v/>
          </cell>
          <cell r="E1285" t="str">
            <v/>
          </cell>
          <cell r="F1285" t="str">
            <v>Windsor Final</v>
          </cell>
          <cell r="G1285" t="str">
            <v>Windsor Collected</v>
          </cell>
          <cell r="H1285" t="str">
            <v>No</v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M1285" t="str">
            <v/>
          </cell>
          <cell r="N1285" t="str">
            <v>https://panda-windows-and-doors.monday.com/protected_static/21046287/resources/2010793438/Final Sales Order.pdf</v>
          </cell>
          <cell r="O1285" t="str">
            <v/>
          </cell>
          <cell r="P1285" t="str">
            <v/>
          </cell>
          <cell r="Q1285" t="str">
            <v/>
          </cell>
          <cell r="R1285" t="str">
            <v/>
          </cell>
          <cell r="S1285" t="str">
            <v/>
          </cell>
          <cell r="T1285" t="str">
            <v>https://panda-windows-and-doors.monday.com/protected_static/21046287/resources/2010729254/Print data.PDF</v>
          </cell>
          <cell r="U1285">
            <v>0</v>
          </cell>
          <cell r="V1285">
            <v>20371.740000000002</v>
          </cell>
          <cell r="W1285" t="str">
            <v>Jayme Truong May 22, 2025 8:40 AM</v>
          </cell>
          <cell r="X1285" t="str">
            <v/>
          </cell>
          <cell r="Y1285">
            <v>45728</v>
          </cell>
          <cell r="Z1285" t="str">
            <v/>
          </cell>
          <cell r="AA1285">
            <v>45789</v>
          </cell>
          <cell r="AB1285" t="str">
            <v>Jayme Truong Mar 12, 2025 8:10 AM</v>
          </cell>
          <cell r="AC1285">
            <v>45790</v>
          </cell>
          <cell r="AD1285" t="str">
            <v/>
          </cell>
          <cell r="AE1285" t="str">
            <v/>
          </cell>
          <cell r="AF1285">
            <v>45790</v>
          </cell>
          <cell r="AG1285">
            <v>45799</v>
          </cell>
          <cell r="AH1285" t="str">
            <v/>
          </cell>
          <cell r="AI1285" t="str">
            <v/>
          </cell>
        </row>
        <row r="1286">
          <cell r="C1286" t="str">
            <v>4500707976 - parts</v>
          </cell>
          <cell r="D1286" t="str">
            <v/>
          </cell>
          <cell r="E1286" t="str">
            <v/>
          </cell>
          <cell r="F1286" t="str">
            <v>Windsor Final</v>
          </cell>
          <cell r="G1286" t="str">
            <v>Windsor Collected</v>
          </cell>
          <cell r="H1286" t="str">
            <v>No</v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 t="str">
            <v/>
          </cell>
          <cell r="R1286" t="str">
            <v/>
          </cell>
          <cell r="S1286" t="str">
            <v/>
          </cell>
          <cell r="T1286" t="str">
            <v>https://panda-windows-and-doors.monday.com/protected_static/21046287/resources/2152737522/Print data.PDF</v>
          </cell>
          <cell r="U1286" t="str">
            <v/>
          </cell>
          <cell r="V1286">
            <v>815.02</v>
          </cell>
          <cell r="W1286" t="str">
            <v>Jayme Truong May 22, 2025 8:43 AM</v>
          </cell>
          <cell r="X1286" t="str">
            <v/>
          </cell>
          <cell r="Y1286">
            <v>45791</v>
          </cell>
          <cell r="Z1286" t="str">
            <v/>
          </cell>
          <cell r="AA1286">
            <v>45797</v>
          </cell>
          <cell r="AB1286" t="str">
            <v>Jayme Truong May 14, 2025 9:57 AM</v>
          </cell>
          <cell r="AC1286">
            <v>45797</v>
          </cell>
          <cell r="AD1286" t="str">
            <v/>
          </cell>
          <cell r="AE1286" t="str">
            <v/>
          </cell>
          <cell r="AF1286">
            <v>45797</v>
          </cell>
          <cell r="AG1286">
            <v>45799</v>
          </cell>
          <cell r="AH1286" t="str">
            <v/>
          </cell>
          <cell r="AI1286" t="str">
            <v/>
          </cell>
        </row>
        <row r="1287">
          <cell r="C1287">
            <v>4500694610</v>
          </cell>
          <cell r="D1287" t="str">
            <v/>
          </cell>
          <cell r="E1287" t="str">
            <v/>
          </cell>
          <cell r="F1287" t="str">
            <v>Windsor Final</v>
          </cell>
          <cell r="G1287" t="str">
            <v>Windsor Collected</v>
          </cell>
          <cell r="H1287" t="str">
            <v>No</v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M1287" t="str">
            <v/>
          </cell>
          <cell r="N1287" t="str">
            <v>https://panda-windows-and-doors.monday.com/protected_static/21046287/resources/2010751874/Sales Order.pdf</v>
          </cell>
          <cell r="O1287" t="str">
            <v/>
          </cell>
          <cell r="P1287" t="str">
            <v/>
          </cell>
          <cell r="Q1287" t="str">
            <v/>
          </cell>
          <cell r="R1287" t="str">
            <v/>
          </cell>
          <cell r="S1287" t="str">
            <v/>
          </cell>
          <cell r="T1287" t="str">
            <v>https://panda-windows-and-doors.monday.com/protected_static/21046287/resources/2009362489/Print data.PDF</v>
          </cell>
          <cell r="U1287">
            <v>0</v>
          </cell>
          <cell r="V1287">
            <v>17364</v>
          </cell>
          <cell r="W1287" t="str">
            <v>Jayme Truong Jun 3, 2025 8:47 AM</v>
          </cell>
          <cell r="X1287" t="str">
            <v/>
          </cell>
          <cell r="Y1287">
            <v>45727</v>
          </cell>
          <cell r="Z1287" t="str">
            <v/>
          </cell>
          <cell r="AA1287">
            <v>45790</v>
          </cell>
          <cell r="AB1287" t="str">
            <v>Jayme Truong Mar 11, 2025 4:03 PM</v>
          </cell>
          <cell r="AC1287">
            <v>45790</v>
          </cell>
          <cell r="AD1287" t="str">
            <v/>
          </cell>
          <cell r="AE1287" t="str">
            <v/>
          </cell>
          <cell r="AF1287">
            <v>45790</v>
          </cell>
          <cell r="AG1287">
            <v>45811</v>
          </cell>
          <cell r="AH1287" t="str">
            <v/>
          </cell>
          <cell r="AI1287" t="str">
            <v/>
          </cell>
        </row>
        <row r="1288">
          <cell r="C1288">
            <v>4500704701</v>
          </cell>
          <cell r="D1288" t="str">
            <v/>
          </cell>
          <cell r="E1288" t="str">
            <v/>
          </cell>
          <cell r="F1288" t="str">
            <v>Windsor Final</v>
          </cell>
          <cell r="G1288" t="str">
            <v>Windsor Collected</v>
          </cell>
          <cell r="H1288" t="str">
            <v>No</v>
          </cell>
          <cell r="I1288" t="str">
            <v>Alex</v>
          </cell>
          <cell r="J1288" t="str">
            <v/>
          </cell>
          <cell r="K1288" t="str">
            <v/>
          </cell>
          <cell r="L1288" t="str">
            <v/>
          </cell>
          <cell r="M1288" t="str">
            <v/>
          </cell>
          <cell r="N1288" t="str">
            <v>https://panda-windows-and-doors.monday.com/protected_static/21046287/resources/2083530723/4500704701 Deposit Invoice.pdf</v>
          </cell>
          <cell r="O1288" t="str">
            <v/>
          </cell>
          <cell r="P1288" t="str">
            <v/>
          </cell>
          <cell r="Q1288" t="str">
            <v/>
          </cell>
          <cell r="R1288" t="str">
            <v/>
          </cell>
          <cell r="S1288" t="str">
            <v/>
          </cell>
          <cell r="T1288" t="str">
            <v>https://panda-windows-and-doors.monday.com/protected_static/21046287/resources/2083389848/Print data.PDF</v>
          </cell>
          <cell r="U1288">
            <v>0</v>
          </cell>
          <cell r="V1288">
            <v>17002</v>
          </cell>
          <cell r="W1288" t="str">
            <v>George Bails Jun 16, 2025 10:25 AM</v>
          </cell>
          <cell r="X1288" t="str">
            <v/>
          </cell>
          <cell r="Y1288">
            <v>45762</v>
          </cell>
          <cell r="Z1288" t="str">
            <v/>
          </cell>
          <cell r="AA1288">
            <v>45812</v>
          </cell>
          <cell r="AB1288" t="str">
            <v>Jayme Truong Apr 15, 2025 11:09 AM</v>
          </cell>
          <cell r="AC1288">
            <v>45812</v>
          </cell>
          <cell r="AD1288" t="str">
            <v/>
          </cell>
          <cell r="AE1288" t="str">
            <v/>
          </cell>
          <cell r="AF1288">
            <v>45812</v>
          </cell>
          <cell r="AG1288">
            <v>45814</v>
          </cell>
          <cell r="AH1288" t="str">
            <v/>
          </cell>
          <cell r="AI1288" t="str">
            <v/>
          </cell>
        </row>
        <row r="1289">
          <cell r="C1289" t="str">
            <v>4500712866 Glass Only</v>
          </cell>
          <cell r="D1289" t="str">
            <v/>
          </cell>
          <cell r="E1289" t="str">
            <v/>
          </cell>
          <cell r="F1289" t="str">
            <v>Windsor Final</v>
          </cell>
          <cell r="G1289" t="str">
            <v>Windsor Collected</v>
          </cell>
          <cell r="H1289" t="str">
            <v>No</v>
          </cell>
          <cell r="I1289" t="str">
            <v>Alex</v>
          </cell>
          <cell r="J1289" t="str">
            <v/>
          </cell>
          <cell r="K1289" t="str">
            <v/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 t="str">
            <v/>
          </cell>
          <cell r="R1289" t="str">
            <v/>
          </cell>
          <cell r="S1289" t="str">
            <v/>
          </cell>
          <cell r="T1289" t="str">
            <v>https://panda-windows-and-doors.monday.com/protected_static/21046287/resources/2193118711/Print data.PDF</v>
          </cell>
          <cell r="U1289" t="str">
            <v/>
          </cell>
          <cell r="V1289">
            <v>3630</v>
          </cell>
          <cell r="W1289" t="str">
            <v>George Bails Jun 16, 2025 10:00 AM</v>
          </cell>
          <cell r="X1289" t="str">
            <v/>
          </cell>
          <cell r="Y1289">
            <v>45817</v>
          </cell>
          <cell r="Z1289" t="str">
            <v/>
          </cell>
          <cell r="AA1289">
            <v>45817</v>
          </cell>
          <cell r="AB1289" t="str">
            <v>Jayme Truong Jun 9, 2025 9:08 AM</v>
          </cell>
          <cell r="AC1289">
            <v>45817</v>
          </cell>
          <cell r="AD1289" t="str">
            <v/>
          </cell>
          <cell r="AE1289" t="str">
            <v/>
          </cell>
          <cell r="AF1289">
            <v>45817</v>
          </cell>
          <cell r="AG1289">
            <v>45818</v>
          </cell>
          <cell r="AH1289" t="str">
            <v/>
          </cell>
          <cell r="AI1289" t="str">
            <v/>
          </cell>
        </row>
        <row r="1290">
          <cell r="C1290">
            <v>4500700125</v>
          </cell>
          <cell r="D1290" t="str">
            <v/>
          </cell>
          <cell r="E1290" t="str">
            <v/>
          </cell>
          <cell r="F1290" t="str">
            <v>Windsor Final</v>
          </cell>
          <cell r="G1290" t="str">
            <v>Windsor Collected</v>
          </cell>
          <cell r="H1290" t="str">
            <v>No</v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N1290" t="str">
            <v>https://panda-windows-and-doors.monday.com/protected_static/21046287/resources/2056574869/4500700125 Deposit invoice.pdf</v>
          </cell>
          <cell r="O1290" t="str">
            <v/>
          </cell>
          <cell r="P1290" t="str">
            <v/>
          </cell>
          <cell r="Q1290" t="str">
            <v/>
          </cell>
          <cell r="R1290" t="str">
            <v/>
          </cell>
          <cell r="S1290" t="str">
            <v/>
          </cell>
          <cell r="T1290" t="str">
            <v>https://panda-windows-and-doors.monday.com/protected_static/21046287/resources/2045294029/Print data.PDF</v>
          </cell>
          <cell r="U1290">
            <v>0</v>
          </cell>
          <cell r="V1290">
            <v>18912.009999999998</v>
          </cell>
          <cell r="W1290" t="str">
            <v>Victoria Marrufo Jul 3, 2025 10:56 AM</v>
          </cell>
          <cell r="X1290" t="str">
            <v/>
          </cell>
          <cell r="Y1290">
            <v>45744</v>
          </cell>
          <cell r="Z1290" t="str">
            <v/>
          </cell>
          <cell r="AA1290">
            <v>45797</v>
          </cell>
          <cell r="AB1290" t="str">
            <v>Jayme Truong Mar 28, 2025 9:01 AM</v>
          </cell>
          <cell r="AC1290">
            <v>45797</v>
          </cell>
          <cell r="AD1290" t="str">
            <v/>
          </cell>
          <cell r="AE1290" t="str">
            <v/>
          </cell>
          <cell r="AF1290">
            <v>45797</v>
          </cell>
          <cell r="AG1290">
            <v>45818</v>
          </cell>
          <cell r="AH1290" t="str">
            <v/>
          </cell>
          <cell r="AI1290" t="str">
            <v/>
          </cell>
        </row>
        <row r="1291">
          <cell r="C1291">
            <v>4500717798</v>
          </cell>
          <cell r="D1291" t="str">
            <v/>
          </cell>
          <cell r="E1291" t="str">
            <v/>
          </cell>
          <cell r="F1291" t="str">
            <v>Windsor Final</v>
          </cell>
          <cell r="G1291" t="str">
            <v>Windsor Collected</v>
          </cell>
          <cell r="H1291" t="str">
            <v>No</v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N1291" t="str">
            <v>https://panda-windows-and-doors.monday.com/protected_static/21046287/resources/2193284500/4500717798 Deposit Invoice.pdf</v>
          </cell>
          <cell r="O1291" t="str">
            <v/>
          </cell>
          <cell r="P1291" t="str">
            <v/>
          </cell>
          <cell r="Q1291" t="str">
            <v/>
          </cell>
          <cell r="R1291" t="str">
            <v/>
          </cell>
          <cell r="S1291" t="str">
            <v/>
          </cell>
          <cell r="T1291" t="str">
            <v>https://panda-windows-and-doors.monday.com/protected_static/21046287/resources/2192999809/Print data.PDF</v>
          </cell>
          <cell r="U1291" t="str">
            <v/>
          </cell>
          <cell r="V1291">
            <v>99</v>
          </cell>
          <cell r="W1291" t="str">
            <v>Jayme Truong Jun 10, 2025 12:19 PM</v>
          </cell>
          <cell r="X1291" t="str">
            <v/>
          </cell>
          <cell r="Y1291">
            <v>45817</v>
          </cell>
          <cell r="Z1291" t="str">
            <v/>
          </cell>
          <cell r="AA1291">
            <v>45817</v>
          </cell>
          <cell r="AB1291" t="str">
            <v>Jayme Truong Jun 9, 2025 8:31 AM</v>
          </cell>
          <cell r="AC1291">
            <v>45817</v>
          </cell>
          <cell r="AD1291" t="str">
            <v/>
          </cell>
          <cell r="AE1291" t="str">
            <v/>
          </cell>
          <cell r="AF1291">
            <v>45817</v>
          </cell>
          <cell r="AG1291">
            <v>45818</v>
          </cell>
          <cell r="AH1291" t="str">
            <v/>
          </cell>
          <cell r="AI1291" t="str">
            <v/>
          </cell>
        </row>
        <row r="1292">
          <cell r="C1292">
            <v>4500717810</v>
          </cell>
          <cell r="D1292" t="str">
            <v/>
          </cell>
          <cell r="E1292" t="str">
            <v/>
          </cell>
          <cell r="F1292" t="str">
            <v>Windsor Final</v>
          </cell>
          <cell r="G1292" t="str">
            <v>Windsor Collected</v>
          </cell>
          <cell r="H1292" t="str">
            <v>No</v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 t="str">
            <v/>
          </cell>
          <cell r="R1292" t="str">
            <v/>
          </cell>
          <cell r="S1292" t="str">
            <v/>
          </cell>
          <cell r="T1292" t="str">
            <v>https://panda-windows-and-doors.monday.com/protected_static/21046287/resources/2193015716/Print data.PDF</v>
          </cell>
          <cell r="U1292" t="str">
            <v/>
          </cell>
          <cell r="V1292">
            <v>200</v>
          </cell>
          <cell r="W1292" t="str">
            <v>Jayme Truong Jun 10, 2025 12:22 PM</v>
          </cell>
          <cell r="X1292" t="str">
            <v/>
          </cell>
          <cell r="Y1292">
            <v>45817</v>
          </cell>
          <cell r="Z1292" t="str">
            <v/>
          </cell>
          <cell r="AA1292">
            <v>45817</v>
          </cell>
          <cell r="AB1292" t="str">
            <v>Jayme Truong Jun 9, 2025 8:38 AM</v>
          </cell>
          <cell r="AC1292">
            <v>45817</v>
          </cell>
          <cell r="AD1292" t="str">
            <v/>
          </cell>
          <cell r="AE1292" t="str">
            <v/>
          </cell>
          <cell r="AF1292">
            <v>45817</v>
          </cell>
          <cell r="AG1292">
            <v>45818</v>
          </cell>
          <cell r="AH1292" t="str">
            <v/>
          </cell>
          <cell r="AI1292" t="str">
            <v/>
          </cell>
        </row>
        <row r="1293">
          <cell r="C1293" t="str">
            <v>4500716140 Parts</v>
          </cell>
          <cell r="D1293" t="str">
            <v/>
          </cell>
          <cell r="E1293" t="str">
            <v/>
          </cell>
          <cell r="F1293" t="str">
            <v>Windsor Final</v>
          </cell>
          <cell r="G1293" t="str">
            <v>Windsor Collected</v>
          </cell>
          <cell r="H1293" t="str">
            <v>No</v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 t="str">
            <v/>
          </cell>
          <cell r="R1293" t="str">
            <v/>
          </cell>
          <cell r="S1293" t="str">
            <v/>
          </cell>
          <cell r="T1293" t="str">
            <v>https://panda-windows-and-doors.monday.com/protected_static/21046287/resources/2193065532/Print data.PDF</v>
          </cell>
          <cell r="U1293" t="str">
            <v/>
          </cell>
          <cell r="V1293">
            <v>99</v>
          </cell>
          <cell r="W1293" t="str">
            <v>Jayme Truong Jun 10, 2025 12:23 PM</v>
          </cell>
          <cell r="X1293" t="str">
            <v/>
          </cell>
          <cell r="Y1293">
            <v>45817</v>
          </cell>
          <cell r="Z1293" t="str">
            <v/>
          </cell>
          <cell r="AA1293">
            <v>45817</v>
          </cell>
          <cell r="AB1293" t="str">
            <v>Jayme Truong Jun 9, 2025 8:50 AM</v>
          </cell>
          <cell r="AC1293">
            <v>45817</v>
          </cell>
          <cell r="AD1293" t="str">
            <v/>
          </cell>
          <cell r="AE1293" t="str">
            <v/>
          </cell>
          <cell r="AF1293">
            <v>45817</v>
          </cell>
          <cell r="AG1293">
            <v>45818</v>
          </cell>
          <cell r="AH1293" t="str">
            <v/>
          </cell>
          <cell r="AI1293" t="str">
            <v/>
          </cell>
        </row>
        <row r="1294">
          <cell r="C1294">
            <v>4500716145</v>
          </cell>
          <cell r="D1294" t="str">
            <v/>
          </cell>
          <cell r="E1294" t="str">
            <v/>
          </cell>
          <cell r="F1294" t="str">
            <v>Windsor Final</v>
          </cell>
          <cell r="G1294" t="str">
            <v>Windsor Collected</v>
          </cell>
          <cell r="H1294" t="str">
            <v>No</v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 t="str">
            <v/>
          </cell>
          <cell r="R1294" t="str">
            <v/>
          </cell>
          <cell r="S1294" t="str">
            <v/>
          </cell>
          <cell r="T1294" t="str">
            <v>https://panda-windows-and-doors.monday.com/protected_static/21046287/resources/2193089535/Print data.PDF</v>
          </cell>
          <cell r="U1294" t="str">
            <v/>
          </cell>
          <cell r="V1294">
            <v>740</v>
          </cell>
          <cell r="W1294" t="str">
            <v>Jayme Truong Jun 10, 2025 12:27 PM</v>
          </cell>
          <cell r="X1294" t="str">
            <v/>
          </cell>
          <cell r="Y1294">
            <v>45817</v>
          </cell>
          <cell r="Z1294" t="str">
            <v/>
          </cell>
          <cell r="AA1294">
            <v>45817</v>
          </cell>
          <cell r="AB1294" t="str">
            <v>Jayme Truong Jun 9, 2025 9:01 AM</v>
          </cell>
          <cell r="AC1294">
            <v>45817</v>
          </cell>
          <cell r="AD1294" t="str">
            <v/>
          </cell>
          <cell r="AE1294" t="str">
            <v/>
          </cell>
          <cell r="AF1294">
            <v>45817</v>
          </cell>
          <cell r="AG1294">
            <v>45818</v>
          </cell>
          <cell r="AH1294" t="str">
            <v/>
          </cell>
          <cell r="AI1294" t="str">
            <v/>
          </cell>
        </row>
        <row r="1295">
          <cell r="C1295" t="str">
            <v>4500719379 Parts</v>
          </cell>
          <cell r="D1295" t="str">
            <v/>
          </cell>
          <cell r="E1295" t="str">
            <v/>
          </cell>
          <cell r="F1295" t="str">
            <v>Windsor Final</v>
          </cell>
          <cell r="G1295" t="str">
            <v>Windsor Collected</v>
          </cell>
          <cell r="H1295" t="str">
            <v>No</v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 t="str">
            <v/>
          </cell>
          <cell r="R1295" t="str">
            <v/>
          </cell>
          <cell r="S1295" t="str">
            <v/>
          </cell>
          <cell r="T1295" t="str">
            <v>https://panda-windows-and-doors.monday.com/protected_static/21046287/resources/2193078973/Print data.PDF</v>
          </cell>
          <cell r="U1295" t="str">
            <v/>
          </cell>
          <cell r="V1295">
            <v>50</v>
          </cell>
          <cell r="W1295" t="str">
            <v>Jayme Truong Jun 10, 2025 12:28 PM</v>
          </cell>
          <cell r="X1295" t="str">
            <v/>
          </cell>
          <cell r="Y1295">
            <v>45817</v>
          </cell>
          <cell r="Z1295" t="str">
            <v/>
          </cell>
          <cell r="AA1295">
            <v>45817</v>
          </cell>
          <cell r="AB1295" t="str">
            <v>Jayme Truong Jun 9, 2025 8:58 AM</v>
          </cell>
          <cell r="AC1295">
            <v>45817</v>
          </cell>
          <cell r="AD1295" t="str">
            <v/>
          </cell>
          <cell r="AE1295" t="str">
            <v/>
          </cell>
          <cell r="AF1295">
            <v>45817</v>
          </cell>
          <cell r="AG1295">
            <v>45818</v>
          </cell>
          <cell r="AH1295" t="str">
            <v/>
          </cell>
          <cell r="AI1295" t="str">
            <v/>
          </cell>
        </row>
        <row r="1296">
          <cell r="C1296">
            <v>4500716122</v>
          </cell>
          <cell r="D1296" t="str">
            <v/>
          </cell>
          <cell r="E1296" t="str">
            <v/>
          </cell>
          <cell r="F1296" t="str">
            <v>Windsor Final</v>
          </cell>
          <cell r="G1296" t="str">
            <v>Windsor Collected</v>
          </cell>
          <cell r="H1296" t="str">
            <v>No</v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 t="str">
            <v/>
          </cell>
          <cell r="R1296" t="str">
            <v/>
          </cell>
          <cell r="S1296" t="str">
            <v/>
          </cell>
          <cell r="T1296" t="str">
            <v>https://panda-windows-and-doors.monday.com/protected_static/21046287/resources/2193098089/Print data.PDF</v>
          </cell>
          <cell r="U1296" t="str">
            <v/>
          </cell>
          <cell r="V1296">
            <v>250</v>
          </cell>
          <cell r="W1296" t="str">
            <v>Jayme Truong Jun 10, 2025 12:33 PM</v>
          </cell>
          <cell r="X1296" t="str">
            <v/>
          </cell>
          <cell r="Y1296">
            <v>45817</v>
          </cell>
          <cell r="Z1296" t="str">
            <v/>
          </cell>
          <cell r="AA1296">
            <v>45817</v>
          </cell>
          <cell r="AB1296" t="str">
            <v>Jayme Truong Jun 9, 2025 9:04 AM</v>
          </cell>
          <cell r="AC1296">
            <v>45817</v>
          </cell>
          <cell r="AD1296" t="str">
            <v/>
          </cell>
          <cell r="AE1296" t="str">
            <v/>
          </cell>
          <cell r="AF1296">
            <v>45817</v>
          </cell>
          <cell r="AG1296">
            <v>45818</v>
          </cell>
          <cell r="AH1296" t="str">
            <v/>
          </cell>
          <cell r="AI1296" t="str">
            <v/>
          </cell>
        </row>
        <row r="1297">
          <cell r="C1297" t="str">
            <v>4500703233 - PARTS ORDER</v>
          </cell>
          <cell r="D1297" t="str">
            <v/>
          </cell>
          <cell r="E1297" t="str">
            <v/>
          </cell>
          <cell r="F1297" t="str">
            <v>Windsor</v>
          </cell>
          <cell r="G1297" t="str">
            <v>Windsor Collected</v>
          </cell>
          <cell r="H1297" t="str">
            <v>No</v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N1297" t="str">
            <v>https://panda-windows-and-doors.monday.com/protected_static/21046287/resources/2072033426/4500703233 Deposit Invoice.pdf</v>
          </cell>
          <cell r="O1297" t="str">
            <v/>
          </cell>
          <cell r="P1297" t="str">
            <v/>
          </cell>
          <cell r="Q1297" t="str">
            <v/>
          </cell>
          <cell r="R1297" t="str">
            <v/>
          </cell>
          <cell r="S1297" t="str">
            <v/>
          </cell>
          <cell r="T1297" t="str">
            <v>https://panda-windows-and-doors.monday.com/protected_static/21046287/resources/2071805435/Print data.PDF</v>
          </cell>
          <cell r="U1297">
            <v>0</v>
          </cell>
          <cell r="V1297">
            <v>199</v>
          </cell>
          <cell r="W1297" t="str">
            <v>Jayme Truong Jun 11, 2025 3:59 PM</v>
          </cell>
          <cell r="X1297" t="str">
            <v/>
          </cell>
          <cell r="Y1297">
            <v>45756</v>
          </cell>
          <cell r="Z1297" t="str">
            <v/>
          </cell>
          <cell r="AA1297">
            <v>45756</v>
          </cell>
          <cell r="AB1297" t="str">
            <v>Jayme Truong Apr 9, 2025 10:07 AM</v>
          </cell>
          <cell r="AC1297" t="str">
            <v/>
          </cell>
          <cell r="AD1297" t="str">
            <v/>
          </cell>
          <cell r="AE1297" t="str">
            <v/>
          </cell>
          <cell r="AF1297" t="str">
            <v/>
          </cell>
          <cell r="AG1297">
            <v>45819</v>
          </cell>
          <cell r="AH1297" t="str">
            <v/>
          </cell>
          <cell r="AI1297" t="str">
            <v/>
          </cell>
        </row>
        <row r="1298">
          <cell r="C1298" t="str">
            <v>4500701554 - PARTS ORDER</v>
          </cell>
          <cell r="D1298" t="str">
            <v/>
          </cell>
          <cell r="E1298" t="str">
            <v/>
          </cell>
          <cell r="F1298" t="str">
            <v>Windsor</v>
          </cell>
          <cell r="G1298" t="str">
            <v>Windsor Collected</v>
          </cell>
          <cell r="H1298" t="str">
            <v>No</v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 t="str">
            <v/>
          </cell>
          <cell r="R1298" t="str">
            <v/>
          </cell>
          <cell r="S1298" t="str">
            <v/>
          </cell>
          <cell r="T1298" t="str">
            <v>https://panda-windows-and-doors.monday.com/protected_static/21046287/resources/2134332380/Print data.PDF</v>
          </cell>
          <cell r="U1298" t="str">
            <v/>
          </cell>
          <cell r="V1298">
            <v>155</v>
          </cell>
          <cell r="W1298" t="str">
            <v>Jayme Truong Jun 16, 2025 9:55 AM</v>
          </cell>
          <cell r="X1298" t="str">
            <v/>
          </cell>
          <cell r="Y1298">
            <v>45789</v>
          </cell>
          <cell r="Z1298" t="str">
            <v/>
          </cell>
          <cell r="AA1298">
            <v>45789</v>
          </cell>
          <cell r="AB1298" t="str">
            <v>Jayme Truong May 12, 2025 8:18 AM</v>
          </cell>
          <cell r="AC1298" t="str">
            <v/>
          </cell>
          <cell r="AD1298" t="str">
            <v/>
          </cell>
          <cell r="AE1298" t="str">
            <v/>
          </cell>
          <cell r="AF1298" t="str">
            <v/>
          </cell>
          <cell r="AG1298">
            <v>45824</v>
          </cell>
          <cell r="AH1298" t="str">
            <v/>
          </cell>
          <cell r="AI1298" t="str">
            <v/>
          </cell>
        </row>
        <row r="1299">
          <cell r="C1299" t="str">
            <v>4500706048 PARTS ORDER</v>
          </cell>
          <cell r="D1299" t="str">
            <v/>
          </cell>
          <cell r="E1299" t="str">
            <v/>
          </cell>
          <cell r="F1299" t="str">
            <v>Windsor</v>
          </cell>
          <cell r="G1299" t="str">
            <v>Windsor Collected</v>
          </cell>
          <cell r="H1299" t="str">
            <v>No</v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M1299" t="str">
            <v/>
          </cell>
          <cell r="N1299" t="str">
            <v>https://panda-windows-and-doors.monday.com/protected_static/21046287/resources/2098450222/4500706048 Final Invoice.pdf</v>
          </cell>
          <cell r="O1299" t="str">
            <v/>
          </cell>
          <cell r="P1299" t="str">
            <v/>
          </cell>
          <cell r="Q1299" t="str">
            <v/>
          </cell>
          <cell r="R1299" t="str">
            <v/>
          </cell>
          <cell r="S1299" t="str">
            <v/>
          </cell>
          <cell r="T1299" t="str">
            <v>https://panda-windows-and-doors.monday.com/protected_static/21046287/resources/2098328601/Print data.PDF</v>
          </cell>
          <cell r="U1299" t="str">
            <v/>
          </cell>
          <cell r="V1299">
            <v>95</v>
          </cell>
          <cell r="W1299" t="str">
            <v>Jayme Truong Jun 16, 2025 9:56 AM</v>
          </cell>
          <cell r="X1299" t="str">
            <v/>
          </cell>
          <cell r="Y1299">
            <v>45764</v>
          </cell>
          <cell r="Z1299" t="str">
            <v/>
          </cell>
          <cell r="AA1299">
            <v>45770</v>
          </cell>
          <cell r="AB1299" t="str">
            <v>Jayme Truong Apr 17, 2025 9:07 AM</v>
          </cell>
          <cell r="AC1299" t="str">
            <v/>
          </cell>
          <cell r="AD1299" t="str">
            <v/>
          </cell>
          <cell r="AE1299" t="str">
            <v/>
          </cell>
          <cell r="AF1299" t="str">
            <v/>
          </cell>
          <cell r="AG1299">
            <v>45824</v>
          </cell>
          <cell r="AH1299" t="str">
            <v/>
          </cell>
          <cell r="AI1299" t="str">
            <v/>
          </cell>
        </row>
        <row r="1300">
          <cell r="C1300" t="str">
            <v>4500701759- PARTS ORDER</v>
          </cell>
          <cell r="D1300" t="str">
            <v/>
          </cell>
          <cell r="E1300" t="str">
            <v/>
          </cell>
          <cell r="F1300" t="str">
            <v>Windsor</v>
          </cell>
          <cell r="G1300" t="str">
            <v>Windsor Collected</v>
          </cell>
          <cell r="H1300" t="str">
            <v>No</v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 t="str">
            <v/>
          </cell>
          <cell r="R1300" t="str">
            <v/>
          </cell>
          <cell r="S1300" t="str">
            <v/>
          </cell>
          <cell r="T1300" t="str">
            <v>https://panda-windows-and-doors.monday.com/protected_static/21046287/resources/2065514869/Print data.PDF</v>
          </cell>
          <cell r="U1300">
            <v>0</v>
          </cell>
          <cell r="V1300">
            <v>640</v>
          </cell>
          <cell r="W1300" t="str">
            <v>Jayme Truong Jun 16, 2025 9:56 AM</v>
          </cell>
          <cell r="X1300" t="str">
            <v/>
          </cell>
          <cell r="Y1300">
            <v>45754</v>
          </cell>
          <cell r="Z1300" t="str">
            <v/>
          </cell>
          <cell r="AA1300">
            <v>45754</v>
          </cell>
          <cell r="AB1300" t="str">
            <v>Jayme Truong Apr 7, 2025 9:27 AM</v>
          </cell>
          <cell r="AC1300" t="str">
            <v/>
          </cell>
          <cell r="AD1300" t="str">
            <v/>
          </cell>
          <cell r="AE1300" t="str">
            <v/>
          </cell>
          <cell r="AF1300" t="str">
            <v/>
          </cell>
          <cell r="AG1300">
            <v>45824</v>
          </cell>
          <cell r="AH1300" t="str">
            <v/>
          </cell>
          <cell r="AI1300" t="str">
            <v/>
          </cell>
        </row>
        <row r="1301">
          <cell r="C1301" t="str">
            <v>4500712166 Parts</v>
          </cell>
          <cell r="D1301" t="str">
            <v/>
          </cell>
          <cell r="E1301" t="str">
            <v/>
          </cell>
          <cell r="F1301" t="str">
            <v>Windsor Final</v>
          </cell>
          <cell r="G1301" t="str">
            <v>Windsor Collected</v>
          </cell>
          <cell r="H1301" t="str">
            <v>No</v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 t="str">
            <v/>
          </cell>
          <cell r="R1301" t="str">
            <v/>
          </cell>
          <cell r="S1301" t="str">
            <v/>
          </cell>
          <cell r="T1301" t="str">
            <v>https://panda-windows-and-doors.monday.com/protected_static/21046287/resources/2135741115/Print data.PDF</v>
          </cell>
          <cell r="U1301">
            <v>0</v>
          </cell>
          <cell r="V1301">
            <v>45</v>
          </cell>
          <cell r="W1301" t="str">
            <v>Jayme Truong Jun 16, 2025 9:57 AM</v>
          </cell>
          <cell r="X1301" t="str">
            <v/>
          </cell>
          <cell r="Y1301">
            <v>45789</v>
          </cell>
          <cell r="Z1301" t="str">
            <v/>
          </cell>
          <cell r="AA1301">
            <v>45789</v>
          </cell>
          <cell r="AB1301" t="str">
            <v>Jayme Truong May 12, 2025 3:59 PM</v>
          </cell>
          <cell r="AC1301">
            <v>45790</v>
          </cell>
          <cell r="AD1301">
            <v>45810</v>
          </cell>
          <cell r="AE1301" t="str">
            <v/>
          </cell>
          <cell r="AF1301">
            <v>45790</v>
          </cell>
          <cell r="AG1301">
            <v>45824</v>
          </cell>
          <cell r="AH1301" t="str">
            <v/>
          </cell>
          <cell r="AI1301" t="str">
            <v/>
          </cell>
        </row>
        <row r="1302">
          <cell r="C1302" t="str">
            <v>4500695633-S</v>
          </cell>
          <cell r="D1302" t="str">
            <v/>
          </cell>
          <cell r="E1302" t="str">
            <v/>
          </cell>
          <cell r="F1302" t="str">
            <v>Windsor Final</v>
          </cell>
          <cell r="G1302" t="str">
            <v>Windsor Collected</v>
          </cell>
          <cell r="H1302" t="str">
            <v>No</v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 t="str">
            <v/>
          </cell>
          <cell r="R1302" t="str">
            <v/>
          </cell>
          <cell r="S1302" t="str">
            <v/>
          </cell>
          <cell r="T1302" t="str">
            <v>https://panda-windows-and-doors.monday.com/protected_static/21046287/resources/2159289714/Print data.PDF</v>
          </cell>
          <cell r="U1302">
            <v>0</v>
          </cell>
          <cell r="V1302">
            <v>2953.47</v>
          </cell>
          <cell r="W1302" t="str">
            <v>Jayme Truong Jun 16, 2025 9:57 AM</v>
          </cell>
          <cell r="X1302" t="str">
            <v/>
          </cell>
          <cell r="Y1302">
            <v>45799</v>
          </cell>
          <cell r="Z1302" t="str">
            <v/>
          </cell>
          <cell r="AA1302">
            <v>45799</v>
          </cell>
          <cell r="AB1302" t="str">
            <v>Jayme Truong May 22, 2025 2:21 PM</v>
          </cell>
          <cell r="AC1302">
            <v>45800</v>
          </cell>
          <cell r="AD1302">
            <v>45810</v>
          </cell>
          <cell r="AE1302" t="str">
            <v/>
          </cell>
          <cell r="AF1302">
            <v>45800</v>
          </cell>
          <cell r="AG1302">
            <v>45824</v>
          </cell>
          <cell r="AH1302" t="str">
            <v/>
          </cell>
          <cell r="AI1302" t="str">
            <v/>
          </cell>
        </row>
        <row r="1303">
          <cell r="C1303">
            <v>4500695982</v>
          </cell>
          <cell r="D1303" t="str">
            <v/>
          </cell>
          <cell r="E1303" t="str">
            <v/>
          </cell>
          <cell r="F1303" t="str">
            <v>Windsor Final</v>
          </cell>
          <cell r="G1303" t="str">
            <v>Windsor Collected</v>
          </cell>
          <cell r="H1303" t="str">
            <v>No</v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M1303" t="str">
            <v/>
          </cell>
          <cell r="N1303" t="str">
            <v>https://panda-windows-and-doors.monday.com/protected_static/21046287/resources/2017303460/Final Invoice.pdf</v>
          </cell>
          <cell r="O1303" t="str">
            <v/>
          </cell>
          <cell r="P1303" t="str">
            <v/>
          </cell>
          <cell r="Q1303" t="str">
            <v/>
          </cell>
          <cell r="R1303" t="str">
            <v/>
          </cell>
          <cell r="S1303" t="str">
            <v/>
          </cell>
          <cell r="T1303" t="str">
            <v>https://panda-windows-and-doors.monday.com/protected_static/21046287/resources/2016889427/Print data.PDF</v>
          </cell>
          <cell r="U1303">
            <v>0</v>
          </cell>
          <cell r="V1303">
            <v>14472</v>
          </cell>
          <cell r="W1303" t="str">
            <v>Jayme Truong Jun 16, 2025 9:57 AM</v>
          </cell>
          <cell r="X1303" t="str">
            <v/>
          </cell>
          <cell r="Y1303">
            <v>45730</v>
          </cell>
          <cell r="Z1303" t="str">
            <v/>
          </cell>
          <cell r="AA1303">
            <v>45792</v>
          </cell>
          <cell r="AB1303" t="str">
            <v>Jayme Truong Mar 14, 2025 1:20 PM</v>
          </cell>
          <cell r="AC1303">
            <v>45792</v>
          </cell>
          <cell r="AD1303">
            <v>45804</v>
          </cell>
          <cell r="AE1303" t="str">
            <v/>
          </cell>
          <cell r="AF1303">
            <v>45792</v>
          </cell>
          <cell r="AG1303">
            <v>45824</v>
          </cell>
          <cell r="AH1303" t="str">
            <v/>
          </cell>
          <cell r="AI1303" t="str">
            <v/>
          </cell>
        </row>
        <row r="1304">
          <cell r="C1304">
            <v>4500694151</v>
          </cell>
          <cell r="D1304" t="str">
            <v/>
          </cell>
          <cell r="E1304" t="str">
            <v/>
          </cell>
          <cell r="F1304" t="str">
            <v>Windsor Final</v>
          </cell>
          <cell r="G1304" t="str">
            <v>Windsor Collected</v>
          </cell>
          <cell r="H1304" t="str">
            <v>No</v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N1304" t="str">
            <v>https://panda-windows-and-doors.monday.com/protected_static/21046287/resources/2008209980/Wood Grain Sales Order 4500694151.pdf</v>
          </cell>
          <cell r="O1304" t="str">
            <v/>
          </cell>
          <cell r="P1304" t="str">
            <v/>
          </cell>
          <cell r="Q1304" t="str">
            <v/>
          </cell>
          <cell r="R1304" t="str">
            <v/>
          </cell>
          <cell r="S1304" t="str">
            <v/>
          </cell>
          <cell r="T1304" t="str">
            <v>https://panda-windows-and-doors.monday.com/protected_static/21046287/resources/2008049983/Print data 1.PDF</v>
          </cell>
          <cell r="U1304">
            <v>0</v>
          </cell>
          <cell r="V1304">
            <v>6562.04</v>
          </cell>
          <cell r="W1304" t="str">
            <v>Jayme Truong Jun 16, 2025 10:39 AM</v>
          </cell>
          <cell r="X1304" t="str">
            <v/>
          </cell>
          <cell r="Y1304">
            <v>45726</v>
          </cell>
          <cell r="Z1304" t="str">
            <v/>
          </cell>
          <cell r="AA1304">
            <v>45784</v>
          </cell>
          <cell r="AB1304" t="str">
            <v>Jayme Truong Mar 10, 2025 9:43 AM</v>
          </cell>
          <cell r="AC1304">
            <v>45784</v>
          </cell>
          <cell r="AD1304" t="str">
            <v/>
          </cell>
          <cell r="AE1304" t="str">
            <v/>
          </cell>
          <cell r="AF1304">
            <v>45784</v>
          </cell>
          <cell r="AG1304">
            <v>45824</v>
          </cell>
          <cell r="AH1304" t="str">
            <v/>
          </cell>
          <cell r="AI1304" t="str">
            <v/>
          </cell>
        </row>
        <row r="1305">
          <cell r="C1305">
            <v>4500703158</v>
          </cell>
          <cell r="D1305" t="str">
            <v/>
          </cell>
          <cell r="E1305" t="str">
            <v/>
          </cell>
          <cell r="F1305" t="str">
            <v>Windsor Final</v>
          </cell>
          <cell r="G1305" t="str">
            <v>Windsor Collected</v>
          </cell>
          <cell r="H1305" t="str">
            <v>No</v>
          </cell>
          <cell r="I1305" t="str">
            <v>Alex</v>
          </cell>
          <cell r="J1305" t="str">
            <v/>
          </cell>
          <cell r="K1305" t="str">
            <v/>
          </cell>
          <cell r="L1305" t="str">
            <v/>
          </cell>
          <cell r="M1305" t="str">
            <v>Yes</v>
          </cell>
          <cell r="N1305" t="str">
            <v>https://panda-windows-and-doors.monday.com/protected_static/21046287/resources/2071616173/4500703158 Deposit Invoice.pdf</v>
          </cell>
          <cell r="O1305" t="str">
            <v/>
          </cell>
          <cell r="P1305" t="str">
            <v/>
          </cell>
          <cell r="Q1305" t="str">
            <v/>
          </cell>
          <cell r="R1305" t="str">
            <v/>
          </cell>
          <cell r="S1305" t="str">
            <v/>
          </cell>
          <cell r="T1305" t="str">
            <v>https://panda-windows-and-doors.monday.com/protected_static/21046287/resources/2071428708/Print data.PDF</v>
          </cell>
          <cell r="U1305">
            <v>0</v>
          </cell>
          <cell r="V1305">
            <v>4531</v>
          </cell>
          <cell r="W1305" t="str">
            <v>Alex Jul 3, 2025 11:33 AM</v>
          </cell>
          <cell r="X1305" t="str">
            <v/>
          </cell>
          <cell r="Y1305">
            <v>45756</v>
          </cell>
          <cell r="Z1305" t="str">
            <v/>
          </cell>
          <cell r="AA1305">
            <v>45820</v>
          </cell>
          <cell r="AB1305" t="str">
            <v>Jayme Truong Apr 9, 2025 8:10 AM</v>
          </cell>
          <cell r="AC1305">
            <v>45820</v>
          </cell>
          <cell r="AD1305" t="str">
            <v/>
          </cell>
          <cell r="AE1305" t="str">
            <v/>
          </cell>
          <cell r="AF1305">
            <v>45820</v>
          </cell>
          <cell r="AG1305">
            <v>45826</v>
          </cell>
          <cell r="AH1305" t="str">
            <v/>
          </cell>
          <cell r="AI1305" t="str">
            <v/>
          </cell>
        </row>
        <row r="1306">
          <cell r="C1306">
            <v>4500707665</v>
          </cell>
          <cell r="D1306" t="str">
            <v/>
          </cell>
          <cell r="E1306" t="str">
            <v/>
          </cell>
          <cell r="F1306" t="str">
            <v>Windsor Final</v>
          </cell>
          <cell r="G1306" t="str">
            <v>Windsor Collected</v>
          </cell>
          <cell r="H1306" t="str">
            <v>No</v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M1306" t="str">
            <v/>
          </cell>
          <cell r="N1306" t="str">
            <v>https://panda-windows-and-doors.monday.com/protected_static/21046287/resources/2098389518/4500707665 Deposit Invoice.pdf</v>
          </cell>
          <cell r="O1306" t="str">
            <v/>
          </cell>
          <cell r="P1306" t="str">
            <v/>
          </cell>
          <cell r="Q1306" t="str">
            <v/>
          </cell>
          <cell r="R1306" t="str">
            <v/>
          </cell>
          <cell r="S1306" t="str">
            <v/>
          </cell>
          <cell r="T1306" t="str">
            <v>https://panda-windows-and-doors.monday.com/protected_static/21046287/resources/2097949452/Print data.PDF</v>
          </cell>
          <cell r="U1306">
            <v>0</v>
          </cell>
          <cell r="V1306">
            <v>7482.37</v>
          </cell>
          <cell r="W1306" t="str">
            <v>Jayme Truong Jun 18, 2025 2:56 PM</v>
          </cell>
          <cell r="X1306" t="str">
            <v/>
          </cell>
          <cell r="Y1306">
            <v>45770</v>
          </cell>
          <cell r="Z1306" t="str">
            <v/>
          </cell>
          <cell r="AA1306">
            <v>45824</v>
          </cell>
          <cell r="AB1306" t="str">
            <v>Jayme Truong Apr 23, 2025 12:07 PM</v>
          </cell>
          <cell r="AC1306">
            <v>45825</v>
          </cell>
          <cell r="AD1306" t="str">
            <v/>
          </cell>
          <cell r="AE1306" t="str">
            <v/>
          </cell>
          <cell r="AF1306">
            <v>45825</v>
          </cell>
          <cell r="AG1306">
            <v>45826</v>
          </cell>
          <cell r="AH1306" t="str">
            <v/>
          </cell>
          <cell r="AI1306" t="str">
            <v/>
          </cell>
        </row>
        <row r="1307">
          <cell r="C1307">
            <v>4500701532</v>
          </cell>
          <cell r="D1307" t="str">
            <v/>
          </cell>
          <cell r="E1307" t="str">
            <v/>
          </cell>
          <cell r="F1307" t="str">
            <v>Windsor Final</v>
          </cell>
          <cell r="G1307" t="str">
            <v>Windsor Collected</v>
          </cell>
          <cell r="H1307" t="str">
            <v>No</v>
          </cell>
          <cell r="I1307" t="str">
            <v>Alex</v>
          </cell>
          <cell r="J1307" t="str">
            <v/>
          </cell>
          <cell r="K1307" t="str">
            <v/>
          </cell>
          <cell r="L1307" t="str">
            <v/>
          </cell>
          <cell r="M1307" t="str">
            <v>Yes</v>
          </cell>
          <cell r="N1307" t="str">
            <v>https://panda-windows-and-doors.monday.com/protected_static/21046287/resources/2056855387/4500701532 Deposit Invoice.pdf</v>
          </cell>
          <cell r="O1307" t="str">
            <v/>
          </cell>
          <cell r="P1307" t="str">
            <v/>
          </cell>
          <cell r="Q1307" t="str">
            <v/>
          </cell>
          <cell r="R1307" t="str">
            <v/>
          </cell>
          <cell r="S1307" t="str">
            <v/>
          </cell>
          <cell r="T1307" t="str">
            <v>https://panda-windows-and-doors.monday.com/protected_static/21046287/resources/2056819416/Print data.PDF, https://panda-windows-and-doors.monday.com/protected_static/21046287/resources/2208792870/Print data.PDF</v>
          </cell>
          <cell r="U1307">
            <v>0</v>
          </cell>
          <cell r="V1307">
            <v>35094.69</v>
          </cell>
          <cell r="W1307" t="str">
            <v>Alex Jul 3, 2025 11:33 AM</v>
          </cell>
          <cell r="X1307" t="str">
            <v/>
          </cell>
          <cell r="Y1307">
            <v>45749</v>
          </cell>
          <cell r="Z1307" t="str">
            <v/>
          </cell>
          <cell r="AA1307">
            <v>45824</v>
          </cell>
          <cell r="AB1307" t="str">
            <v>Jayme Truong Apr 2, 2025 2:26 PM</v>
          </cell>
          <cell r="AC1307">
            <v>45825</v>
          </cell>
          <cell r="AD1307" t="str">
            <v/>
          </cell>
          <cell r="AE1307" t="str">
            <v/>
          </cell>
          <cell r="AF1307">
            <v>45825</v>
          </cell>
          <cell r="AG1307">
            <v>45834</v>
          </cell>
          <cell r="AH1307" t="str">
            <v/>
          </cell>
          <cell r="AI1307" t="str">
            <v/>
          </cell>
        </row>
        <row r="1308">
          <cell r="C1308" t="str">
            <v>4500723536 parts</v>
          </cell>
          <cell r="D1308" t="str">
            <v/>
          </cell>
          <cell r="E1308" t="str">
            <v/>
          </cell>
          <cell r="F1308" t="str">
            <v>Windsor Final</v>
          </cell>
          <cell r="G1308" t="str">
            <v>Windsor Collected</v>
          </cell>
          <cell r="H1308" t="str">
            <v>No</v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N1308" t="str">
            <v/>
          </cell>
          <cell r="O1308" t="str">
            <v/>
          </cell>
          <cell r="P1308" t="str">
            <v/>
          </cell>
          <cell r="Q1308" t="str">
            <v/>
          </cell>
          <cell r="R1308" t="str">
            <v/>
          </cell>
          <cell r="S1308" t="str">
            <v/>
          </cell>
          <cell r="T1308" t="str">
            <v>https://panda-windows-and-doors.monday.com/protected_static/21046287/resources/2216980899/Print data.PDF</v>
          </cell>
          <cell r="U1308" t="str">
            <v/>
          </cell>
          <cell r="V1308">
            <v>200</v>
          </cell>
          <cell r="W1308" t="str">
            <v>Elizabet Lopez Jun 30, 2025 3:41 PM</v>
          </cell>
          <cell r="X1308" t="str">
            <v/>
          </cell>
          <cell r="Y1308">
            <v>45827</v>
          </cell>
          <cell r="Z1308" t="str">
            <v/>
          </cell>
          <cell r="AA1308">
            <v>45827</v>
          </cell>
          <cell r="AB1308" t="str">
            <v>Jayme Truong Jun 19, 2025 1:41 PM</v>
          </cell>
          <cell r="AC1308">
            <v>45828</v>
          </cell>
          <cell r="AD1308" t="str">
            <v/>
          </cell>
          <cell r="AE1308" t="str">
            <v/>
          </cell>
          <cell r="AF1308">
            <v>45828</v>
          </cell>
          <cell r="AG1308">
            <v>45834</v>
          </cell>
          <cell r="AH1308" t="str">
            <v/>
          </cell>
          <cell r="AI1308" t="str">
            <v/>
          </cell>
        </row>
        <row r="1309">
          <cell r="C1309">
            <v>4500706462</v>
          </cell>
          <cell r="D1309" t="str">
            <v/>
          </cell>
          <cell r="E1309" t="str">
            <v/>
          </cell>
          <cell r="F1309" t="str">
            <v>Windsor Final</v>
          </cell>
          <cell r="G1309" t="str">
            <v>Windsor Collected</v>
          </cell>
          <cell r="H1309" t="str">
            <v>No</v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N1309" t="str">
            <v>https://panda-windows-and-doors.monday.com/protected_static/21046287/resources/2094620838/4500706462 Deposit Invoice.pdf</v>
          </cell>
          <cell r="O1309" t="str">
            <v/>
          </cell>
          <cell r="P1309" t="str">
            <v/>
          </cell>
          <cell r="Q1309" t="str">
            <v/>
          </cell>
          <cell r="R1309" t="str">
            <v/>
          </cell>
          <cell r="S1309" t="str">
            <v/>
          </cell>
          <cell r="T1309" t="str">
            <v>https://panda-windows-and-doors.monday.com/protected_static/21046287/resources/2094473636/4500706462 Backer.xlsx, https://panda-windows-and-doors.monday.com/protected_static/21046287/resources/2094606803/Print data.PDF</v>
          </cell>
          <cell r="U1309">
            <v>0</v>
          </cell>
          <cell r="V1309">
            <v>9359.52</v>
          </cell>
          <cell r="W1309" t="str">
            <v>Elizabet Lopez Jun 30, 2025 3:41 PM</v>
          </cell>
          <cell r="X1309" t="str">
            <v/>
          </cell>
          <cell r="Y1309">
            <v>45769</v>
          </cell>
          <cell r="Z1309" t="str">
            <v/>
          </cell>
          <cell r="AA1309">
            <v>45825</v>
          </cell>
          <cell r="AB1309" t="str">
            <v>Jayme Truong Apr 22, 2025 8:29 AM</v>
          </cell>
          <cell r="AC1309">
            <v>45825</v>
          </cell>
          <cell r="AD1309" t="str">
            <v/>
          </cell>
          <cell r="AE1309" t="str">
            <v/>
          </cell>
          <cell r="AF1309">
            <v>45825</v>
          </cell>
          <cell r="AG1309">
            <v>45834</v>
          </cell>
          <cell r="AH1309" t="str">
            <v/>
          </cell>
          <cell r="AI1309" t="str">
            <v/>
          </cell>
        </row>
        <row r="1310">
          <cell r="C1310">
            <v>4500704702</v>
          </cell>
          <cell r="D1310" t="str">
            <v/>
          </cell>
          <cell r="E1310" t="str">
            <v/>
          </cell>
          <cell r="F1310" t="str">
            <v>Windsor Final</v>
          </cell>
          <cell r="G1310" t="str">
            <v>Windsor Collected</v>
          </cell>
          <cell r="H1310" t="str">
            <v>No</v>
          </cell>
          <cell r="I1310" t="str">
            <v>Alex</v>
          </cell>
          <cell r="J1310" t="str">
            <v/>
          </cell>
          <cell r="K1310" t="str">
            <v/>
          </cell>
          <cell r="L1310" t="str">
            <v/>
          </cell>
          <cell r="M1310" t="str">
            <v>Yes</v>
          </cell>
          <cell r="N1310" t="str">
            <v>https://panda-windows-and-doors.monday.com/protected_static/21046287/resources/2083513421/4500704702 Deposit Invoice.pdf</v>
          </cell>
          <cell r="O1310" t="str">
            <v/>
          </cell>
          <cell r="P1310" t="str">
            <v/>
          </cell>
          <cell r="Q1310" t="str">
            <v/>
          </cell>
          <cell r="R1310" t="str">
            <v/>
          </cell>
          <cell r="S1310" t="str">
            <v/>
          </cell>
          <cell r="T1310" t="str">
            <v>https://panda-windows-and-doors.monday.com/protected_static/21046287/resources/2083147663/Print data.PDF, https://panda-windows-and-doors.monday.com/protected_static/21046287/resources/2083380910/Print data.PDF, https://panda-windows-and-doors.monday.com/protected_static/21046287/resources/2083386334/Print data.PDF</v>
          </cell>
          <cell r="U1310">
            <v>0</v>
          </cell>
          <cell r="V1310">
            <v>17352</v>
          </cell>
          <cell r="W1310" t="str">
            <v>Alex Jul 3, 2025 11:33 AM</v>
          </cell>
          <cell r="X1310" t="str">
            <v/>
          </cell>
          <cell r="Y1310">
            <v>45762</v>
          </cell>
          <cell r="Z1310" t="str">
            <v/>
          </cell>
          <cell r="AA1310">
            <v>45825</v>
          </cell>
          <cell r="AB1310" t="str">
            <v>Jayme Truong Apr 15, 2025 10:03 AM</v>
          </cell>
          <cell r="AC1310">
            <v>45825</v>
          </cell>
          <cell r="AD1310" t="str">
            <v/>
          </cell>
          <cell r="AE1310" t="str">
            <v/>
          </cell>
          <cell r="AF1310">
            <v>45825</v>
          </cell>
          <cell r="AG1310">
            <v>45834</v>
          </cell>
          <cell r="AH1310" t="str">
            <v/>
          </cell>
          <cell r="AI1310" t="str">
            <v/>
          </cell>
        </row>
        <row r="1311">
          <cell r="C1311">
            <v>4500703603</v>
          </cell>
          <cell r="D1311" t="str">
            <v/>
          </cell>
          <cell r="E1311" t="str">
            <v/>
          </cell>
          <cell r="F1311" t="str">
            <v>Windsor Final</v>
          </cell>
          <cell r="G1311" t="str">
            <v>Windsor Collected</v>
          </cell>
          <cell r="H1311" t="str">
            <v>No</v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N1311" t="str">
            <v>https://panda-windows-and-doors.monday.com/protected_static/21046287/resources/2072450333/4500703603 Deposit Invoice.pdf</v>
          </cell>
          <cell r="O1311" t="str">
            <v/>
          </cell>
          <cell r="P1311" t="str">
            <v/>
          </cell>
          <cell r="Q1311" t="str">
            <v/>
          </cell>
          <cell r="R1311" t="str">
            <v/>
          </cell>
          <cell r="S1311" t="str">
            <v/>
          </cell>
          <cell r="T1311" t="str">
            <v>https://panda-windows-and-doors.monday.com/protected_static/21046287/resources/2072296160/Print data.PDF</v>
          </cell>
          <cell r="U1311">
            <v>0</v>
          </cell>
          <cell r="V1311">
            <v>8001.62</v>
          </cell>
          <cell r="W1311" t="str">
            <v>Annalene Conde Jun 27, 2025 11:52 AM</v>
          </cell>
          <cell r="X1311" t="str">
            <v/>
          </cell>
          <cell r="Y1311">
            <v>45756</v>
          </cell>
          <cell r="Z1311" t="str">
            <v/>
          </cell>
          <cell r="AA1311">
            <v>45825</v>
          </cell>
          <cell r="AB1311" t="str">
            <v>Jayme Truong Apr 9, 2025 12:27 PM</v>
          </cell>
          <cell r="AC1311">
            <v>45825</v>
          </cell>
          <cell r="AD1311" t="str">
            <v/>
          </cell>
          <cell r="AE1311" t="str">
            <v/>
          </cell>
          <cell r="AF1311">
            <v>45825</v>
          </cell>
          <cell r="AG1311">
            <v>45835</v>
          </cell>
          <cell r="AH1311" t="str">
            <v/>
          </cell>
          <cell r="AI1311" t="str">
            <v/>
          </cell>
        </row>
        <row r="1312">
          <cell r="C1312" t="str">
            <v>4500724990 parts</v>
          </cell>
          <cell r="D1312" t="str">
            <v/>
          </cell>
          <cell r="E1312" t="str">
            <v/>
          </cell>
          <cell r="F1312" t="str">
            <v>Windsor Final</v>
          </cell>
          <cell r="G1312" t="str">
            <v>Windsor Collected</v>
          </cell>
          <cell r="H1312" t="str">
            <v>No</v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M1312" t="str">
            <v/>
          </cell>
          <cell r="N1312" t="str">
            <v/>
          </cell>
          <cell r="O1312" t="str">
            <v/>
          </cell>
          <cell r="P1312" t="str">
            <v/>
          </cell>
          <cell r="Q1312" t="str">
            <v/>
          </cell>
          <cell r="R1312" t="str">
            <v/>
          </cell>
          <cell r="S1312" t="str">
            <v/>
          </cell>
          <cell r="T1312" t="str">
            <v>https://panda-windows-and-doors.monday.com/protected_static/21046287/resources/2228721133/Print data.PDF</v>
          </cell>
          <cell r="U1312" t="str">
            <v/>
          </cell>
          <cell r="V1312">
            <v>99</v>
          </cell>
          <cell r="W1312" t="str">
            <v>Annalene Conde Jun 27, 2025 11:53 AM</v>
          </cell>
          <cell r="X1312" t="str">
            <v/>
          </cell>
          <cell r="Y1312">
            <v>45833</v>
          </cell>
          <cell r="Z1312" t="str">
            <v/>
          </cell>
          <cell r="AA1312">
            <v>45833</v>
          </cell>
          <cell r="AB1312" t="str">
            <v>Jayme Truong Jun 25, 2025 11:45 AM</v>
          </cell>
          <cell r="AC1312">
            <v>45833</v>
          </cell>
          <cell r="AD1312" t="str">
            <v/>
          </cell>
          <cell r="AE1312" t="str">
            <v/>
          </cell>
          <cell r="AF1312" t="str">
            <v/>
          </cell>
          <cell r="AG1312">
            <v>45835</v>
          </cell>
          <cell r="AH1312" t="str">
            <v/>
          </cell>
          <cell r="AI1312" t="str">
            <v/>
          </cell>
        </row>
        <row r="1313">
          <cell r="C1313" t="str">
            <v>4500724663 parts</v>
          </cell>
          <cell r="D1313" t="str">
            <v/>
          </cell>
          <cell r="E1313" t="str">
            <v/>
          </cell>
          <cell r="F1313" t="str">
            <v>Windsor Final</v>
          </cell>
          <cell r="G1313" t="str">
            <v>Windsor Collected</v>
          </cell>
          <cell r="H1313" t="str">
            <v>No</v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N1313" t="str">
            <v/>
          </cell>
          <cell r="O1313" t="str">
            <v/>
          </cell>
          <cell r="P1313" t="str">
            <v/>
          </cell>
          <cell r="Q1313" t="str">
            <v/>
          </cell>
          <cell r="R1313" t="str">
            <v/>
          </cell>
          <cell r="S1313" t="str">
            <v/>
          </cell>
          <cell r="T1313" t="str">
            <v>https://panda-windows-and-doors.monday.com/protected_static/21046287/resources/2228716422/Print data.PDF</v>
          </cell>
          <cell r="U1313" t="str">
            <v/>
          </cell>
          <cell r="V1313">
            <v>347.5</v>
          </cell>
          <cell r="W1313" t="str">
            <v>Annalene Conde Jul 1, 2025 7:56 AM</v>
          </cell>
          <cell r="X1313" t="str">
            <v/>
          </cell>
          <cell r="Y1313">
            <v>45833</v>
          </cell>
          <cell r="Z1313" t="str">
            <v/>
          </cell>
          <cell r="AA1313">
            <v>45833</v>
          </cell>
          <cell r="AB1313" t="str">
            <v>Jayme Truong Jun 25, 2025 11:45 AM</v>
          </cell>
          <cell r="AC1313">
            <v>45833</v>
          </cell>
          <cell r="AD1313" t="str">
            <v/>
          </cell>
          <cell r="AE1313" t="str">
            <v/>
          </cell>
          <cell r="AF1313" t="str">
            <v/>
          </cell>
          <cell r="AG1313">
            <v>45839</v>
          </cell>
          <cell r="AH1313" t="str">
            <v/>
          </cell>
          <cell r="AI1313" t="str">
            <v/>
          </cell>
        </row>
        <row r="1314">
          <cell r="C1314">
            <v>4500703605</v>
          </cell>
          <cell r="D1314" t="str">
            <v/>
          </cell>
          <cell r="E1314" t="str">
            <v/>
          </cell>
          <cell r="F1314" t="str">
            <v>Windsor Final</v>
          </cell>
          <cell r="G1314" t="str">
            <v>Windsor Collected</v>
          </cell>
          <cell r="H1314" t="str">
            <v>No</v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M1314" t="str">
            <v/>
          </cell>
          <cell r="N1314" t="str">
            <v>https://panda-windows-and-doors.monday.com/protected_static/21046287/resources/2074374793/4500703605 Deposit Invoice.pdf</v>
          </cell>
          <cell r="O1314" t="str">
            <v/>
          </cell>
          <cell r="P1314" t="str">
            <v/>
          </cell>
          <cell r="Q1314" t="str">
            <v/>
          </cell>
          <cell r="R1314" t="str">
            <v/>
          </cell>
          <cell r="S1314" t="str">
            <v/>
          </cell>
          <cell r="T1314" t="str">
            <v>https://panda-windows-and-doors.monday.com/protected_static/21046287/resources/2072523514/Print data.PDF</v>
          </cell>
          <cell r="U1314">
            <v>0</v>
          </cell>
          <cell r="V1314">
            <v>5014.88</v>
          </cell>
          <cell r="W1314" t="str">
            <v>Annalene Conde Jul 9, 2025 11:28 AM</v>
          </cell>
          <cell r="X1314" t="str">
            <v/>
          </cell>
          <cell r="Y1314">
            <v>45756</v>
          </cell>
          <cell r="Z1314" t="str">
            <v/>
          </cell>
          <cell r="AA1314">
            <v>45818</v>
          </cell>
          <cell r="AB1314" t="str">
            <v>Jayme Truong Apr 9, 2025 2:23 PM</v>
          </cell>
          <cell r="AC1314">
            <v>45818</v>
          </cell>
          <cell r="AD1314" t="str">
            <v/>
          </cell>
          <cell r="AE1314" t="str">
            <v/>
          </cell>
          <cell r="AF1314">
            <v>45818</v>
          </cell>
          <cell r="AG1314">
            <v>45847</v>
          </cell>
          <cell r="AH1314" t="str">
            <v/>
          </cell>
          <cell r="AI1314" t="str">
            <v/>
          </cell>
        </row>
        <row r="1315">
          <cell r="C1315">
            <v>4500710935</v>
          </cell>
          <cell r="D1315" t="str">
            <v/>
          </cell>
          <cell r="E1315" t="str">
            <v/>
          </cell>
          <cell r="F1315" t="str">
            <v>Windsor Final</v>
          </cell>
          <cell r="G1315" t="str">
            <v>Windsor Collected</v>
          </cell>
          <cell r="H1315" t="str">
            <v>No</v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N1315" t="str">
            <v>https://panda-windows-and-doors.monday.com/protected_static/21046287/resources/2121295839/4500710935 Deposit Invoice.pdf</v>
          </cell>
          <cell r="O1315" t="str">
            <v/>
          </cell>
          <cell r="P1315" t="str">
            <v/>
          </cell>
          <cell r="Q1315" t="str">
            <v/>
          </cell>
          <cell r="R1315" t="str">
            <v/>
          </cell>
          <cell r="S1315" t="str">
            <v/>
          </cell>
          <cell r="T1315" t="str">
            <v>https://panda-windows-and-doors.monday.com/protected_static/21046287/resources/2120973807/Print data.PDF</v>
          </cell>
          <cell r="U1315" t="str">
            <v/>
          </cell>
          <cell r="V1315">
            <v>8079.2</v>
          </cell>
          <cell r="W1315" t="str">
            <v>Elizabet Lopez Jul 9, 2025 11:29 AM</v>
          </cell>
          <cell r="X1315" t="str">
            <v/>
          </cell>
          <cell r="Y1315">
            <v>45782</v>
          </cell>
          <cell r="Z1315" t="str">
            <v/>
          </cell>
          <cell r="AA1315">
            <v>45833</v>
          </cell>
          <cell r="AB1315" t="str">
            <v>Jayme Truong May 5, 2025 2:21 PM</v>
          </cell>
          <cell r="AC1315">
            <v>45833</v>
          </cell>
          <cell r="AD1315" t="str">
            <v/>
          </cell>
          <cell r="AE1315" t="str">
            <v/>
          </cell>
          <cell r="AF1315" t="str">
            <v/>
          </cell>
          <cell r="AG1315">
            <v>45847</v>
          </cell>
          <cell r="AH1315" t="str">
            <v/>
          </cell>
          <cell r="AI1315" t="str">
            <v/>
          </cell>
        </row>
        <row r="1316">
          <cell r="C1316">
            <v>4500707669</v>
          </cell>
          <cell r="D1316" t="str">
            <v/>
          </cell>
          <cell r="E1316" t="str">
            <v/>
          </cell>
          <cell r="F1316" t="str">
            <v>Windsor Final</v>
          </cell>
          <cell r="G1316" t="str">
            <v>Windsor Collected</v>
          </cell>
          <cell r="H1316" t="str">
            <v>No</v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M1316" t="str">
            <v/>
          </cell>
          <cell r="N1316" t="str">
            <v>https://panda-windows-and-doors.monday.com/protected_static/21046287/resources/2098432033/4500707669 Deposit Invoice.pdf</v>
          </cell>
          <cell r="O1316" t="str">
            <v/>
          </cell>
          <cell r="P1316" t="str">
            <v/>
          </cell>
          <cell r="Q1316" t="str">
            <v/>
          </cell>
          <cell r="R1316" t="str">
            <v/>
          </cell>
          <cell r="S1316" t="str">
            <v/>
          </cell>
          <cell r="T1316" t="str">
            <v>https://panda-windows-and-doors.monday.com/protected_static/21046287/resources/2098242827/Print data.PDF</v>
          </cell>
          <cell r="U1316" t="str">
            <v/>
          </cell>
          <cell r="V1316">
            <v>9188.2000000000007</v>
          </cell>
          <cell r="W1316" t="str">
            <v>Jayme Truong Jul 9, 2025 11:30 AM</v>
          </cell>
          <cell r="X1316" t="str">
            <v/>
          </cell>
          <cell r="Y1316">
            <v>45770</v>
          </cell>
          <cell r="Z1316" t="str">
            <v/>
          </cell>
          <cell r="AA1316">
            <v>45825</v>
          </cell>
          <cell r="AB1316" t="str">
            <v>Jayme Truong Apr 23, 2025 1:48 PM</v>
          </cell>
          <cell r="AC1316">
            <v>45825</v>
          </cell>
          <cell r="AD1316" t="str">
            <v/>
          </cell>
          <cell r="AE1316" t="str">
            <v/>
          </cell>
          <cell r="AF1316">
            <v>45825</v>
          </cell>
          <cell r="AG1316">
            <v>45847</v>
          </cell>
          <cell r="AH1316" t="str">
            <v/>
          </cell>
          <cell r="AI1316" t="str">
            <v/>
          </cell>
        </row>
        <row r="1317">
          <cell r="C1317">
            <v>45007012864</v>
          </cell>
          <cell r="D1317" t="str">
            <v/>
          </cell>
          <cell r="E1317" t="str">
            <v/>
          </cell>
          <cell r="F1317" t="str">
            <v>Windsor Final</v>
          </cell>
          <cell r="G1317" t="str">
            <v>Windsor Collected</v>
          </cell>
          <cell r="H1317" t="str">
            <v>No</v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N1317" t="str">
            <v>https://panda-windows-and-doors.monday.com/protected_static/21046287/resources/2137764196/45007012864 Deposit Invoice.pdf</v>
          </cell>
          <cell r="O1317" t="str">
            <v/>
          </cell>
          <cell r="P1317" t="str">
            <v/>
          </cell>
          <cell r="Q1317" t="str">
            <v/>
          </cell>
          <cell r="R1317" t="str">
            <v/>
          </cell>
          <cell r="S1317" t="str">
            <v/>
          </cell>
          <cell r="T1317" t="str">
            <v>https://panda-windows-and-doors.monday.com/protected_static/21046287/resources/2134440228/Print data.PDF</v>
          </cell>
          <cell r="U1317">
            <v>0</v>
          </cell>
          <cell r="V1317">
            <v>18784.25</v>
          </cell>
          <cell r="W1317" t="str">
            <v>Jayme Truong Jul 9, 2025 11:31 AM</v>
          </cell>
          <cell r="X1317" t="str">
            <v/>
          </cell>
          <cell r="Y1317">
            <v>45789</v>
          </cell>
          <cell r="Z1317" t="str">
            <v/>
          </cell>
          <cell r="AA1317">
            <v>45835</v>
          </cell>
          <cell r="AB1317" t="str">
            <v>Jayme Truong May 12, 2025 8:52 AM</v>
          </cell>
          <cell r="AC1317">
            <v>45838</v>
          </cell>
          <cell r="AD1317" t="str">
            <v/>
          </cell>
          <cell r="AE1317" t="str">
            <v/>
          </cell>
          <cell r="AF1317">
            <v>45838</v>
          </cell>
          <cell r="AG1317">
            <v>45847</v>
          </cell>
          <cell r="AH1317" t="str">
            <v/>
          </cell>
          <cell r="AI1317" t="str">
            <v/>
          </cell>
        </row>
        <row r="1318">
          <cell r="C1318">
            <v>4500710936</v>
          </cell>
          <cell r="D1318" t="str">
            <v/>
          </cell>
          <cell r="E1318" t="str">
            <v/>
          </cell>
          <cell r="F1318" t="str">
            <v>Windsor Final</v>
          </cell>
          <cell r="G1318" t="str">
            <v>Windsor Collected</v>
          </cell>
          <cell r="H1318" t="str">
            <v>No</v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N1318" t="str">
            <v>https://panda-windows-and-doors.monday.com/protected_static/21046287/resources/2123771749/4500710936 Deposit Invoice.pdf</v>
          </cell>
          <cell r="O1318" t="str">
            <v/>
          </cell>
          <cell r="P1318" t="str">
            <v/>
          </cell>
          <cell r="Q1318" t="str">
            <v/>
          </cell>
          <cell r="R1318" t="str">
            <v/>
          </cell>
          <cell r="S1318" t="str">
            <v/>
          </cell>
          <cell r="T1318" t="str">
            <v>https://panda-windows-and-doors.monday.com/protected_static/21046287/resources/2122602374/Print data.PDF</v>
          </cell>
          <cell r="U1318">
            <v>0</v>
          </cell>
          <cell r="V1318">
            <v>7328</v>
          </cell>
          <cell r="W1318" t="str">
            <v>Annalene Conde Jul 11, 2025 11:32 AM</v>
          </cell>
          <cell r="X1318" t="str">
            <v/>
          </cell>
          <cell r="Y1318">
            <v>45783</v>
          </cell>
          <cell r="Z1318" t="str">
            <v/>
          </cell>
          <cell r="AA1318">
            <v>45833</v>
          </cell>
          <cell r="AB1318" t="str">
            <v>Jayme Truong May 6, 2025 8:33 AM</v>
          </cell>
          <cell r="AC1318">
            <v>45833</v>
          </cell>
          <cell r="AD1318" t="str">
            <v/>
          </cell>
          <cell r="AE1318" t="str">
            <v/>
          </cell>
          <cell r="AF1318">
            <v>45833</v>
          </cell>
          <cell r="AG1318">
            <v>45849</v>
          </cell>
          <cell r="AH1318" t="str">
            <v/>
          </cell>
          <cell r="AI1318" t="str">
            <v/>
          </cell>
        </row>
        <row r="1319">
          <cell r="C1319">
            <v>4500708548</v>
          </cell>
          <cell r="D1319" t="str">
            <v/>
          </cell>
          <cell r="E1319" t="str">
            <v/>
          </cell>
          <cell r="F1319" t="str">
            <v>Windsor Final</v>
          </cell>
          <cell r="G1319" t="str">
            <v>Windsor Collected</v>
          </cell>
          <cell r="H1319" t="str">
            <v>No</v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N1319" t="str">
            <v>https://panda-windows-and-doors.monday.com/protected_static/21046287/resources/2106100809/4500708548 Deposit Invoice.pdf</v>
          </cell>
          <cell r="O1319" t="str">
            <v/>
          </cell>
          <cell r="P1319" t="str">
            <v/>
          </cell>
          <cell r="Q1319" t="str">
            <v/>
          </cell>
          <cell r="R1319" t="str">
            <v/>
          </cell>
          <cell r="S1319" t="str">
            <v/>
          </cell>
          <cell r="T1319" t="str">
            <v>https://panda-windows-and-doors.monday.com/protected_static/21046287/resources/2105726799/Print data.PDF</v>
          </cell>
          <cell r="U1319">
            <v>0</v>
          </cell>
          <cell r="V1319">
            <v>26120.67</v>
          </cell>
          <cell r="W1319" t="str">
            <v>Annalene Conde Jul 11, 2025 11:34 AM</v>
          </cell>
          <cell r="X1319" t="str">
            <v/>
          </cell>
          <cell r="Y1319">
            <v>45775</v>
          </cell>
          <cell r="Z1319" t="str">
            <v/>
          </cell>
          <cell r="AA1319">
            <v>45840</v>
          </cell>
          <cell r="AB1319" t="str">
            <v>Jayme Truong Apr 28, 2025 9:54 AM</v>
          </cell>
          <cell r="AC1319">
            <v>45840</v>
          </cell>
          <cell r="AD1319" t="str">
            <v/>
          </cell>
          <cell r="AE1319" t="str">
            <v/>
          </cell>
          <cell r="AF1319">
            <v>45840</v>
          </cell>
          <cell r="AG1319">
            <v>45849</v>
          </cell>
          <cell r="AH1319" t="str">
            <v/>
          </cell>
          <cell r="AI1319" t="str">
            <v/>
          </cell>
        </row>
        <row r="1320">
          <cell r="C1320" t="str">
            <v>4500729068 parts</v>
          </cell>
          <cell r="D1320" t="str">
            <v/>
          </cell>
          <cell r="E1320" t="str">
            <v/>
          </cell>
          <cell r="F1320" t="str">
            <v>Windsor Final</v>
          </cell>
          <cell r="G1320" t="str">
            <v>Windsor Collected</v>
          </cell>
          <cell r="H1320" t="str">
            <v>No</v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M1320" t="str">
            <v>No</v>
          </cell>
          <cell r="N1320" t="str">
            <v>https://panda-windows-and-doors.monday.com/protected_static/21046287/resources/2283633445/4500729068 Deposit Invoice.pdf</v>
          </cell>
          <cell r="O1320" t="str">
            <v/>
          </cell>
          <cell r="P1320" t="str">
            <v/>
          </cell>
          <cell r="Q1320" t="str">
            <v/>
          </cell>
          <cell r="R1320" t="str">
            <v/>
          </cell>
          <cell r="S1320" t="str">
            <v/>
          </cell>
          <cell r="T1320" t="str">
            <v>https://panda-windows-and-doors.monday.com/protected_static/21046287/resources/2283448861/Print data.PDF</v>
          </cell>
          <cell r="U1320" t="str">
            <v/>
          </cell>
          <cell r="V1320">
            <v>245</v>
          </cell>
          <cell r="W1320" t="str">
            <v>Annalene Conde Jul 15, 2025 2:33 PM</v>
          </cell>
          <cell r="X1320" t="str">
            <v/>
          </cell>
          <cell r="Y1320">
            <v>45849</v>
          </cell>
          <cell r="Z1320" t="str">
            <v/>
          </cell>
          <cell r="AA1320">
            <v>45849</v>
          </cell>
          <cell r="AB1320" t="str">
            <v>Jayme Truong Jul 11, 2025 12:04 PM</v>
          </cell>
          <cell r="AC1320">
            <v>45849</v>
          </cell>
          <cell r="AD1320" t="str">
            <v/>
          </cell>
          <cell r="AE1320" t="str">
            <v/>
          </cell>
          <cell r="AF1320">
            <v>45849</v>
          </cell>
          <cell r="AG1320">
            <v>45853</v>
          </cell>
          <cell r="AH1320" t="str">
            <v/>
          </cell>
          <cell r="AI1320" t="str">
            <v/>
          </cell>
        </row>
        <row r="1321">
          <cell r="C1321">
            <v>4500712865</v>
          </cell>
          <cell r="D1321" t="str">
            <v/>
          </cell>
          <cell r="E1321" t="str">
            <v/>
          </cell>
          <cell r="F1321" t="str">
            <v>Windsor Final</v>
          </cell>
          <cell r="G1321" t="str">
            <v>Windsor Collected</v>
          </cell>
          <cell r="H1321" t="str">
            <v>No</v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M1321" t="str">
            <v/>
          </cell>
          <cell r="N1321" t="str">
            <v>https://panda-windows-and-doors.monday.com/protected_static/21046287/resources/2137561548/4500712865 Deposit Invoice.pdf</v>
          </cell>
          <cell r="O1321" t="str">
            <v/>
          </cell>
          <cell r="P1321" t="str">
            <v/>
          </cell>
          <cell r="Q1321" t="str">
            <v/>
          </cell>
          <cell r="R1321" t="str">
            <v/>
          </cell>
          <cell r="S1321" t="str">
            <v/>
          </cell>
          <cell r="T1321" t="str">
            <v>https://panda-windows-and-doors.monday.com/protected_static/21046287/resources/2134932179/Print data.PDF</v>
          </cell>
          <cell r="U1321" t="str">
            <v/>
          </cell>
          <cell r="V1321">
            <v>3508.54</v>
          </cell>
          <cell r="W1321" t="str">
            <v>Annalene Conde Jul 21, 2025 10:30 AM</v>
          </cell>
          <cell r="X1321" t="str">
            <v/>
          </cell>
          <cell r="Y1321">
            <v>45789</v>
          </cell>
          <cell r="Z1321" t="str">
            <v/>
          </cell>
          <cell r="AA1321">
            <v>45835</v>
          </cell>
          <cell r="AB1321" t="str">
            <v>Jayme Truong May 12, 2025 11:25 AM</v>
          </cell>
          <cell r="AC1321">
            <v>45838</v>
          </cell>
          <cell r="AD1321" t="str">
            <v/>
          </cell>
          <cell r="AE1321" t="str">
            <v/>
          </cell>
          <cell r="AF1321">
            <v>45838</v>
          </cell>
          <cell r="AG1321">
            <v>45859</v>
          </cell>
          <cell r="AH1321" t="str">
            <v/>
          </cell>
          <cell r="AI1321" t="str">
            <v/>
          </cell>
        </row>
        <row r="1322">
          <cell r="C1322">
            <v>4500722448</v>
          </cell>
          <cell r="D1322" t="str">
            <v/>
          </cell>
          <cell r="E1322" t="str">
            <v/>
          </cell>
          <cell r="F1322" t="str">
            <v>Windsor Final</v>
          </cell>
          <cell r="G1322" t="str">
            <v>Windsor Collected</v>
          </cell>
          <cell r="H1322" t="str">
            <v>No</v>
          </cell>
          <cell r="I1322" t="str">
            <v>Alex</v>
          </cell>
          <cell r="J1322" t="str">
            <v/>
          </cell>
          <cell r="K1322" t="str">
            <v/>
          </cell>
          <cell r="L1322" t="str">
            <v/>
          </cell>
          <cell r="M1322" t="str">
            <v>Yes</v>
          </cell>
          <cell r="N1322" t="str">
            <v>https://panda-windows-and-doors.monday.com/protected_static/21046287/resources/2210504826/4500722448 Deposit Invoice.pdf</v>
          </cell>
          <cell r="O1322" t="str">
            <v/>
          </cell>
          <cell r="P1322" t="str">
            <v/>
          </cell>
          <cell r="Q1322" t="str">
            <v/>
          </cell>
          <cell r="R1322" t="str">
            <v/>
          </cell>
          <cell r="S1322" t="str">
            <v/>
          </cell>
          <cell r="T1322" t="str">
            <v>https://panda-windows-and-doors.monday.com/protected_static/21046287/resources/2209020626/Print data.PDF</v>
          </cell>
          <cell r="U1322" t="str">
            <v/>
          </cell>
          <cell r="V1322">
            <v>10965.37</v>
          </cell>
          <cell r="W1322" t="str">
            <v>Jayme Truong Jul 23, 2025 11:11 AM</v>
          </cell>
          <cell r="X1322" t="str">
            <v/>
          </cell>
          <cell r="Y1322">
            <v>45824</v>
          </cell>
          <cell r="Z1322" t="str">
            <v/>
          </cell>
          <cell r="AA1322">
            <v>45854</v>
          </cell>
          <cell r="AB1322" t="str">
            <v>Jayme Truong Jun 16, 2025 3:33 PM</v>
          </cell>
          <cell r="AC1322">
            <v>45854</v>
          </cell>
          <cell r="AD1322" t="str">
            <v/>
          </cell>
          <cell r="AE1322" t="str">
            <v/>
          </cell>
          <cell r="AF1322">
            <v>45854</v>
          </cell>
          <cell r="AG1322">
            <v>45861</v>
          </cell>
          <cell r="AH1322" t="str">
            <v/>
          </cell>
          <cell r="AI1322" t="str">
            <v/>
          </cell>
        </row>
        <row r="1323">
          <cell r="C1323">
            <v>4500709668</v>
          </cell>
          <cell r="D1323" t="str">
            <v/>
          </cell>
          <cell r="E1323" t="str">
            <v/>
          </cell>
          <cell r="F1323" t="str">
            <v>Windsor Final</v>
          </cell>
          <cell r="G1323" t="str">
            <v>Windsor Collected</v>
          </cell>
          <cell r="H1323" t="str">
            <v>No</v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M1323" t="str">
            <v/>
          </cell>
          <cell r="N1323" t="str">
            <v>https://panda-windows-and-doors.monday.com/protected_static/21046287/resources/2111879129/4500709668 Deposit Invoice.pdf</v>
          </cell>
          <cell r="O1323" t="str">
            <v/>
          </cell>
          <cell r="P1323" t="str">
            <v/>
          </cell>
          <cell r="Q1323" t="str">
            <v/>
          </cell>
          <cell r="R1323" t="str">
            <v/>
          </cell>
          <cell r="S1323" t="str">
            <v/>
          </cell>
          <cell r="T1323" t="str">
            <v>https://panda-windows-and-doors.monday.com/protected_static/21046287/resources/2111614321/Print data.PDF</v>
          </cell>
          <cell r="U1323">
            <v>0</v>
          </cell>
          <cell r="V1323">
            <v>30248.02</v>
          </cell>
          <cell r="W1323" t="str">
            <v>Annalene Conde Jul 23, 2025 11:19 AM</v>
          </cell>
          <cell r="X1323" t="str">
            <v/>
          </cell>
          <cell r="Y1323">
            <v>45777</v>
          </cell>
          <cell r="Z1323" t="str">
            <v/>
          </cell>
          <cell r="AA1323">
            <v>45854</v>
          </cell>
          <cell r="AB1323" t="str">
            <v>Jayme Truong Apr 30, 2025 8:28 AM</v>
          </cell>
          <cell r="AC1323">
            <v>45854</v>
          </cell>
          <cell r="AD1323" t="str">
            <v/>
          </cell>
          <cell r="AE1323" t="str">
            <v/>
          </cell>
          <cell r="AF1323">
            <v>45854</v>
          </cell>
          <cell r="AG1323">
            <v>45861</v>
          </cell>
          <cell r="AH1323" t="str">
            <v/>
          </cell>
          <cell r="AI1323" t="str">
            <v/>
          </cell>
        </row>
        <row r="1324">
          <cell r="C1324">
            <v>4500694384</v>
          </cell>
          <cell r="D1324" t="str">
            <v/>
          </cell>
          <cell r="E1324" t="str">
            <v/>
          </cell>
          <cell r="F1324" t="str">
            <v>Windsor Final</v>
          </cell>
          <cell r="G1324" t="str">
            <v>Windsor Collected</v>
          </cell>
          <cell r="H1324" t="str">
            <v>No</v>
          </cell>
          <cell r="I1324" t="str">
            <v>Alex</v>
          </cell>
          <cell r="J1324" t="str">
            <v/>
          </cell>
          <cell r="K1324" t="str">
            <v/>
          </cell>
          <cell r="L1324" t="str">
            <v/>
          </cell>
          <cell r="M1324" t="str">
            <v>Yes</v>
          </cell>
          <cell r="N1324" t="str">
            <v>https://panda-windows-and-doors.monday.com/protected_static/21046287/resources/2009356470/9432.pdf</v>
          </cell>
          <cell r="O1324" t="str">
            <v/>
          </cell>
          <cell r="P1324" t="str">
            <v/>
          </cell>
          <cell r="Q1324" t="str">
            <v/>
          </cell>
          <cell r="R1324" t="str">
            <v/>
          </cell>
          <cell r="S1324" t="str">
            <v/>
          </cell>
          <cell r="T1324" t="str">
            <v>https://panda-windows-and-doors.monday.com/protected_static/21046287/resources/2009263980/Print data.PDF</v>
          </cell>
          <cell r="U1324">
            <v>0</v>
          </cell>
          <cell r="V1324">
            <v>162661</v>
          </cell>
          <cell r="W1324" t="str">
            <v>George Bails Jul 24, 2025 1:52 PM</v>
          </cell>
          <cell r="X1324" t="str">
            <v/>
          </cell>
          <cell r="Y1324">
            <v>45727</v>
          </cell>
          <cell r="Z1324" t="str">
            <v/>
          </cell>
          <cell r="AA1324">
            <v>45854</v>
          </cell>
          <cell r="AB1324" t="str">
            <v>Jayme Truong Mar 11, 2025 3:14 PM</v>
          </cell>
          <cell r="AC1324">
            <v>45854</v>
          </cell>
          <cell r="AD1324" t="str">
            <v/>
          </cell>
          <cell r="AE1324" t="str">
            <v/>
          </cell>
          <cell r="AF1324">
            <v>45854</v>
          </cell>
          <cell r="AG1324">
            <v>45862</v>
          </cell>
          <cell r="AH1324" t="str">
            <v/>
          </cell>
          <cell r="AI1324" t="str">
            <v/>
          </cell>
        </row>
        <row r="1325">
          <cell r="C1325">
            <v>4500710156</v>
          </cell>
          <cell r="D1325" t="str">
            <v/>
          </cell>
          <cell r="E1325" t="str">
            <v/>
          </cell>
          <cell r="F1325" t="str">
            <v>Windsor Final</v>
          </cell>
          <cell r="G1325" t="str">
            <v>Windsor Collected</v>
          </cell>
          <cell r="H1325" t="str">
            <v>No</v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N1325" t="str">
            <v>https://panda-windows-and-doors.monday.com/protected_static/21046287/resources/2115125449/4500710156 Deposit invoice.pdf</v>
          </cell>
          <cell r="O1325" t="str">
            <v/>
          </cell>
          <cell r="P1325" t="str">
            <v/>
          </cell>
          <cell r="Q1325" t="str">
            <v/>
          </cell>
          <cell r="R1325" t="str">
            <v/>
          </cell>
          <cell r="S1325" t="str">
            <v/>
          </cell>
          <cell r="T1325" t="str">
            <v>https://panda-windows-and-doors.monday.com/protected_static/21046287/resources/2115008256/Print data.PDF</v>
          </cell>
          <cell r="U1325">
            <v>0</v>
          </cell>
          <cell r="V1325">
            <v>11681.76</v>
          </cell>
          <cell r="W1325" t="str">
            <v>Annalene Conde Jul 30, 2025 12:48 PM</v>
          </cell>
          <cell r="X1325" t="str">
            <v/>
          </cell>
          <cell r="Y1325">
            <v>45778</v>
          </cell>
          <cell r="Z1325" t="str">
            <v/>
          </cell>
          <cell r="AA1325">
            <v>45854</v>
          </cell>
          <cell r="AB1325" t="str">
            <v>Jayme Truong May 1, 2025 2:29 PM</v>
          </cell>
          <cell r="AC1325">
            <v>45854</v>
          </cell>
          <cell r="AD1325" t="str">
            <v/>
          </cell>
          <cell r="AE1325" t="str">
            <v/>
          </cell>
          <cell r="AF1325">
            <v>45854</v>
          </cell>
          <cell r="AG1325">
            <v>45868</v>
          </cell>
          <cell r="AH1325" t="str">
            <v/>
          </cell>
          <cell r="AI1325" t="str">
            <v/>
          </cell>
        </row>
        <row r="1326">
          <cell r="C1326">
            <v>4500728308</v>
          </cell>
          <cell r="D1326" t="str">
            <v/>
          </cell>
          <cell r="E1326" t="str">
            <v/>
          </cell>
          <cell r="F1326" t="str">
            <v>Windsor Final</v>
          </cell>
          <cell r="G1326" t="str">
            <v>Windsor Collected</v>
          </cell>
          <cell r="H1326" t="str">
            <v>No</v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M1326" t="str">
            <v>No</v>
          </cell>
          <cell r="N1326" t="str">
            <v>https://panda-windows-and-doors.monday.com/protected_static/21046287/resources/2309045132/4500728308 Deposit Invoice.pdf</v>
          </cell>
          <cell r="O1326" t="str">
            <v/>
          </cell>
          <cell r="P1326" t="str">
            <v/>
          </cell>
          <cell r="Q1326" t="str">
            <v/>
          </cell>
          <cell r="R1326" t="str">
            <v/>
          </cell>
          <cell r="S1326" t="str">
            <v/>
          </cell>
          <cell r="T1326" t="str">
            <v>https://panda-windows-and-doors.monday.com/protected_static/21046287/resources/2306732400/Print data.PDF</v>
          </cell>
          <cell r="U1326" t="str">
            <v/>
          </cell>
          <cell r="V1326">
            <v>760</v>
          </cell>
          <cell r="W1326" t="str">
            <v>Jayme Truong Jul 30, 2025 12:57 PM</v>
          </cell>
          <cell r="X1326" t="str">
            <v/>
          </cell>
          <cell r="Y1326">
            <v>45861</v>
          </cell>
          <cell r="Z1326" t="str">
            <v/>
          </cell>
          <cell r="AA1326">
            <v>45861</v>
          </cell>
          <cell r="AB1326" t="str">
            <v>Jayme Truong Jul 23, 2025 11:37 AM</v>
          </cell>
          <cell r="AC1326">
            <v>45862</v>
          </cell>
          <cell r="AD1326" t="str">
            <v/>
          </cell>
          <cell r="AE1326" t="str">
            <v/>
          </cell>
          <cell r="AF1326">
            <v>45862</v>
          </cell>
          <cell r="AG1326">
            <v>45868</v>
          </cell>
          <cell r="AH1326" t="str">
            <v/>
          </cell>
          <cell r="AI1326" t="str">
            <v/>
          </cell>
        </row>
        <row r="1327">
          <cell r="C1327" t="str">
            <v>4500732370 parts</v>
          </cell>
          <cell r="D1327" t="str">
            <v/>
          </cell>
          <cell r="E1327" t="str">
            <v/>
          </cell>
          <cell r="F1327" t="str">
            <v>Windsor Final</v>
          </cell>
          <cell r="G1327" t="str">
            <v>Windsor Collected</v>
          </cell>
          <cell r="H1327" t="str">
            <v>No</v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M1327" t="str">
            <v>No</v>
          </cell>
          <cell r="N1327" t="str">
            <v/>
          </cell>
          <cell r="O1327" t="str">
            <v/>
          </cell>
          <cell r="P1327" t="str">
            <v/>
          </cell>
          <cell r="Q1327" t="str">
            <v/>
          </cell>
          <cell r="R1327" t="str">
            <v/>
          </cell>
          <cell r="S1327" t="str">
            <v/>
          </cell>
          <cell r="T1327" t="str">
            <v>https://panda-windows-and-doors.monday.com/protected_static/21046287/resources/2311980997/Print data.PDF</v>
          </cell>
          <cell r="U1327" t="str">
            <v/>
          </cell>
          <cell r="V1327" t="str">
            <v/>
          </cell>
          <cell r="W1327" t="str">
            <v>Jayme Truong Jul 30, 2025 1:01 PM</v>
          </cell>
          <cell r="X1327" t="str">
            <v/>
          </cell>
          <cell r="Y1327">
            <v>45863</v>
          </cell>
          <cell r="Z1327" t="str">
            <v/>
          </cell>
          <cell r="AA1327">
            <v>45863</v>
          </cell>
          <cell r="AB1327" t="str">
            <v>Jayme Truong Jul 25, 2025 11:34 AM</v>
          </cell>
          <cell r="AC1327">
            <v>45863</v>
          </cell>
          <cell r="AD1327" t="str">
            <v/>
          </cell>
          <cell r="AE1327" t="str">
            <v/>
          </cell>
          <cell r="AF1327">
            <v>45863</v>
          </cell>
          <cell r="AG1327">
            <v>45868</v>
          </cell>
          <cell r="AH1327" t="str">
            <v/>
          </cell>
          <cell r="AI1327" t="str">
            <v/>
          </cell>
        </row>
        <row r="1328">
          <cell r="C1328">
            <v>4500734255</v>
          </cell>
          <cell r="D1328" t="str">
            <v/>
          </cell>
          <cell r="E1328" t="str">
            <v/>
          </cell>
          <cell r="F1328" t="str">
            <v>Windsor Final</v>
          </cell>
          <cell r="G1328" t="str">
            <v>Windsor Collected</v>
          </cell>
          <cell r="H1328" t="str">
            <v>No</v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M1328" t="str">
            <v>No</v>
          </cell>
          <cell r="N1328" t="str">
            <v>https://panda-windows-and-doors.monday.com/protected_static/21046287/resources/2331301627/4500734255 Deposit Invoice.pdf</v>
          </cell>
          <cell r="O1328" t="str">
            <v/>
          </cell>
          <cell r="P1328" t="str">
            <v/>
          </cell>
          <cell r="Q1328" t="str">
            <v/>
          </cell>
          <cell r="R1328" t="str">
            <v/>
          </cell>
          <cell r="S1328" t="str">
            <v/>
          </cell>
          <cell r="T1328" t="str">
            <v>https://panda-windows-and-doors.monday.com/protected_static/21046287/resources/2330405558/Print data.PDF</v>
          </cell>
          <cell r="U1328" t="str">
            <v/>
          </cell>
          <cell r="V1328">
            <v>144</v>
          </cell>
          <cell r="W1328" t="str">
            <v>Annalene Conde Aug 7, 2025 2:23 PM</v>
          </cell>
          <cell r="X1328" t="str">
            <v/>
          </cell>
          <cell r="Y1328">
            <v>45873</v>
          </cell>
          <cell r="Z1328" t="str">
            <v/>
          </cell>
          <cell r="AA1328">
            <v>45873</v>
          </cell>
          <cell r="AB1328" t="str">
            <v>Jayme Truong Aug 4, 2025 9:55 AM</v>
          </cell>
          <cell r="AC1328">
            <v>45873</v>
          </cell>
          <cell r="AD1328" t="str">
            <v/>
          </cell>
          <cell r="AE1328" t="str">
            <v/>
          </cell>
          <cell r="AF1328">
            <v>45873</v>
          </cell>
          <cell r="AG1328">
            <v>45876</v>
          </cell>
          <cell r="AH1328" t="str">
            <v/>
          </cell>
          <cell r="AI1328" t="str">
            <v/>
          </cell>
        </row>
        <row r="1329">
          <cell r="C1329">
            <v>4500713092</v>
          </cell>
          <cell r="D1329" t="str">
            <v/>
          </cell>
          <cell r="E1329" t="str">
            <v/>
          </cell>
          <cell r="F1329" t="str">
            <v>Windsor Final</v>
          </cell>
          <cell r="G1329" t="str">
            <v>Windsor Collected</v>
          </cell>
          <cell r="H1329" t="str">
            <v>No</v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M1329" t="str">
            <v/>
          </cell>
          <cell r="N1329" t="str">
            <v>https://panda-windows-and-doors.monday.com/protected_static/21046287/resources/2140775149/4500713092 Deposit Invoice.pdf</v>
          </cell>
          <cell r="O1329" t="str">
            <v/>
          </cell>
          <cell r="P1329" t="str">
            <v/>
          </cell>
          <cell r="Q1329" t="str">
            <v/>
          </cell>
          <cell r="R1329" t="str">
            <v/>
          </cell>
          <cell r="S1329" t="str">
            <v/>
          </cell>
          <cell r="T1329" t="str">
            <v>https://panda-windows-and-doors.monday.com/protected_static/21046287/resources/2140229933/Print data.PDF</v>
          </cell>
          <cell r="U1329" t="str">
            <v/>
          </cell>
          <cell r="V1329">
            <v>17871.490000000002</v>
          </cell>
          <cell r="W1329" t="str">
            <v>Annalene Conde Aug 8, 2025 2:20 PM</v>
          </cell>
          <cell r="X1329" t="str">
            <v/>
          </cell>
          <cell r="Y1329">
            <v>45791</v>
          </cell>
          <cell r="Z1329" t="str">
            <v/>
          </cell>
          <cell r="AA1329">
            <v>45868</v>
          </cell>
          <cell r="AB1329" t="str">
            <v>Jayme Truong May 14, 2025 8:31 AM</v>
          </cell>
          <cell r="AC1329">
            <v>45868</v>
          </cell>
          <cell r="AD1329" t="str">
            <v/>
          </cell>
          <cell r="AE1329" t="str">
            <v/>
          </cell>
          <cell r="AF1329">
            <v>45868</v>
          </cell>
          <cell r="AG1329">
            <v>45877</v>
          </cell>
          <cell r="AH1329" t="str">
            <v/>
          </cell>
          <cell r="AI1329" t="str">
            <v/>
          </cell>
        </row>
        <row r="1330">
          <cell r="C1330" t="str">
            <v>4500728443 Glass</v>
          </cell>
          <cell r="D1330" t="str">
            <v/>
          </cell>
          <cell r="E1330" t="str">
            <v/>
          </cell>
          <cell r="F1330" t="str">
            <v>Windsor Final</v>
          </cell>
          <cell r="G1330" t="str">
            <v>Windsor Collected</v>
          </cell>
          <cell r="H1330" t="str">
            <v>No</v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M1330" t="str">
            <v>Yes</v>
          </cell>
          <cell r="N1330" t="str">
            <v/>
          </cell>
          <cell r="O1330" t="str">
            <v/>
          </cell>
          <cell r="P1330" t="str">
            <v/>
          </cell>
          <cell r="Q1330" t="str">
            <v/>
          </cell>
          <cell r="R1330" t="str">
            <v/>
          </cell>
          <cell r="S1330" t="str">
            <v/>
          </cell>
          <cell r="T1330" t="str">
            <v>https://panda-windows-and-doors.monday.com/protected_static/21046287/resources/2334155272/Print data.PDF</v>
          </cell>
          <cell r="U1330" t="str">
            <v/>
          </cell>
          <cell r="V1330" t="str">
            <v/>
          </cell>
          <cell r="W1330" t="str">
            <v>Annalene Conde Aug 8, 2025 2:21 PM</v>
          </cell>
          <cell r="X1330" t="str">
            <v/>
          </cell>
          <cell r="Y1330">
            <v>45853</v>
          </cell>
          <cell r="Z1330" t="str">
            <v/>
          </cell>
          <cell r="AA1330">
            <v>45874</v>
          </cell>
          <cell r="AB1330" t="str">
            <v>Jayme Truong Jul 10, 2025 8:50 AM</v>
          </cell>
          <cell r="AC1330">
            <v>45874</v>
          </cell>
          <cell r="AD1330" t="str">
            <v/>
          </cell>
          <cell r="AE1330" t="str">
            <v/>
          </cell>
          <cell r="AF1330">
            <v>45874</v>
          </cell>
          <cell r="AG1330">
            <v>45877</v>
          </cell>
          <cell r="AH1330" t="str">
            <v/>
          </cell>
          <cell r="AI1330" t="str">
            <v/>
          </cell>
        </row>
        <row r="1331">
          <cell r="C1331" t="str">
            <v>4500735911 parts</v>
          </cell>
          <cell r="D1331" t="str">
            <v/>
          </cell>
          <cell r="E1331" t="str">
            <v/>
          </cell>
          <cell r="F1331" t="str">
            <v>Windsor Final</v>
          </cell>
          <cell r="G1331" t="str">
            <v>Windsor Collected</v>
          </cell>
          <cell r="H1331" t="str">
            <v>No</v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M1331" t="str">
            <v>No</v>
          </cell>
          <cell r="N1331" t="str">
            <v/>
          </cell>
          <cell r="O1331" t="str">
            <v/>
          </cell>
          <cell r="P1331" t="str">
            <v/>
          </cell>
          <cell r="Q1331" t="str">
            <v/>
          </cell>
          <cell r="R1331" t="str">
            <v/>
          </cell>
          <cell r="S1331" t="str">
            <v/>
          </cell>
          <cell r="T1331" t="str">
            <v>https://panda-windows-and-doors.monday.com/protected_static/21046287/resources/2338750399/Print data.PDF</v>
          </cell>
          <cell r="U1331" t="str">
            <v/>
          </cell>
          <cell r="V1331">
            <v>305</v>
          </cell>
          <cell r="W1331" t="str">
            <v>Annalene Conde Aug 11, 2025 3:45 PM</v>
          </cell>
          <cell r="X1331" t="str">
            <v/>
          </cell>
          <cell r="Y1331">
            <v>45876</v>
          </cell>
          <cell r="Z1331" t="str">
            <v/>
          </cell>
          <cell r="AA1331">
            <v>45876</v>
          </cell>
          <cell r="AB1331" t="str">
            <v>Jayme Truong Aug 7, 2025 9:52 AM</v>
          </cell>
          <cell r="AC1331">
            <v>45876</v>
          </cell>
          <cell r="AD1331" t="str">
            <v/>
          </cell>
          <cell r="AE1331" t="str">
            <v/>
          </cell>
          <cell r="AF1331">
            <v>45876</v>
          </cell>
          <cell r="AG1331">
            <v>45880</v>
          </cell>
          <cell r="AH1331" t="str">
            <v/>
          </cell>
          <cell r="AI1331" t="str">
            <v/>
          </cell>
        </row>
        <row r="1332">
          <cell r="C1332" t="str">
            <v>4500733930 parts</v>
          </cell>
          <cell r="D1332" t="str">
            <v/>
          </cell>
          <cell r="E1332" t="str">
            <v/>
          </cell>
          <cell r="F1332" t="str">
            <v>Windsor Final</v>
          </cell>
          <cell r="G1332" t="str">
            <v>Windsor Collected</v>
          </cell>
          <cell r="H1332" t="str">
            <v>No</v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M1332" t="str">
            <v>No</v>
          </cell>
          <cell r="N1332" t="str">
            <v>https://panda-windows-and-doors.monday.com/protected_static/21046287/resources/2333775731/4500733930 Deposit Invoice.pdf</v>
          </cell>
          <cell r="O1332" t="str">
            <v/>
          </cell>
          <cell r="P1332" t="str">
            <v/>
          </cell>
          <cell r="Q1332" t="str">
            <v/>
          </cell>
          <cell r="R1332" t="str">
            <v/>
          </cell>
          <cell r="S1332" t="str">
            <v/>
          </cell>
          <cell r="T1332" t="str">
            <v>https://panda-windows-and-doors.monday.com/protected_static/21046287/resources/2331471293/Print data.PDF</v>
          </cell>
          <cell r="U1332" t="str">
            <v/>
          </cell>
          <cell r="V1332">
            <v>380</v>
          </cell>
          <cell r="W1332" t="str">
            <v>Jayme Truong Aug 14, 2025 2:33 PM</v>
          </cell>
          <cell r="X1332" t="str">
            <v/>
          </cell>
          <cell r="Y1332">
            <v>45868</v>
          </cell>
          <cell r="Z1332" t="str">
            <v/>
          </cell>
          <cell r="AA1332">
            <v>45873</v>
          </cell>
          <cell r="AB1332" t="str">
            <v>Jayme Truong Jul 30, 2025 3:41 PM</v>
          </cell>
          <cell r="AC1332">
            <v>45874</v>
          </cell>
          <cell r="AD1332" t="str">
            <v/>
          </cell>
          <cell r="AE1332" t="str">
            <v/>
          </cell>
          <cell r="AF1332">
            <v>45874</v>
          </cell>
          <cell r="AG1332">
            <v>45883</v>
          </cell>
          <cell r="AH1332" t="str">
            <v/>
          </cell>
          <cell r="AI1332" t="str">
            <v/>
          </cell>
        </row>
        <row r="1333">
          <cell r="C1333" t="str">
            <v>4500736213 parts</v>
          </cell>
          <cell r="D1333" t="str">
            <v/>
          </cell>
          <cell r="E1333" t="str">
            <v/>
          </cell>
          <cell r="F1333" t="str">
            <v>Windsor Final</v>
          </cell>
          <cell r="G1333" t="str">
            <v>Windsor Collected</v>
          </cell>
          <cell r="H1333" t="str">
            <v>No</v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M1333" t="str">
            <v>No</v>
          </cell>
          <cell r="N1333" t="str">
            <v/>
          </cell>
          <cell r="O1333" t="str">
            <v/>
          </cell>
          <cell r="P1333" t="str">
            <v/>
          </cell>
          <cell r="Q1333" t="str">
            <v/>
          </cell>
          <cell r="R1333" t="str">
            <v/>
          </cell>
          <cell r="S1333" t="str">
            <v/>
          </cell>
          <cell r="T1333" t="str">
            <v>https://panda-windows-and-doors.monday.com/protected_static/21046287/resources/2338772966/Print data.PDF</v>
          </cell>
          <cell r="U1333" t="str">
            <v/>
          </cell>
          <cell r="V1333">
            <v>120</v>
          </cell>
          <cell r="W1333" t="str">
            <v>Jayme Truong Aug 14, 2025 2:35 PM</v>
          </cell>
          <cell r="X1333" t="str">
            <v/>
          </cell>
          <cell r="Y1333">
            <v>45876</v>
          </cell>
          <cell r="Z1333" t="str">
            <v/>
          </cell>
          <cell r="AA1333">
            <v>45876</v>
          </cell>
          <cell r="AB1333" t="str">
            <v>Jayme Truong Aug 7, 2025 9:59 AM</v>
          </cell>
          <cell r="AC1333">
            <v>45876</v>
          </cell>
          <cell r="AD1333" t="str">
            <v/>
          </cell>
          <cell r="AE1333" t="str">
            <v/>
          </cell>
          <cell r="AF1333">
            <v>45876</v>
          </cell>
          <cell r="AG1333">
            <v>45883</v>
          </cell>
          <cell r="AH1333" t="str">
            <v/>
          </cell>
          <cell r="AI1333" t="str">
            <v/>
          </cell>
        </row>
        <row r="1334">
          <cell r="C1334">
            <v>4500715690</v>
          </cell>
          <cell r="D1334" t="str">
            <v/>
          </cell>
          <cell r="E1334" t="str">
            <v/>
          </cell>
          <cell r="F1334" t="str">
            <v>Windsor Final</v>
          </cell>
          <cell r="G1334" t="str">
            <v>Windsor Collected</v>
          </cell>
          <cell r="H1334" t="str">
            <v>No</v>
          </cell>
          <cell r="I1334" t="str">
            <v>Alex</v>
          </cell>
          <cell r="J1334" t="str">
            <v/>
          </cell>
          <cell r="K1334" t="str">
            <v/>
          </cell>
          <cell r="L1334" t="str">
            <v/>
          </cell>
          <cell r="M1334" t="str">
            <v>Yes</v>
          </cell>
          <cell r="N1334" t="str">
            <v>https://panda-windows-and-doors.monday.com/protected_static/21046287/resources/2156026677/45007015690 deposit invoice.pdf</v>
          </cell>
          <cell r="O1334" t="str">
            <v/>
          </cell>
          <cell r="P1334" t="str">
            <v/>
          </cell>
          <cell r="Q1334" t="str">
            <v/>
          </cell>
          <cell r="R1334" t="str">
            <v/>
          </cell>
          <cell r="S1334" t="str">
            <v/>
          </cell>
          <cell r="T1334" t="str">
            <v>https://panda-windows-and-doors.monday.com/protected_static/21046287/resources/2155373136/Print data.PDF</v>
          </cell>
          <cell r="U1334" t="str">
            <v/>
          </cell>
          <cell r="V1334">
            <v>50421.23</v>
          </cell>
          <cell r="W1334" t="str">
            <v>Annalene Conde Aug 14, 2025 2:35 PM</v>
          </cell>
          <cell r="X1334" t="str">
            <v/>
          </cell>
          <cell r="Y1334">
            <v>45798</v>
          </cell>
          <cell r="Z1334" t="str">
            <v/>
          </cell>
          <cell r="AA1334">
            <v>45876</v>
          </cell>
          <cell r="AB1334" t="str">
            <v>Jayme Truong May 21, 2025 8:27 AM</v>
          </cell>
          <cell r="AC1334">
            <v>45876</v>
          </cell>
          <cell r="AD1334" t="str">
            <v/>
          </cell>
          <cell r="AE1334" t="str">
            <v/>
          </cell>
          <cell r="AF1334">
            <v>45876</v>
          </cell>
          <cell r="AG1334">
            <v>45883</v>
          </cell>
          <cell r="AH1334" t="str">
            <v/>
          </cell>
          <cell r="AI1334" t="str">
            <v/>
          </cell>
        </row>
        <row r="1335">
          <cell r="C1335">
            <v>4500724635</v>
          </cell>
          <cell r="D1335" t="str">
            <v/>
          </cell>
          <cell r="E1335" t="str">
            <v/>
          </cell>
          <cell r="F1335" t="str">
            <v>Windsor Final</v>
          </cell>
          <cell r="G1335" t="str">
            <v>Windsor Collected</v>
          </cell>
          <cell r="H1335" t="str">
            <v>No</v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N1335" t="str">
            <v>https://panda-windows-and-doors.monday.com/protected_static/21046287/resources/2228482086/4500724635 Deposit Invoice.pdf</v>
          </cell>
          <cell r="O1335" t="str">
            <v/>
          </cell>
          <cell r="P1335" t="str">
            <v/>
          </cell>
          <cell r="Q1335" t="str">
            <v/>
          </cell>
          <cell r="R1335" t="str">
            <v/>
          </cell>
          <cell r="S1335" t="str">
            <v/>
          </cell>
          <cell r="T1335" t="str">
            <v>https://panda-windows-and-doors.monday.com/protected_static/21046287/resources/2226400932/Print data.PDF</v>
          </cell>
          <cell r="U1335" t="str">
            <v/>
          </cell>
          <cell r="V1335">
            <v>21277.86</v>
          </cell>
          <cell r="W1335" t="str">
            <v>George Bails Aug 31, 2025 1:36 PM</v>
          </cell>
          <cell r="X1335" t="str">
            <v/>
          </cell>
          <cell r="Y1335">
            <v>45832</v>
          </cell>
          <cell r="Z1335" t="str">
            <v/>
          </cell>
          <cell r="AA1335">
            <v>45887</v>
          </cell>
          <cell r="AB1335" t="str">
            <v>Jayme Truong Jun 24, 2025 2:06 PM</v>
          </cell>
          <cell r="AC1335">
            <v>45887</v>
          </cell>
          <cell r="AD1335" t="str">
            <v/>
          </cell>
          <cell r="AE1335" t="str">
            <v/>
          </cell>
          <cell r="AF1335">
            <v>45887</v>
          </cell>
          <cell r="AG1335">
            <v>45891</v>
          </cell>
          <cell r="AH1335" t="str">
            <v/>
          </cell>
          <cell r="AI1335" t="str">
            <v/>
          </cell>
        </row>
        <row r="1336">
          <cell r="C1336">
            <v>4500716878</v>
          </cell>
          <cell r="D1336" t="str">
            <v/>
          </cell>
          <cell r="E1336" t="str">
            <v/>
          </cell>
          <cell r="F1336" t="str">
            <v>Windsor Final</v>
          </cell>
          <cell r="G1336" t="str">
            <v>Windsor Collected</v>
          </cell>
          <cell r="H1336" t="str">
            <v>No</v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N1336" t="str">
            <v>https://panda-windows-and-doors.monday.com/protected_static/21046287/resources/2169175523/4500716878 Deposit Invoice.pdf</v>
          </cell>
          <cell r="O1336" t="str">
            <v/>
          </cell>
          <cell r="P1336" t="str">
            <v/>
          </cell>
          <cell r="Q1336" t="str">
            <v/>
          </cell>
          <cell r="R1336" t="str">
            <v/>
          </cell>
          <cell r="S1336" t="str">
            <v/>
          </cell>
          <cell r="T1336" t="str">
            <v>https://panda-windows-and-doors.monday.com/protected_static/21046287/resources/2168887491/Print data.PDF</v>
          </cell>
          <cell r="U1336" t="str">
            <v/>
          </cell>
          <cell r="V1336">
            <v>45997.87</v>
          </cell>
          <cell r="W1336" t="str">
            <v>George Bails Aug 31, 2025 1:32 PM</v>
          </cell>
          <cell r="X1336" t="str">
            <v/>
          </cell>
          <cell r="Y1336">
            <v>45805</v>
          </cell>
          <cell r="Z1336" t="str">
            <v/>
          </cell>
          <cell r="AA1336">
            <v>45887</v>
          </cell>
          <cell r="AB1336" t="str">
            <v>Jayme Truong May 28, 2025 10:30 AM</v>
          </cell>
          <cell r="AC1336">
            <v>45887</v>
          </cell>
          <cell r="AD1336" t="str">
            <v/>
          </cell>
          <cell r="AE1336" t="str">
            <v/>
          </cell>
          <cell r="AF1336">
            <v>45887</v>
          </cell>
          <cell r="AG1336">
            <v>45891</v>
          </cell>
          <cell r="AH1336" t="str">
            <v/>
          </cell>
          <cell r="AI1336" t="str">
            <v/>
          </cell>
        </row>
        <row r="1337">
          <cell r="C1337">
            <v>4500722019</v>
          </cell>
          <cell r="D1337" t="str">
            <v/>
          </cell>
          <cell r="E1337" t="str">
            <v/>
          </cell>
          <cell r="F1337" t="str">
            <v>Windsor Final</v>
          </cell>
          <cell r="G1337" t="str">
            <v>Windsor Collected</v>
          </cell>
          <cell r="H1337" t="str">
            <v>No</v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M1337" t="str">
            <v/>
          </cell>
          <cell r="N1337" t="str">
            <v>https://panda-windows-and-doors.monday.com/protected_static/21046287/resources/2204885669/4500722019 Deposit Invoice.pdf</v>
          </cell>
          <cell r="O1337" t="str">
            <v/>
          </cell>
          <cell r="P1337" t="str">
            <v/>
          </cell>
          <cell r="Q1337" t="str">
            <v/>
          </cell>
          <cell r="R1337" t="str">
            <v/>
          </cell>
          <cell r="S1337" t="str">
            <v/>
          </cell>
          <cell r="T1337" t="str">
            <v>https://panda-windows-and-doors.monday.com/protected_static/21046287/resources/2204617976/Print data.PDF</v>
          </cell>
          <cell r="U1337" t="str">
            <v/>
          </cell>
          <cell r="V1337">
            <v>5947.74</v>
          </cell>
          <cell r="W1337" t="str">
            <v>George Bails Aug 31, 2025 1:35 PM</v>
          </cell>
          <cell r="X1337" t="str">
            <v/>
          </cell>
          <cell r="Y1337">
            <v>45812</v>
          </cell>
          <cell r="Z1337" t="str">
            <v/>
          </cell>
          <cell r="AA1337">
            <v>45812</v>
          </cell>
          <cell r="AB1337" t="str">
            <v>Jayme Truong Jun 13, 2025 8:54 AM</v>
          </cell>
          <cell r="AC1337">
            <v>45812</v>
          </cell>
          <cell r="AD1337">
            <v>45875</v>
          </cell>
          <cell r="AE1337">
            <v>45887</v>
          </cell>
          <cell r="AF1337">
            <v>45887</v>
          </cell>
          <cell r="AG1337">
            <v>45891</v>
          </cell>
          <cell r="AH1337" t="str">
            <v/>
          </cell>
          <cell r="AI1337" t="str">
            <v/>
          </cell>
        </row>
        <row r="1338">
          <cell r="C1338" t="str">
            <v>4500735087 parts</v>
          </cell>
          <cell r="D1338" t="str">
            <v/>
          </cell>
          <cell r="E1338" t="str">
            <v/>
          </cell>
          <cell r="F1338" t="str">
            <v>Windsor Final</v>
          </cell>
          <cell r="G1338" t="str">
            <v>Windsor Collected</v>
          </cell>
          <cell r="H1338" t="str">
            <v>No</v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M1338" t="str">
            <v>No</v>
          </cell>
          <cell r="N1338" t="str">
            <v>https://panda-windows-and-doors.monday.com/protected_static/21046287/resources/2363518597/4500735087 Deposit Invoice.pdf</v>
          </cell>
          <cell r="O1338" t="str">
            <v/>
          </cell>
          <cell r="P1338" t="str">
            <v/>
          </cell>
          <cell r="Q1338" t="str">
            <v/>
          </cell>
          <cell r="R1338" t="str">
            <v/>
          </cell>
          <cell r="S1338" t="str">
            <v/>
          </cell>
          <cell r="T1338" t="str">
            <v>https://panda-windows-and-doors.monday.com/protected_static/21046287/resources/2363152383/Print data.PDF</v>
          </cell>
          <cell r="U1338" t="str">
            <v/>
          </cell>
          <cell r="V1338">
            <v>870</v>
          </cell>
          <cell r="W1338" t="str">
            <v>Annalene Conde Aug 22, 2025 3:46 PM</v>
          </cell>
          <cell r="X1338" t="str">
            <v/>
          </cell>
          <cell r="Y1338">
            <v>45888</v>
          </cell>
          <cell r="Z1338" t="str">
            <v/>
          </cell>
          <cell r="AA1338">
            <v>45888</v>
          </cell>
          <cell r="AB1338" t="str">
            <v>Jayme Truong Aug 19, 2025 2:21 PM</v>
          </cell>
          <cell r="AC1338">
            <v>45888</v>
          </cell>
          <cell r="AD1338" t="str">
            <v/>
          </cell>
          <cell r="AE1338" t="str">
            <v/>
          </cell>
          <cell r="AF1338">
            <v>45888</v>
          </cell>
          <cell r="AG1338">
            <v>45891</v>
          </cell>
          <cell r="AH1338" t="str">
            <v/>
          </cell>
          <cell r="AI1338" t="str">
            <v/>
          </cell>
        </row>
        <row r="1339">
          <cell r="C1339">
            <v>4500724643</v>
          </cell>
          <cell r="D1339" t="str">
            <v/>
          </cell>
          <cell r="E1339" t="str">
            <v/>
          </cell>
          <cell r="F1339" t="str">
            <v>Windsor Final</v>
          </cell>
          <cell r="G1339" t="str">
            <v>Windsor Collected</v>
          </cell>
          <cell r="H1339" t="str">
            <v>No</v>
          </cell>
          <cell r="I1339" t="str">
            <v>Alex</v>
          </cell>
          <cell r="J1339" t="str">
            <v/>
          </cell>
          <cell r="K1339" t="str">
            <v/>
          </cell>
          <cell r="L1339" t="str">
            <v/>
          </cell>
          <cell r="M1339" t="str">
            <v>Yes</v>
          </cell>
          <cell r="N1339" t="str">
            <v>https://panda-windows-and-doors.monday.com/protected_static/21046287/resources/2228535406/4500724643 Deposit Invoice.pdf</v>
          </cell>
          <cell r="O1339" t="str">
            <v/>
          </cell>
          <cell r="P1339" t="str">
            <v/>
          </cell>
          <cell r="Q1339" t="str">
            <v/>
          </cell>
          <cell r="R1339" t="str">
            <v/>
          </cell>
          <cell r="S1339" t="str">
            <v/>
          </cell>
          <cell r="T1339" t="str">
            <v>https://panda-windows-and-doors.monday.com/protected_static/21046287/resources/2226435875/Print data.PDF</v>
          </cell>
          <cell r="U1339" t="str">
            <v/>
          </cell>
          <cell r="V1339">
            <v>4865</v>
          </cell>
          <cell r="W1339" t="str">
            <v>George Bails Aug 29, 2025 9:39 AM</v>
          </cell>
          <cell r="X1339" t="str">
            <v/>
          </cell>
          <cell r="Y1339">
            <v>45832</v>
          </cell>
          <cell r="Z1339" t="str">
            <v/>
          </cell>
          <cell r="AA1339">
            <v>45889</v>
          </cell>
          <cell r="AB1339" t="str">
            <v>Jayme Truong Jun 24, 2025 2:17 PM</v>
          </cell>
          <cell r="AC1339">
            <v>45889</v>
          </cell>
          <cell r="AD1339" t="str">
            <v/>
          </cell>
          <cell r="AE1339" t="str">
            <v/>
          </cell>
          <cell r="AF1339">
            <v>45889</v>
          </cell>
          <cell r="AG1339">
            <v>45896</v>
          </cell>
          <cell r="AH1339" t="str">
            <v/>
          </cell>
          <cell r="AI1339" t="str">
            <v/>
          </cell>
        </row>
        <row r="1340">
          <cell r="C1340" t="str">
            <v>4500735401-S</v>
          </cell>
          <cell r="D1340" t="str">
            <v/>
          </cell>
          <cell r="E1340" t="str">
            <v/>
          </cell>
          <cell r="F1340" t="str">
            <v>Windsor Final</v>
          </cell>
          <cell r="G1340" t="str">
            <v>Windsor Collected</v>
          </cell>
          <cell r="H1340" t="str">
            <v>No</v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M1340" t="str">
            <v>No</v>
          </cell>
          <cell r="N1340" t="str">
            <v/>
          </cell>
          <cell r="O1340" t="str">
            <v/>
          </cell>
          <cell r="P1340" t="str">
            <v/>
          </cell>
          <cell r="Q1340" t="str">
            <v/>
          </cell>
          <cell r="R1340" t="str">
            <v/>
          </cell>
          <cell r="S1340" t="str">
            <v/>
          </cell>
          <cell r="T1340" t="str">
            <v>https://panda-windows-and-doors.monday.com/protected_static/21046287/resources/2368404807/Print data.PDF</v>
          </cell>
          <cell r="U1340" t="str">
            <v/>
          </cell>
          <cell r="V1340">
            <v>578</v>
          </cell>
          <cell r="W1340" t="str">
            <v>Annalene Conde Aug 27, 2025 2:57 PM</v>
          </cell>
          <cell r="X1340" t="str">
            <v/>
          </cell>
          <cell r="Y1340">
            <v>45890</v>
          </cell>
          <cell r="Z1340" t="str">
            <v/>
          </cell>
          <cell r="AA1340">
            <v>45890</v>
          </cell>
          <cell r="AB1340" t="str">
            <v>Jayme Truong Aug 21, 2025 10:43 AM</v>
          </cell>
          <cell r="AC1340">
            <v>45890</v>
          </cell>
          <cell r="AD1340" t="str">
            <v/>
          </cell>
          <cell r="AE1340" t="str">
            <v/>
          </cell>
          <cell r="AF1340">
            <v>45890</v>
          </cell>
          <cell r="AG1340">
            <v>45896</v>
          </cell>
          <cell r="AH1340" t="str">
            <v/>
          </cell>
          <cell r="AI1340" t="str">
            <v/>
          </cell>
        </row>
        <row r="1341">
          <cell r="C1341">
            <v>4500694326</v>
          </cell>
          <cell r="D1341" t="str">
            <v/>
          </cell>
          <cell r="E1341" t="str">
            <v/>
          </cell>
          <cell r="F1341" t="str">
            <v>Windsor Final</v>
          </cell>
          <cell r="G1341" t="str">
            <v>Windsor Collected</v>
          </cell>
          <cell r="H1341" t="str">
            <v>No</v>
          </cell>
          <cell r="I1341" t="str">
            <v>Alex</v>
          </cell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N1341" t="str">
            <v>https://panda-windows-and-doors.monday.com/protected_static/21046287/resources/2008242844/Wood Grain Sales Order 4500694326.pdf</v>
          </cell>
          <cell r="O1341" t="str">
            <v/>
          </cell>
          <cell r="P1341" t="str">
            <v/>
          </cell>
          <cell r="Q1341" t="str">
            <v/>
          </cell>
          <cell r="R1341" t="str">
            <v/>
          </cell>
          <cell r="S1341" t="str">
            <v/>
          </cell>
          <cell r="T1341" t="str">
            <v>https://panda-windows-and-doors.monday.com/protected_static/21046287/resources/2006257574/Print data.PDF</v>
          </cell>
          <cell r="U1341">
            <v>0</v>
          </cell>
          <cell r="V1341">
            <v>7625.72</v>
          </cell>
          <cell r="W1341" t="str">
            <v>Annalene Conde Aug 28, 2025 11:23 AM</v>
          </cell>
          <cell r="X1341" t="str">
            <v/>
          </cell>
          <cell r="Y1341">
            <v>45726</v>
          </cell>
          <cell r="Z1341" t="str">
            <v/>
          </cell>
          <cell r="AA1341">
            <v>45790</v>
          </cell>
          <cell r="AB1341" t="str">
            <v>Jayme Truong Mar 10, 2025 2:06 PM</v>
          </cell>
          <cell r="AC1341">
            <v>45790</v>
          </cell>
          <cell r="AD1341" t="str">
            <v/>
          </cell>
          <cell r="AE1341">
            <v>45790</v>
          </cell>
          <cell r="AF1341">
            <v>45790</v>
          </cell>
          <cell r="AG1341">
            <v>45897</v>
          </cell>
          <cell r="AH1341" t="str">
            <v/>
          </cell>
          <cell r="AI1341" t="str">
            <v/>
          </cell>
        </row>
        <row r="1342">
          <cell r="C1342">
            <v>4500725747</v>
          </cell>
          <cell r="D1342" t="str">
            <v/>
          </cell>
          <cell r="E1342" t="str">
            <v/>
          </cell>
          <cell r="F1342" t="str">
            <v>Windsor Final</v>
          </cell>
          <cell r="G1342" t="str">
            <v>Windsor Collected</v>
          </cell>
          <cell r="H1342" t="str">
            <v>No</v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M1342" t="str">
            <v>No</v>
          </cell>
          <cell r="N1342" t="str">
            <v>https://panda-windows-and-doors.monday.com/protected_static/21046287/resources/2309021056/4500725747 Deposit Invoice.pdf</v>
          </cell>
          <cell r="O1342" t="str">
            <v/>
          </cell>
          <cell r="P1342" t="str">
            <v/>
          </cell>
          <cell r="Q1342" t="str">
            <v/>
          </cell>
          <cell r="R1342" t="str">
            <v/>
          </cell>
          <cell r="S1342" t="str">
            <v/>
          </cell>
          <cell r="T1342" t="str">
            <v>https://panda-windows-and-doors.monday.com/protected_static/21046287/resources/2307370884/Print data.PDF</v>
          </cell>
          <cell r="U1342">
            <v>0</v>
          </cell>
          <cell r="V1342">
            <v>6614.9</v>
          </cell>
          <cell r="W1342" t="str">
            <v>George Bails Aug 31, 2025 1:37 PM</v>
          </cell>
          <cell r="X1342" t="str">
            <v/>
          </cell>
          <cell r="Y1342">
            <v>45861</v>
          </cell>
          <cell r="Z1342" t="str">
            <v/>
          </cell>
          <cell r="AA1342">
            <v>45861</v>
          </cell>
          <cell r="AB1342" t="str">
            <v>Jayme Truong Jul 23, 2025 2:49 PM</v>
          </cell>
          <cell r="AC1342">
            <v>-611577</v>
          </cell>
          <cell r="AD1342" t="str">
            <v/>
          </cell>
          <cell r="AE1342">
            <v>45884</v>
          </cell>
          <cell r="AF1342">
            <v>45884</v>
          </cell>
          <cell r="AG1342">
            <v>45897</v>
          </cell>
          <cell r="AH1342" t="str">
            <v/>
          </cell>
          <cell r="AI1342" t="str">
            <v/>
          </cell>
        </row>
        <row r="1343">
          <cell r="C1343">
            <v>4500716884</v>
          </cell>
          <cell r="D1343" t="str">
            <v/>
          </cell>
          <cell r="E1343" t="str">
            <v/>
          </cell>
          <cell r="F1343" t="str">
            <v>Windsor</v>
          </cell>
          <cell r="G1343" t="str">
            <v>Windsor Collected</v>
          </cell>
          <cell r="H1343" t="str">
            <v>No</v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N1343" t="str">
            <v>https://panda-windows-and-doors.monday.com/protected_static/21046287/resources/2169419437/4500716884 Deposit Invoice.pdf</v>
          </cell>
          <cell r="O1343" t="str">
            <v/>
          </cell>
          <cell r="P1343" t="str">
            <v/>
          </cell>
          <cell r="Q1343" t="str">
            <v/>
          </cell>
          <cell r="R1343" t="str">
            <v/>
          </cell>
          <cell r="S1343" t="str">
            <v/>
          </cell>
          <cell r="T1343" t="str">
            <v>https://panda-windows-and-doors.monday.com/protected_static/21046287/resources/2168872581/Print data.PDF</v>
          </cell>
          <cell r="U1343" t="str">
            <v/>
          </cell>
          <cell r="V1343">
            <v>74068.88</v>
          </cell>
          <cell r="W1343" t="str">
            <v>George Bails Aug 31, 2025 1:33 PM</v>
          </cell>
          <cell r="X1343" t="str">
            <v/>
          </cell>
          <cell r="Y1343">
            <v>45805</v>
          </cell>
          <cell r="Z1343" t="str">
            <v/>
          </cell>
          <cell r="AA1343">
            <v>45805</v>
          </cell>
          <cell r="AB1343" t="str">
            <v>Jayme Truong May 28, 2025 10:27 AM</v>
          </cell>
          <cell r="AC1343" t="str">
            <v/>
          </cell>
          <cell r="AD1343" t="str">
            <v/>
          </cell>
          <cell r="AE1343" t="str">
            <v/>
          </cell>
          <cell r="AF1343" t="str">
            <v/>
          </cell>
          <cell r="AG1343">
            <v>45898</v>
          </cell>
          <cell r="AH1343" t="str">
            <v/>
          </cell>
          <cell r="AI1343" t="str">
            <v/>
          </cell>
        </row>
        <row r="1344">
          <cell r="C1344">
            <v>4500727868</v>
          </cell>
          <cell r="D1344" t="str">
            <v/>
          </cell>
          <cell r="E1344" t="str">
            <v/>
          </cell>
          <cell r="F1344" t="str">
            <v>Windsor Final</v>
          </cell>
          <cell r="G1344" t="str">
            <v>Windsor Collected</v>
          </cell>
          <cell r="H1344" t="str">
            <v>No</v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M1344" t="str">
            <v>No</v>
          </cell>
          <cell r="N1344" t="str">
            <v>https://panda-windows-and-doors.monday.com/protected_static/21046287/resources/2275319016/4500727868 Deposit Invoice.pdf</v>
          </cell>
          <cell r="O1344" t="str">
            <v/>
          </cell>
          <cell r="P1344" t="str">
            <v/>
          </cell>
          <cell r="Q1344" t="str">
            <v/>
          </cell>
          <cell r="R1344" t="str">
            <v/>
          </cell>
          <cell r="S1344" t="str">
            <v/>
          </cell>
          <cell r="T1344" t="str">
            <v>https://panda-windows-and-doors.monday.com/protected_static/21046287/resources/2274839048/Print data.PDF</v>
          </cell>
          <cell r="U1344" t="str">
            <v/>
          </cell>
          <cell r="V1344">
            <v>24153.57</v>
          </cell>
          <cell r="W1344" t="str">
            <v>George Bails Aug 31, 2025 1:39 PM</v>
          </cell>
          <cell r="X1344" t="str">
            <v/>
          </cell>
          <cell r="Y1344">
            <v>45846</v>
          </cell>
          <cell r="Z1344" t="str">
            <v/>
          </cell>
          <cell r="AA1344">
            <v>45846</v>
          </cell>
          <cell r="AB1344" t="str">
            <v>Jayme Truong Jul 8, 2025 8:08 AM</v>
          </cell>
          <cell r="AC1344">
            <v>45896</v>
          </cell>
          <cell r="AD1344" t="str">
            <v/>
          </cell>
          <cell r="AE1344" t="str">
            <v/>
          </cell>
          <cell r="AF1344">
            <v>45896</v>
          </cell>
          <cell r="AG1344">
            <v>45898</v>
          </cell>
          <cell r="AH1344" t="str">
            <v/>
          </cell>
          <cell r="AI1344" t="str">
            <v/>
          </cell>
        </row>
        <row r="1345">
          <cell r="C1345" t="str">
            <v>4500735091 parts</v>
          </cell>
          <cell r="D1345" t="str">
            <v/>
          </cell>
          <cell r="E1345" t="str">
            <v/>
          </cell>
          <cell r="F1345" t="str">
            <v>Windsor Final</v>
          </cell>
          <cell r="G1345" t="str">
            <v>Windsor Collected</v>
          </cell>
          <cell r="H1345" t="str">
            <v>No</v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M1345" t="str">
            <v>No</v>
          </cell>
          <cell r="N1345" t="str">
            <v/>
          </cell>
          <cell r="O1345" t="str">
            <v/>
          </cell>
          <cell r="P1345" t="str">
            <v/>
          </cell>
          <cell r="Q1345" t="str">
            <v/>
          </cell>
          <cell r="R1345" t="str">
            <v/>
          </cell>
          <cell r="S1345" t="str">
            <v/>
          </cell>
          <cell r="T1345" t="str">
            <v>https://panda-windows-and-doors.monday.com/protected_static/21046287/resources/2334278275/Print data.PDF</v>
          </cell>
          <cell r="U1345" t="str">
            <v/>
          </cell>
          <cell r="V1345">
            <v>95</v>
          </cell>
          <cell r="W1345" t="str">
            <v>Jayme Truong Sep 3, 2025 10:50 AM</v>
          </cell>
          <cell r="X1345" t="str">
            <v/>
          </cell>
          <cell r="Y1345">
            <v>45874</v>
          </cell>
          <cell r="Z1345" t="str">
            <v/>
          </cell>
          <cell r="AA1345">
            <v>45874</v>
          </cell>
          <cell r="AB1345" t="str">
            <v>Jayme Truong Aug 5, 2025 2:50 PM</v>
          </cell>
          <cell r="AC1345">
            <v>45874</v>
          </cell>
          <cell r="AD1345" t="str">
            <v/>
          </cell>
          <cell r="AE1345" t="str">
            <v/>
          </cell>
          <cell r="AF1345">
            <v>45874</v>
          </cell>
          <cell r="AG1345">
            <v>45903</v>
          </cell>
          <cell r="AH1345" t="str">
            <v/>
          </cell>
          <cell r="AI1345" t="str">
            <v/>
          </cell>
        </row>
        <row r="1346">
          <cell r="C1346">
            <v>4500721651</v>
          </cell>
          <cell r="D1346" t="str">
            <v/>
          </cell>
          <cell r="E1346" t="str">
            <v/>
          </cell>
          <cell r="F1346" t="str">
            <v>Windsor Final</v>
          </cell>
          <cell r="G1346" t="str">
            <v>Windsor Collected</v>
          </cell>
          <cell r="H1346" t="str">
            <v>No</v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M1346" t="str">
            <v/>
          </cell>
          <cell r="N1346" t="str">
            <v>https://panda-windows-and-doors.monday.com/protected_static/21046287/resources/2205025430/4500721651 Deposit Invoice.pdf</v>
          </cell>
          <cell r="O1346" t="str">
            <v/>
          </cell>
          <cell r="P1346" t="str">
            <v/>
          </cell>
          <cell r="Q1346" t="str">
            <v/>
          </cell>
          <cell r="R1346" t="str">
            <v/>
          </cell>
          <cell r="S1346" t="str">
            <v/>
          </cell>
          <cell r="T1346" t="str">
            <v>https://panda-windows-and-doors.monday.com/protected_static/21046287/resources/2204643921/Print data.PDF</v>
          </cell>
          <cell r="U1346" t="str">
            <v/>
          </cell>
          <cell r="V1346">
            <v>15684.26</v>
          </cell>
          <cell r="W1346" t="str">
            <v>Annalene Conde Sep 3, 2025 10:54 AM</v>
          </cell>
          <cell r="X1346" t="str">
            <v/>
          </cell>
          <cell r="Y1346">
            <v>45821</v>
          </cell>
          <cell r="Z1346" t="str">
            <v/>
          </cell>
          <cell r="AA1346">
            <v>45889</v>
          </cell>
          <cell r="AB1346" t="str">
            <v>Jayme Truong Jun 13, 2025 9:02 AM</v>
          </cell>
          <cell r="AC1346">
            <v>45889</v>
          </cell>
          <cell r="AD1346" t="str">
            <v/>
          </cell>
          <cell r="AE1346" t="str">
            <v/>
          </cell>
          <cell r="AF1346">
            <v>45889</v>
          </cell>
          <cell r="AG1346">
            <v>45903</v>
          </cell>
          <cell r="AH1346" t="str">
            <v/>
          </cell>
          <cell r="AI1346" t="str">
            <v/>
          </cell>
        </row>
        <row r="1347">
          <cell r="C1347">
            <v>4500719753</v>
          </cell>
          <cell r="D1347" t="str">
            <v/>
          </cell>
          <cell r="E1347" t="str">
            <v/>
          </cell>
          <cell r="F1347" t="str">
            <v>Windsor Final</v>
          </cell>
          <cell r="G1347" t="str">
            <v>Windsor Collected</v>
          </cell>
          <cell r="H1347" t="str">
            <v>No</v>
          </cell>
          <cell r="I1347" t="str">
            <v>Alex</v>
          </cell>
          <cell r="J1347" t="str">
            <v/>
          </cell>
          <cell r="K1347" t="str">
            <v/>
          </cell>
          <cell r="L1347" t="str">
            <v/>
          </cell>
          <cell r="M1347" t="str">
            <v>Yes</v>
          </cell>
          <cell r="N1347" t="str">
            <v>https://panda-windows-and-doors.monday.com/protected_static/21046287/resources/2188669013/4500719753 deposit invoice.pdf</v>
          </cell>
          <cell r="O1347" t="str">
            <v/>
          </cell>
          <cell r="P1347" t="str">
            <v/>
          </cell>
          <cell r="Q1347" t="str">
            <v/>
          </cell>
          <cell r="R1347" t="str">
            <v/>
          </cell>
          <cell r="S1347" t="str">
            <v/>
          </cell>
          <cell r="T1347" t="str">
            <v>https://panda-windows-and-doors.monday.com/protected_static/21046287/resources/2188253817/Print data.PDF</v>
          </cell>
          <cell r="U1347" t="str">
            <v/>
          </cell>
          <cell r="V1347">
            <v>40120</v>
          </cell>
          <cell r="W1347" t="str">
            <v>George Bails Sep 4, 2025 8:54 AM</v>
          </cell>
          <cell r="X1347" t="str">
            <v/>
          </cell>
          <cell r="Y1347">
            <v>45813</v>
          </cell>
          <cell r="Z1347" t="str">
            <v/>
          </cell>
          <cell r="AA1347">
            <v>45813</v>
          </cell>
          <cell r="AB1347" t="str">
            <v>Jayme Truong Jun 5, 2025 12:55 PM</v>
          </cell>
          <cell r="AC1347">
            <v>45896</v>
          </cell>
          <cell r="AD1347" t="str">
            <v/>
          </cell>
          <cell r="AE1347" t="str">
            <v/>
          </cell>
          <cell r="AF1347">
            <v>45896</v>
          </cell>
          <cell r="AG1347">
            <v>45903</v>
          </cell>
          <cell r="AH1347" t="str">
            <v/>
          </cell>
          <cell r="AI1347" t="str">
            <v/>
          </cell>
        </row>
        <row r="1348">
          <cell r="C1348">
            <v>4500724638</v>
          </cell>
          <cell r="D1348" t="str">
            <v/>
          </cell>
          <cell r="E1348" t="str">
            <v/>
          </cell>
          <cell r="F1348" t="str">
            <v>Windsor Final</v>
          </cell>
          <cell r="G1348" t="str">
            <v>Windsor Collected</v>
          </cell>
          <cell r="H1348" t="str">
            <v>No</v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M1348" t="str">
            <v/>
          </cell>
          <cell r="N1348" t="str">
            <v>https://panda-windows-and-doors.monday.com/protected_static/21046287/resources/2228505919/4500724638 Deposit Invoice.pdf</v>
          </cell>
          <cell r="O1348" t="str">
            <v/>
          </cell>
          <cell r="P1348" t="str">
            <v/>
          </cell>
          <cell r="Q1348" t="str">
            <v/>
          </cell>
          <cell r="R1348" t="str">
            <v/>
          </cell>
          <cell r="S1348" t="str">
            <v/>
          </cell>
          <cell r="T1348" t="str">
            <v>https://panda-windows-and-doors.monday.com/protected_static/21046287/resources/2226421301/Print data.PDF</v>
          </cell>
          <cell r="U1348" t="str">
            <v/>
          </cell>
          <cell r="V1348">
            <v>11780.03</v>
          </cell>
          <cell r="W1348" t="str">
            <v>Annalene Conde Sep 10, 2025 10:18 AM</v>
          </cell>
          <cell r="X1348" t="str">
            <v/>
          </cell>
          <cell r="Y1348">
            <v>45832</v>
          </cell>
          <cell r="Z1348" t="str">
            <v/>
          </cell>
          <cell r="AA1348">
            <v>45832</v>
          </cell>
          <cell r="AB1348" t="str">
            <v>Jayme Truong Jun 24, 2025 2:14 PM</v>
          </cell>
          <cell r="AC1348">
            <v>45897</v>
          </cell>
          <cell r="AD1348" t="str">
            <v/>
          </cell>
          <cell r="AE1348">
            <v>45897</v>
          </cell>
          <cell r="AF1348">
            <v>45897</v>
          </cell>
          <cell r="AG1348">
            <v>45910</v>
          </cell>
          <cell r="AH1348" t="str">
            <v/>
          </cell>
          <cell r="AI1348" t="str">
            <v/>
          </cell>
        </row>
        <row r="1349">
          <cell r="C1349" t="str">
            <v>4500729934 parts</v>
          </cell>
          <cell r="D1349" t="str">
            <v/>
          </cell>
          <cell r="E1349" t="str">
            <v/>
          </cell>
          <cell r="F1349" t="str">
            <v>Windsor Final</v>
          </cell>
          <cell r="G1349" t="str">
            <v>Windsor Collected</v>
          </cell>
          <cell r="H1349" t="str">
            <v>No</v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M1349" t="str">
            <v>No</v>
          </cell>
          <cell r="N1349" t="str">
            <v>https://panda-windows-and-doors.monday.com/protected_static/21046287/resources/2290546630/4500729934 - Deposit Invoice.pdf</v>
          </cell>
          <cell r="O1349" t="str">
            <v/>
          </cell>
          <cell r="P1349" t="str">
            <v/>
          </cell>
          <cell r="Q1349" t="str">
            <v/>
          </cell>
          <cell r="R1349" t="str">
            <v/>
          </cell>
          <cell r="S1349" t="str">
            <v/>
          </cell>
          <cell r="T1349" t="str">
            <v>https://panda-windows-and-doors.monday.com/protected_static/21046287/resources/2290493534/Print data.PDF</v>
          </cell>
          <cell r="U1349" t="str">
            <v/>
          </cell>
          <cell r="V1349">
            <v>200</v>
          </cell>
          <cell r="W1349" t="str">
            <v>Annalene Conde Sep 10, 2025 11:58 AM</v>
          </cell>
          <cell r="X1349" t="str">
            <v/>
          </cell>
          <cell r="Y1349">
            <v>45853</v>
          </cell>
          <cell r="Z1349" t="str">
            <v/>
          </cell>
          <cell r="AA1349">
            <v>45853</v>
          </cell>
          <cell r="AB1349" t="str">
            <v>Jayme Truong Jul 15, 2025 3:55 PM</v>
          </cell>
          <cell r="AC1349">
            <v>45853</v>
          </cell>
          <cell r="AD1349" t="str">
            <v/>
          </cell>
          <cell r="AE1349" t="str">
            <v/>
          </cell>
          <cell r="AF1349">
            <v>45853</v>
          </cell>
          <cell r="AG1349">
            <v>45910</v>
          </cell>
          <cell r="AH1349" t="str">
            <v/>
          </cell>
          <cell r="AI1349" t="str">
            <v/>
          </cell>
        </row>
        <row r="1350">
          <cell r="C1350" t="str">
            <v>4500741839 - parts</v>
          </cell>
          <cell r="D1350" t="str">
            <v/>
          </cell>
          <cell r="E1350" t="str">
            <v/>
          </cell>
          <cell r="F1350" t="str">
            <v>Windsor Final</v>
          </cell>
          <cell r="G1350" t="str">
            <v>Windsor Collected</v>
          </cell>
          <cell r="H1350" t="str">
            <v>No</v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M1350" t="str">
            <v>No</v>
          </cell>
          <cell r="N1350" t="str">
            <v/>
          </cell>
          <cell r="O1350" t="str">
            <v/>
          </cell>
          <cell r="P1350" t="str">
            <v/>
          </cell>
          <cell r="Q1350" t="str">
            <v/>
          </cell>
          <cell r="R1350" t="str">
            <v/>
          </cell>
          <cell r="S1350" t="str">
            <v/>
          </cell>
          <cell r="T1350" t="str">
            <v>https://panda-windows-and-doors.monday.com/protected_static/21046287/resources/2407930268/Print data.PDF</v>
          </cell>
          <cell r="U1350" t="str">
            <v/>
          </cell>
          <cell r="V1350" t="str">
            <v/>
          </cell>
          <cell r="W1350" t="str">
            <v>Jayme Truong Sep 11, 2025 10:31 AM</v>
          </cell>
          <cell r="X1350" t="str">
            <v/>
          </cell>
          <cell r="Y1350">
            <v>45909</v>
          </cell>
          <cell r="Z1350" t="str">
            <v/>
          </cell>
          <cell r="AA1350">
            <v>45909</v>
          </cell>
          <cell r="AB1350" t="str">
            <v>Jayme Truong Sep 9, 2025 11:45 AM</v>
          </cell>
          <cell r="AC1350">
            <v>45909</v>
          </cell>
          <cell r="AD1350" t="str">
            <v/>
          </cell>
          <cell r="AE1350" t="str">
            <v/>
          </cell>
          <cell r="AF1350">
            <v>45909</v>
          </cell>
          <cell r="AG1350">
            <v>45911</v>
          </cell>
          <cell r="AH1350" t="str">
            <v/>
          </cell>
          <cell r="AI1350" t="str">
            <v/>
          </cell>
        </row>
        <row r="1351">
          <cell r="C1351" t="str">
            <v>4500744938 - parts</v>
          </cell>
          <cell r="D1351" t="str">
            <v/>
          </cell>
          <cell r="E1351" t="str">
            <v/>
          </cell>
          <cell r="F1351" t="str">
            <v>Windsor Final</v>
          </cell>
          <cell r="G1351" t="str">
            <v>Windsor Collected</v>
          </cell>
          <cell r="H1351" t="str">
            <v>No</v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M1351" t="str">
            <v>No</v>
          </cell>
          <cell r="N1351" t="str">
            <v>https://panda-windows-and-doors.monday.com/protected_static/21046287/resources/2414241565/4500744938 - Deposit Invoice.pdf</v>
          </cell>
          <cell r="O1351" t="str">
            <v/>
          </cell>
          <cell r="P1351" t="str">
            <v/>
          </cell>
          <cell r="Q1351" t="str">
            <v/>
          </cell>
          <cell r="R1351" t="str">
            <v/>
          </cell>
          <cell r="S1351" t="str">
            <v/>
          </cell>
          <cell r="T1351" t="str">
            <v>https://panda-windows-and-doors.monday.com/protected_static/21046287/resources/2411355474/Print data.PDF</v>
          </cell>
          <cell r="U1351" t="str">
            <v/>
          </cell>
          <cell r="V1351">
            <v>375</v>
          </cell>
          <cell r="W1351" t="str">
            <v>Jayme Truong Sep 15, 2025 2:17 PM</v>
          </cell>
          <cell r="X1351" t="str">
            <v/>
          </cell>
          <cell r="Y1351">
            <v>45910</v>
          </cell>
          <cell r="Z1351" t="str">
            <v/>
          </cell>
          <cell r="AA1351">
            <v>45910</v>
          </cell>
          <cell r="AB1351" t="str">
            <v>Jayme Truong Sep 10, 2025 1:55 PM</v>
          </cell>
          <cell r="AC1351">
            <v>45911</v>
          </cell>
          <cell r="AD1351" t="str">
            <v/>
          </cell>
          <cell r="AE1351" t="str">
            <v/>
          </cell>
          <cell r="AF1351">
            <v>45911</v>
          </cell>
          <cell r="AG1351">
            <v>45915</v>
          </cell>
          <cell r="AH1351" t="str">
            <v/>
          </cell>
          <cell r="AI1351" t="str">
            <v/>
          </cell>
        </row>
        <row r="1352">
          <cell r="C1352">
            <v>4500727263</v>
          </cell>
          <cell r="D1352" t="str">
            <v/>
          </cell>
          <cell r="E1352" t="str">
            <v/>
          </cell>
          <cell r="F1352" t="str">
            <v>Windsor Final</v>
          </cell>
          <cell r="G1352" t="str">
            <v>Windsor Collected</v>
          </cell>
          <cell r="H1352" t="str">
            <v>No</v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M1352" t="str">
            <v/>
          </cell>
          <cell r="N1352" t="str">
            <v>https://panda-windows-and-doors.monday.com/protected_static/21046287/resources/2267964602/4500727263 Deposit Invoice.pdf</v>
          </cell>
          <cell r="O1352" t="str">
            <v/>
          </cell>
          <cell r="P1352" t="str">
            <v/>
          </cell>
          <cell r="Q1352" t="str">
            <v/>
          </cell>
          <cell r="R1352" t="str">
            <v/>
          </cell>
          <cell r="S1352" t="str">
            <v/>
          </cell>
          <cell r="T1352" t="str">
            <v>https://panda-windows-and-doors.monday.com/protected_static/21046287/resources/2267732663/Print data.PDF</v>
          </cell>
          <cell r="U1352">
            <v>0</v>
          </cell>
          <cell r="V1352">
            <v>10364.01</v>
          </cell>
          <cell r="W1352" t="str">
            <v>Annalene Conde Sep 16, 2025 12:55 PM</v>
          </cell>
          <cell r="X1352" t="str">
            <v/>
          </cell>
          <cell r="Y1352">
            <v>45841</v>
          </cell>
          <cell r="Z1352" t="str">
            <v/>
          </cell>
          <cell r="AA1352">
            <v>45841</v>
          </cell>
          <cell r="AB1352" t="str">
            <v>Jayme Truong Jul 3, 2025 9:47 AM</v>
          </cell>
          <cell r="AC1352">
            <v>45897</v>
          </cell>
          <cell r="AD1352" t="str">
            <v/>
          </cell>
          <cell r="AE1352">
            <v>45897</v>
          </cell>
          <cell r="AF1352">
            <v>45897</v>
          </cell>
          <cell r="AG1352">
            <v>45916</v>
          </cell>
          <cell r="AH1352" t="str">
            <v/>
          </cell>
          <cell r="AI1352" t="str">
            <v/>
          </cell>
        </row>
        <row r="1353">
          <cell r="C1353">
            <v>4500728440</v>
          </cell>
          <cell r="D1353" t="str">
            <v/>
          </cell>
          <cell r="E1353" t="str">
            <v/>
          </cell>
          <cell r="F1353" t="str">
            <v>Windsor Final</v>
          </cell>
          <cell r="G1353" t="str">
            <v>Windsor Collected</v>
          </cell>
          <cell r="H1353" t="str">
            <v>No</v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M1353" t="str">
            <v>No</v>
          </cell>
          <cell r="N1353" t="str">
            <v>https://panda-windows-and-doors.monday.com/protected_static/21046287/resources/2282896784/4500728440 Deposit Invoice.pdf</v>
          </cell>
          <cell r="O1353" t="str">
            <v/>
          </cell>
          <cell r="P1353" t="str">
            <v/>
          </cell>
          <cell r="Q1353" t="str">
            <v/>
          </cell>
          <cell r="R1353" t="str">
            <v/>
          </cell>
          <cell r="S1353" t="str">
            <v/>
          </cell>
          <cell r="T1353" t="str">
            <v>https://panda-windows-and-doors.monday.com/protected_static/21046287/resources/2280214328/Print data.PDF</v>
          </cell>
          <cell r="U1353" t="str">
            <v/>
          </cell>
          <cell r="V1353">
            <v>8372.68</v>
          </cell>
          <cell r="W1353" t="str">
            <v>Annalene Conde Sep 16, 2025 12:57 PM</v>
          </cell>
          <cell r="X1353" t="str">
            <v/>
          </cell>
          <cell r="Y1353">
            <v>45848</v>
          </cell>
          <cell r="Z1353" t="str">
            <v/>
          </cell>
          <cell r="AA1353">
            <v>45848</v>
          </cell>
          <cell r="AB1353" t="str">
            <v>Jayme Truong Jul 10, 2025 8:16 AM</v>
          </cell>
          <cell r="AC1353">
            <v>45905</v>
          </cell>
          <cell r="AD1353" t="str">
            <v/>
          </cell>
          <cell r="AE1353" t="str">
            <v/>
          </cell>
          <cell r="AF1353">
            <v>45905</v>
          </cell>
          <cell r="AG1353">
            <v>45916</v>
          </cell>
          <cell r="AH1353" t="str">
            <v/>
          </cell>
          <cell r="AI1353" t="str">
            <v/>
          </cell>
        </row>
        <row r="1354">
          <cell r="C1354">
            <v>4500727267</v>
          </cell>
          <cell r="D1354" t="str">
            <v/>
          </cell>
          <cell r="E1354" t="str">
            <v/>
          </cell>
          <cell r="F1354" t="str">
            <v>Windsor Final</v>
          </cell>
          <cell r="G1354" t="str">
            <v>Windsor Collected</v>
          </cell>
          <cell r="H1354" t="str">
            <v>No</v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N1354" t="str">
            <v>https://panda-windows-and-doors.monday.com/protected_static/21046287/resources/2268045554/4500727267 Deposit Invoice.pdf</v>
          </cell>
          <cell r="O1354" t="str">
            <v/>
          </cell>
          <cell r="P1354" t="str">
            <v/>
          </cell>
          <cell r="Q1354" t="str">
            <v/>
          </cell>
          <cell r="R1354" t="str">
            <v/>
          </cell>
          <cell r="S1354" t="str">
            <v/>
          </cell>
          <cell r="T1354" t="str">
            <v>https://panda-windows-and-doors.monday.com/protected_static/21046287/resources/2267757873/Print data.PDF</v>
          </cell>
          <cell r="U1354">
            <v>0</v>
          </cell>
          <cell r="V1354">
            <v>15913.23</v>
          </cell>
          <cell r="W1354" t="str">
            <v>Jayme Truong Sep 17, 2025 9:51 AM</v>
          </cell>
          <cell r="X1354" t="str">
            <v/>
          </cell>
          <cell r="Y1354">
            <v>45841</v>
          </cell>
          <cell r="Z1354" t="str">
            <v/>
          </cell>
          <cell r="AA1354">
            <v>45841</v>
          </cell>
          <cell r="AB1354" t="str">
            <v>Jayme Truong Jul 3, 2025 9:58 AM</v>
          </cell>
          <cell r="AC1354">
            <v>45911</v>
          </cell>
          <cell r="AD1354" t="str">
            <v/>
          </cell>
          <cell r="AE1354" t="str">
            <v/>
          </cell>
          <cell r="AF1354">
            <v>45911</v>
          </cell>
          <cell r="AG1354">
            <v>45917</v>
          </cell>
          <cell r="AH1354" t="str">
            <v/>
          </cell>
          <cell r="AI1354" t="str">
            <v/>
          </cell>
        </row>
        <row r="1355">
          <cell r="C1355">
            <v>4500727266</v>
          </cell>
          <cell r="D1355" t="str">
            <v/>
          </cell>
          <cell r="E1355" t="str">
            <v/>
          </cell>
          <cell r="F1355" t="str">
            <v>Windsor Final</v>
          </cell>
          <cell r="G1355" t="str">
            <v>Windsor Collected</v>
          </cell>
          <cell r="H1355" t="str">
            <v>No</v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M1355" t="str">
            <v/>
          </cell>
          <cell r="N1355" t="str">
            <v>https://panda-windows-and-doors.monday.com/protected_static/21046287/resources/2268006057/4500727266 Deposit Invoice.pdf</v>
          </cell>
          <cell r="O1355" t="str">
            <v/>
          </cell>
          <cell r="P1355" t="str">
            <v/>
          </cell>
          <cell r="Q1355" t="str">
            <v/>
          </cell>
          <cell r="R1355" t="str">
            <v/>
          </cell>
          <cell r="S1355" t="str">
            <v/>
          </cell>
          <cell r="T1355" t="str">
            <v>https://panda-windows-and-doors.monday.com/protected_static/21046287/resources/2267750167/Print data.PDF</v>
          </cell>
          <cell r="U1355">
            <v>0</v>
          </cell>
          <cell r="V1355">
            <v>13018.51</v>
          </cell>
          <cell r="W1355" t="str">
            <v>Annalene Conde Sep 19, 2025 4:10 PM</v>
          </cell>
          <cell r="X1355" t="str">
            <v/>
          </cell>
          <cell r="Y1355">
            <v>45841</v>
          </cell>
          <cell r="Z1355" t="str">
            <v/>
          </cell>
          <cell r="AA1355">
            <v>45841</v>
          </cell>
          <cell r="AB1355" t="str">
            <v>Jayme Truong Jul 3, 2025 9:55 AM</v>
          </cell>
          <cell r="AC1355">
            <v>45911</v>
          </cell>
          <cell r="AD1355" t="str">
            <v/>
          </cell>
          <cell r="AE1355" t="str">
            <v/>
          </cell>
          <cell r="AF1355">
            <v>45911</v>
          </cell>
          <cell r="AG1355">
            <v>45919</v>
          </cell>
          <cell r="AH1355" t="str">
            <v/>
          </cell>
          <cell r="AI1355" t="str">
            <v/>
          </cell>
        </row>
        <row r="1356">
          <cell r="C1356">
            <v>4500731948</v>
          </cell>
          <cell r="D1356" t="str">
            <v/>
          </cell>
          <cell r="E1356" t="str">
            <v/>
          </cell>
          <cell r="F1356" t="str">
            <v>Windsor Final</v>
          </cell>
          <cell r="G1356" t="str">
            <v>Windsor Collected</v>
          </cell>
          <cell r="H1356" t="str">
            <v>No</v>
          </cell>
          <cell r="I1356" t="str">
            <v>Alex</v>
          </cell>
          <cell r="J1356" t="str">
            <v/>
          </cell>
          <cell r="K1356" t="str">
            <v/>
          </cell>
          <cell r="L1356" t="str">
            <v/>
          </cell>
          <cell r="M1356" t="str">
            <v>Yes</v>
          </cell>
          <cell r="N1356" t="str">
            <v>https://panda-windows-and-doors.monday.com/protected_static/21046287/resources/2308971465/4500731948 Deposit Invoice.pdf</v>
          </cell>
          <cell r="O1356" t="str">
            <v/>
          </cell>
          <cell r="P1356" t="str">
            <v/>
          </cell>
          <cell r="Q1356" t="str">
            <v/>
          </cell>
          <cell r="R1356" t="str">
            <v/>
          </cell>
          <cell r="S1356" t="str">
            <v/>
          </cell>
          <cell r="T1356" t="str">
            <v>https://panda-windows-and-doors.monday.com/protected_static/21046287/resources/2307056383/Print data.PDF</v>
          </cell>
          <cell r="U1356">
            <v>0</v>
          </cell>
          <cell r="V1356">
            <v>33271.25</v>
          </cell>
          <cell r="W1356" t="str">
            <v>George Bails Sep 21, 2025 8:54 PM</v>
          </cell>
          <cell r="X1356" t="str">
            <v/>
          </cell>
          <cell r="Y1356">
            <v>45861</v>
          </cell>
          <cell r="Z1356" t="str">
            <v/>
          </cell>
          <cell r="AA1356">
            <v>45861</v>
          </cell>
          <cell r="AB1356" t="str">
            <v>Jayme Truong Jul 23, 2025 12:03 PM</v>
          </cell>
          <cell r="AC1356">
            <v>45915</v>
          </cell>
          <cell r="AD1356" t="str">
            <v/>
          </cell>
          <cell r="AE1356" t="str">
            <v/>
          </cell>
          <cell r="AF1356">
            <v>45915</v>
          </cell>
          <cell r="AG1356">
            <v>45919</v>
          </cell>
          <cell r="AH1356" t="str">
            <v/>
          </cell>
          <cell r="AI1356" t="str">
            <v/>
          </cell>
        </row>
        <row r="1357">
          <cell r="C1357" t="str">
            <v>4500744507 - parts</v>
          </cell>
          <cell r="D1357" t="str">
            <v/>
          </cell>
          <cell r="E1357" t="str">
            <v/>
          </cell>
          <cell r="F1357" t="str">
            <v>Windsor Final</v>
          </cell>
          <cell r="G1357" t="str">
            <v>Windsor Collected</v>
          </cell>
          <cell r="H1357" t="str">
            <v>No</v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M1357" t="str">
            <v>No</v>
          </cell>
          <cell r="N1357" t="str">
            <v/>
          </cell>
          <cell r="O1357" t="str">
            <v/>
          </cell>
          <cell r="P1357" t="str">
            <v/>
          </cell>
          <cell r="Q1357" t="str">
            <v/>
          </cell>
          <cell r="R1357" t="str">
            <v/>
          </cell>
          <cell r="S1357" t="str">
            <v/>
          </cell>
          <cell r="T1357" t="str">
            <v>https://panda-windows-and-doors.monday.com/protected_static/21046287/resources/2408357366/Print data.PDF</v>
          </cell>
          <cell r="U1357" t="str">
            <v/>
          </cell>
          <cell r="V1357" t="str">
            <v/>
          </cell>
          <cell r="W1357" t="str">
            <v>Jayme Truong Sep 23, 2025 2:19 PM</v>
          </cell>
          <cell r="X1357" t="str">
            <v/>
          </cell>
          <cell r="Y1357">
            <v>45909</v>
          </cell>
          <cell r="Z1357" t="str">
            <v/>
          </cell>
          <cell r="AA1357">
            <v>45909</v>
          </cell>
          <cell r="AB1357" t="str">
            <v>Jayme Truong Sep 9, 2025 1:57 PM</v>
          </cell>
          <cell r="AC1357">
            <v>45909</v>
          </cell>
          <cell r="AD1357" t="str">
            <v/>
          </cell>
          <cell r="AE1357" t="str">
            <v/>
          </cell>
          <cell r="AF1357">
            <v>45909</v>
          </cell>
          <cell r="AG1357">
            <v>45923</v>
          </cell>
          <cell r="AH1357" t="str">
            <v/>
          </cell>
          <cell r="AI1357" t="str">
            <v/>
          </cell>
        </row>
        <row r="1358">
          <cell r="C1358">
            <v>4500727374</v>
          </cell>
          <cell r="D1358" t="str">
            <v/>
          </cell>
          <cell r="E1358" t="str">
            <v/>
          </cell>
          <cell r="F1358" t="str">
            <v>Windsor Final</v>
          </cell>
          <cell r="G1358" t="str">
            <v>Windsor Collected</v>
          </cell>
          <cell r="H1358" t="str">
            <v>No</v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M1358" t="str">
            <v>No</v>
          </cell>
          <cell r="N1358" t="str">
            <v>https://panda-windows-and-doors.monday.com/protected_static/21046287/resources/2341625536/4500727274 Deposit Invoice.pdf</v>
          </cell>
          <cell r="O1358" t="str">
            <v/>
          </cell>
          <cell r="P1358" t="str">
            <v/>
          </cell>
          <cell r="Q1358" t="str">
            <v/>
          </cell>
          <cell r="R1358" t="str">
            <v/>
          </cell>
          <cell r="S1358" t="str">
            <v/>
          </cell>
          <cell r="T1358" t="str">
            <v>https://panda-windows-and-doors.monday.com/protected_static/21046287/resources/2272128456/Print data.PDF</v>
          </cell>
          <cell r="U1358" t="str">
            <v/>
          </cell>
          <cell r="V1358">
            <v>17972.009999999998</v>
          </cell>
          <cell r="W1358" t="str">
            <v>Jayme Truong Oct 2, 2025 11:50 AM</v>
          </cell>
          <cell r="X1358" t="str">
            <v/>
          </cell>
          <cell r="Y1358">
            <v>45845</v>
          </cell>
          <cell r="Z1358" t="str">
            <v/>
          </cell>
          <cell r="AA1358">
            <v>45845</v>
          </cell>
          <cell r="AB1358" t="str">
            <v>Jayme Truong Jul 7, 2025 8:11 AM</v>
          </cell>
          <cell r="AC1358">
            <v>45923</v>
          </cell>
          <cell r="AD1358" t="str">
            <v/>
          </cell>
          <cell r="AE1358" t="str">
            <v/>
          </cell>
          <cell r="AF1358">
            <v>45923</v>
          </cell>
          <cell r="AG1358">
            <v>45932</v>
          </cell>
          <cell r="AH1358" t="str">
            <v/>
          </cell>
          <cell r="AI1358" t="str">
            <v/>
          </cell>
        </row>
        <row r="1359">
          <cell r="C1359">
            <v>4500733480</v>
          </cell>
          <cell r="D1359" t="str">
            <v/>
          </cell>
          <cell r="E1359" t="str">
            <v/>
          </cell>
          <cell r="F1359" t="str">
            <v>Windsor Final</v>
          </cell>
          <cell r="G1359" t="str">
            <v>Windsor Collected</v>
          </cell>
          <cell r="H1359" t="str">
            <v>No</v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M1359" t="str">
            <v>No</v>
          </cell>
          <cell r="N1359" t="str">
            <v>https://panda-windows-and-doors.monday.com/protected_static/21046287/resources/2319003929/4500733480 Deposit Invoice.pdf</v>
          </cell>
          <cell r="O1359" t="str">
            <v/>
          </cell>
          <cell r="P1359" t="str">
            <v/>
          </cell>
          <cell r="Q1359" t="str">
            <v/>
          </cell>
          <cell r="R1359" t="str">
            <v/>
          </cell>
          <cell r="S1359" t="str">
            <v/>
          </cell>
          <cell r="T1359" t="str">
            <v>https://panda-windows-and-doors.monday.com/protected_static/21046287/resources/2318004125/Print data.PDF</v>
          </cell>
          <cell r="U1359" t="str">
            <v/>
          </cell>
          <cell r="V1359">
            <v>22435.52</v>
          </cell>
          <cell r="W1359" t="str">
            <v>Jayme Truong Oct 2, 2025 12:02 PM</v>
          </cell>
          <cell r="X1359" t="str">
            <v/>
          </cell>
          <cell r="Y1359">
            <v>45867</v>
          </cell>
          <cell r="Z1359" t="str">
            <v/>
          </cell>
          <cell r="AA1359">
            <v>45867</v>
          </cell>
          <cell r="AB1359" t="str">
            <v>Jayme Truong Jul 29, 2025 9:48 AM</v>
          </cell>
          <cell r="AC1359">
            <v>45915</v>
          </cell>
          <cell r="AD1359" t="str">
            <v/>
          </cell>
          <cell r="AE1359" t="str">
            <v/>
          </cell>
          <cell r="AF1359">
            <v>45915</v>
          </cell>
          <cell r="AG1359">
            <v>45932</v>
          </cell>
          <cell r="AH1359" t="str">
            <v/>
          </cell>
          <cell r="AI1359" t="str">
            <v/>
          </cell>
        </row>
        <row r="1360">
          <cell r="C1360" t="str">
            <v>4500746043 - parts</v>
          </cell>
          <cell r="D1360" t="str">
            <v/>
          </cell>
          <cell r="E1360" t="str">
            <v/>
          </cell>
          <cell r="F1360" t="str">
            <v>Windsor Final</v>
          </cell>
          <cell r="G1360" t="str">
            <v>Windsor Collected</v>
          </cell>
          <cell r="H1360" t="str">
            <v>No</v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M1360" t="str">
            <v>No</v>
          </cell>
          <cell r="N1360" t="str">
            <v/>
          </cell>
          <cell r="O1360" t="str">
            <v/>
          </cell>
          <cell r="P1360" t="str">
            <v/>
          </cell>
          <cell r="Q1360" t="str">
            <v/>
          </cell>
          <cell r="R1360" t="str">
            <v/>
          </cell>
          <cell r="S1360" t="str">
            <v/>
          </cell>
          <cell r="T1360" t="str">
            <v>https://panda-windows-and-doors.monday.com/protected_static/21046287/resources/2444361315/Print data.PDF</v>
          </cell>
          <cell r="U1360" t="str">
            <v/>
          </cell>
          <cell r="V1360">
            <v>2505</v>
          </cell>
          <cell r="W1360" t="str">
            <v>Jayme Truong Oct 3, 2025 5:05 PM</v>
          </cell>
          <cell r="X1360" t="str">
            <v/>
          </cell>
          <cell r="Y1360">
            <v>45916</v>
          </cell>
          <cell r="Z1360" t="str">
            <v/>
          </cell>
          <cell r="AA1360">
            <v>45916</v>
          </cell>
          <cell r="AB1360" t="str">
            <v>Jayme Truong Sep 15, 2025 1:34 PM</v>
          </cell>
          <cell r="AC1360">
            <v>45925</v>
          </cell>
          <cell r="AD1360" t="str">
            <v/>
          </cell>
          <cell r="AE1360" t="str">
            <v/>
          </cell>
          <cell r="AF1360">
            <v>45925</v>
          </cell>
          <cell r="AG1360">
            <v>45933</v>
          </cell>
          <cell r="AH1360" t="str">
            <v/>
          </cell>
          <cell r="AI1360" t="str">
            <v/>
          </cell>
        </row>
        <row r="1361">
          <cell r="C1361" t="str">
            <v>4500749154 - parts</v>
          </cell>
          <cell r="D1361" t="str">
            <v/>
          </cell>
          <cell r="E1361" t="str">
            <v/>
          </cell>
          <cell r="F1361" t="str">
            <v>Windsor Final</v>
          </cell>
          <cell r="G1361" t="str">
            <v>Windsor Collected</v>
          </cell>
          <cell r="H1361" t="str">
            <v>No</v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M1361" t="str">
            <v>No</v>
          </cell>
          <cell r="N1361" t="str">
            <v>https://panda-windows-and-doors.monday.com/protected_static/21046287/resources/2447016331/4500749154 deposit invoice.pdf</v>
          </cell>
          <cell r="O1361" t="str">
            <v/>
          </cell>
          <cell r="P1361" t="str">
            <v/>
          </cell>
          <cell r="Q1361" t="str">
            <v/>
          </cell>
          <cell r="R1361" t="str">
            <v/>
          </cell>
          <cell r="S1361" t="str">
            <v/>
          </cell>
          <cell r="T1361" t="str">
            <v>https://panda-windows-and-doors.monday.com/protected_static/21046287/resources/2446959707/Print data.PDF</v>
          </cell>
          <cell r="U1361" t="str">
            <v/>
          </cell>
          <cell r="V1361">
            <v>220</v>
          </cell>
          <cell r="W1361" t="str">
            <v>Annalene Conde Oct 7, 2025 5:00 PM</v>
          </cell>
          <cell r="X1361" t="str">
            <v/>
          </cell>
          <cell r="Y1361">
            <v>45926</v>
          </cell>
          <cell r="Z1361" t="str">
            <v/>
          </cell>
          <cell r="AA1361">
            <v>45926</v>
          </cell>
          <cell r="AB1361" t="str">
            <v>Jayme Truong Sep 26, 2025 4:10 PM</v>
          </cell>
          <cell r="AC1361">
            <v>45926</v>
          </cell>
          <cell r="AD1361" t="str">
            <v/>
          </cell>
          <cell r="AE1361" t="str">
            <v/>
          </cell>
          <cell r="AF1361">
            <v>45926</v>
          </cell>
          <cell r="AG1361">
            <v>45937</v>
          </cell>
          <cell r="AH1361" t="str">
            <v/>
          </cell>
          <cell r="AI1361" t="str">
            <v/>
          </cell>
        </row>
        <row r="1362">
          <cell r="C1362">
            <v>4500738996</v>
          </cell>
          <cell r="D1362" t="str">
            <v/>
          </cell>
          <cell r="E1362" t="str">
            <v/>
          </cell>
          <cell r="F1362" t="str">
            <v>Windsor Final</v>
          </cell>
          <cell r="G1362" t="str">
            <v>Windsor Collected</v>
          </cell>
          <cell r="H1362" t="str">
            <v>No</v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M1362" t="str">
            <v>No</v>
          </cell>
          <cell r="N1362" t="str">
            <v>https://panda-windows-and-doors.monday.com/protected_static/21046287/resources/2366595112/4500738996 Deposit Invoice.pdf</v>
          </cell>
          <cell r="O1362" t="str">
            <v/>
          </cell>
          <cell r="P1362" t="str">
            <v/>
          </cell>
          <cell r="Q1362" t="str">
            <v/>
          </cell>
          <cell r="R1362" t="str">
            <v/>
          </cell>
          <cell r="S1362" t="str">
            <v/>
          </cell>
          <cell r="T1362" t="str">
            <v>https://panda-windows-and-doors.monday.com/protected_static/21046287/resources/2366579812/Print data.PDF, https://panda-windows-and-doors.monday.com/protected_static/21046287/resources/2462663674/Print data.PDF</v>
          </cell>
          <cell r="U1362" t="str">
            <v/>
          </cell>
          <cell r="V1362">
            <v>23121.72</v>
          </cell>
          <cell r="W1362" t="str">
            <v>Jayme Truong Oct 8, 2025 2:19 PM</v>
          </cell>
          <cell r="X1362" t="str">
            <v/>
          </cell>
          <cell r="Y1362">
            <v>45889</v>
          </cell>
          <cell r="Z1362" t="str">
            <v/>
          </cell>
          <cell r="AA1362">
            <v>45889</v>
          </cell>
          <cell r="AB1362" t="str">
            <v>Jayme Truong Aug 20, 2025 4:01 PM</v>
          </cell>
          <cell r="AC1362">
            <v>45933</v>
          </cell>
          <cell r="AD1362" t="str">
            <v/>
          </cell>
          <cell r="AE1362" t="str">
            <v/>
          </cell>
          <cell r="AF1362">
            <v>45933</v>
          </cell>
          <cell r="AG1362">
            <v>45938</v>
          </cell>
          <cell r="AH1362" t="str">
            <v/>
          </cell>
          <cell r="AI1362" t="str">
            <v/>
          </cell>
        </row>
        <row r="1363">
          <cell r="C1363">
            <v>4500730177</v>
          </cell>
          <cell r="D1363" t="str">
            <v/>
          </cell>
          <cell r="E1363" t="str">
            <v/>
          </cell>
          <cell r="F1363" t="str">
            <v>Windsor Final</v>
          </cell>
          <cell r="G1363" t="str">
            <v>Windsor Collected</v>
          </cell>
          <cell r="H1363" t="str">
            <v>No</v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M1363" t="str">
            <v>No</v>
          </cell>
          <cell r="N1363" t="str">
            <v>https://panda-windows-and-doors.monday.com/protected_static/21046287/resources/2292355246/4500730177 - Deposit Invoice.pdf</v>
          </cell>
          <cell r="O1363" t="str">
            <v/>
          </cell>
          <cell r="P1363" t="str">
            <v/>
          </cell>
          <cell r="Q1363" t="str">
            <v/>
          </cell>
          <cell r="R1363" t="str">
            <v/>
          </cell>
          <cell r="S1363" t="str">
            <v/>
          </cell>
          <cell r="T1363" t="str">
            <v>https://panda-windows-and-doors.monday.com/protected_static/21046287/resources/2292330671/Print data.PDF</v>
          </cell>
          <cell r="U1363" t="str">
            <v/>
          </cell>
          <cell r="V1363">
            <v>36842.980000000003</v>
          </cell>
          <cell r="W1363" t="str">
            <v>Jayme Truong Oct 9, 2025 11:37 AM</v>
          </cell>
          <cell r="X1363" t="str">
            <v/>
          </cell>
          <cell r="Y1363">
            <v>45854</v>
          </cell>
          <cell r="Z1363" t="str">
            <v/>
          </cell>
          <cell r="AA1363">
            <v>45854</v>
          </cell>
          <cell r="AB1363" t="str">
            <v>Jayme Truong Jul 16, 2025 8:27 AM</v>
          </cell>
          <cell r="AC1363">
            <v>45936</v>
          </cell>
          <cell r="AD1363" t="str">
            <v/>
          </cell>
          <cell r="AE1363" t="str">
            <v/>
          </cell>
          <cell r="AF1363">
            <v>45936</v>
          </cell>
          <cell r="AG1363">
            <v>45939</v>
          </cell>
          <cell r="AH1363" t="str">
            <v/>
          </cell>
          <cell r="AI1363" t="str">
            <v/>
          </cell>
        </row>
        <row r="1364">
          <cell r="C1364">
            <v>4500741406</v>
          </cell>
          <cell r="D1364" t="str">
            <v/>
          </cell>
          <cell r="E1364" t="str">
            <v/>
          </cell>
          <cell r="F1364" t="str">
            <v>Windsor Final</v>
          </cell>
          <cell r="G1364" t="str">
            <v>Windsor Collected</v>
          </cell>
          <cell r="H1364" t="str">
            <v>No</v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M1364" t="str">
            <v>No</v>
          </cell>
          <cell r="N1364" t="str">
            <v>https://panda-windows-and-doors.monday.com/protected_static/21046287/resources/2380451729/4500741406 Deposit Invoice.pdf</v>
          </cell>
          <cell r="O1364" t="str">
            <v/>
          </cell>
          <cell r="P1364" t="str">
            <v/>
          </cell>
          <cell r="Q1364" t="str">
            <v/>
          </cell>
          <cell r="R1364" t="str">
            <v/>
          </cell>
          <cell r="S1364" t="str">
            <v/>
          </cell>
          <cell r="T1364" t="str">
            <v>https://panda-windows-and-doors.monday.com/protected_static/21046287/resources/2380069304/Print data.PDF, https://panda-windows-and-doors.monday.com/protected_static/21046287/resources/2466216723/Print data.PDF, https://panda-windows-and-doors.monday.com/protected_static/21046287/resources/2466218286/Print data.PDF_Print data.PDF</v>
          </cell>
          <cell r="U1364" t="str">
            <v/>
          </cell>
          <cell r="V1364">
            <v>12015</v>
          </cell>
          <cell r="W1364" t="str">
            <v>Annalene Conde Oct 17, 2025 12:35 PM</v>
          </cell>
          <cell r="X1364" t="str">
            <v/>
          </cell>
          <cell r="Y1364">
            <v>45896</v>
          </cell>
          <cell r="Z1364" t="str">
            <v/>
          </cell>
          <cell r="AA1364">
            <v>45896</v>
          </cell>
          <cell r="AB1364" t="str">
            <v>Jayme Truong Aug 27, 2025 10:18 AM</v>
          </cell>
          <cell r="AC1364">
            <v>45936</v>
          </cell>
          <cell r="AD1364" t="str">
            <v/>
          </cell>
          <cell r="AE1364" t="str">
            <v/>
          </cell>
          <cell r="AF1364">
            <v>45936</v>
          </cell>
          <cell r="AG1364">
            <v>45947</v>
          </cell>
          <cell r="AH1364" t="str">
            <v/>
          </cell>
          <cell r="AI1364" t="str">
            <v/>
          </cell>
        </row>
        <row r="1365">
          <cell r="C1365">
            <v>4500738984</v>
          </cell>
          <cell r="D1365" t="str">
            <v/>
          </cell>
          <cell r="E1365" t="str">
            <v/>
          </cell>
          <cell r="F1365" t="str">
            <v>Windsor Final</v>
          </cell>
          <cell r="G1365" t="str">
            <v>Windsor Collected</v>
          </cell>
          <cell r="H1365" t="str">
            <v>No</v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M1365" t="str">
            <v>No</v>
          </cell>
          <cell r="N1365" t="str">
            <v>https://panda-windows-and-doors.monday.com/protected_static/21046287/resources/2360478588/4500738984 Deposit Invoice.pdf</v>
          </cell>
          <cell r="O1365" t="str">
            <v/>
          </cell>
          <cell r="P1365" t="str">
            <v/>
          </cell>
          <cell r="Q1365" t="str">
            <v/>
          </cell>
          <cell r="R1365" t="str">
            <v/>
          </cell>
          <cell r="S1365" t="str">
            <v/>
          </cell>
          <cell r="T1365" t="str">
            <v>https://panda-windows-and-doors.monday.com/protected_static/21046287/resources/2360298841/Print data.PDF, https://panda-windows-and-doors.monday.com/protected_static/21046287/resources/2466241611/Print data.PDF</v>
          </cell>
          <cell r="U1365" t="str">
            <v/>
          </cell>
          <cell r="V1365">
            <v>6930.01</v>
          </cell>
          <cell r="W1365" t="str">
            <v>Annalene Conde Oct 17, 2025 12:40 PM</v>
          </cell>
          <cell r="X1365" t="str">
            <v/>
          </cell>
          <cell r="Y1365">
            <v>45887</v>
          </cell>
          <cell r="Z1365" t="str">
            <v/>
          </cell>
          <cell r="AA1365">
            <v>45887</v>
          </cell>
          <cell r="AB1365" t="str">
            <v>Jayme Truong Aug 18, 2025 2:19 PM</v>
          </cell>
          <cell r="AC1365">
            <v>45936</v>
          </cell>
          <cell r="AD1365" t="str">
            <v/>
          </cell>
          <cell r="AE1365" t="str">
            <v/>
          </cell>
          <cell r="AF1365">
            <v>45936</v>
          </cell>
          <cell r="AG1365">
            <v>45947</v>
          </cell>
          <cell r="AH1365" t="str">
            <v/>
          </cell>
          <cell r="AI1365" t="str">
            <v/>
          </cell>
        </row>
        <row r="1366">
          <cell r="C1366">
            <v>4500733908</v>
          </cell>
          <cell r="D1366" t="str">
            <v/>
          </cell>
          <cell r="E1366" t="str">
            <v/>
          </cell>
          <cell r="F1366" t="str">
            <v>Windsor Final</v>
          </cell>
          <cell r="G1366" t="str">
            <v>Windsor Collected</v>
          </cell>
          <cell r="H1366" t="str">
            <v>No</v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M1366" t="str">
            <v>No</v>
          </cell>
          <cell r="N1366" t="str">
            <v>https://panda-windows-and-doors.monday.com/protected_static/21046287/resources/2324360069/4500733908 Deposit Invoice.pdf</v>
          </cell>
          <cell r="O1366" t="str">
            <v/>
          </cell>
          <cell r="P1366" t="str">
            <v/>
          </cell>
          <cell r="Q1366" t="str">
            <v/>
          </cell>
          <cell r="R1366" t="str">
            <v/>
          </cell>
          <cell r="S1366" t="str">
            <v/>
          </cell>
          <cell r="T1366" t="str">
            <v>https://panda-windows-and-doors.monday.com/protected_static/21046287/resources/2322338341/Print data.PDF</v>
          </cell>
          <cell r="U1366" t="str">
            <v/>
          </cell>
          <cell r="V1366">
            <v>8628.01</v>
          </cell>
          <cell r="W1366" t="str">
            <v>Jayme Truong Oct 21, 2025 10:15 AM</v>
          </cell>
          <cell r="X1366" t="str">
            <v/>
          </cell>
          <cell r="Y1366">
            <v>45868</v>
          </cell>
          <cell r="Z1366" t="str">
            <v/>
          </cell>
          <cell r="AA1366">
            <v>45868</v>
          </cell>
          <cell r="AB1366" t="str">
            <v>Jayme Truong Jul 30, 2025 3:41 PM</v>
          </cell>
          <cell r="AC1366">
            <v>45912</v>
          </cell>
          <cell r="AD1366" t="str">
            <v/>
          </cell>
          <cell r="AE1366" t="str">
            <v/>
          </cell>
          <cell r="AF1366">
            <v>45912</v>
          </cell>
          <cell r="AG1366">
            <v>45951</v>
          </cell>
          <cell r="AH1366" t="str">
            <v/>
          </cell>
          <cell r="AI1366" t="str">
            <v/>
          </cell>
        </row>
        <row r="1367">
          <cell r="C1367">
            <v>4500741409</v>
          </cell>
          <cell r="D1367" t="str">
            <v/>
          </cell>
          <cell r="E1367" t="str">
            <v/>
          </cell>
          <cell r="F1367" t="str">
            <v>Windsor Final</v>
          </cell>
          <cell r="G1367" t="str">
            <v>Windsor Collected</v>
          </cell>
          <cell r="H1367" t="str">
            <v>No</v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M1367" t="str">
            <v>No</v>
          </cell>
          <cell r="N1367" t="str">
            <v>https://panda-windows-and-doors.monday.com/protected_static/21046287/resources/2381138483/4500741409 DEPOSIT INVOICE.pdf</v>
          </cell>
          <cell r="O1367" t="str">
            <v/>
          </cell>
          <cell r="P1367" t="str">
            <v/>
          </cell>
          <cell r="Q1367" t="str">
            <v/>
          </cell>
          <cell r="R1367" t="str">
            <v/>
          </cell>
          <cell r="S1367" t="str">
            <v/>
          </cell>
          <cell r="T1367" t="str">
            <v>https://panda-windows-and-doors.monday.com/protected_static/21046287/resources/2380202498/Print data.PDF, https://panda-windows-and-doors.monday.com/protected_static/21046287/resources/2481935200/Print data.PDF</v>
          </cell>
          <cell r="U1367" t="str">
            <v/>
          </cell>
          <cell r="V1367">
            <v>12660.02</v>
          </cell>
          <cell r="W1367" t="str">
            <v>Jayme Truong Oct 21, 2025 10:16 AM</v>
          </cell>
          <cell r="X1367" t="str">
            <v/>
          </cell>
          <cell r="Y1367">
            <v>45896</v>
          </cell>
          <cell r="Z1367" t="str">
            <v/>
          </cell>
          <cell r="AA1367">
            <v>45896</v>
          </cell>
          <cell r="AB1367" t="str">
            <v>Jayme Truong Aug 27, 2025 11:02 AM</v>
          </cell>
          <cell r="AC1367">
            <v>45943</v>
          </cell>
          <cell r="AD1367" t="str">
            <v/>
          </cell>
          <cell r="AE1367" t="str">
            <v/>
          </cell>
          <cell r="AF1367">
            <v>45943</v>
          </cell>
          <cell r="AG1367">
            <v>45951</v>
          </cell>
          <cell r="AH1367" t="str">
            <v/>
          </cell>
          <cell r="AI1367" t="str">
            <v/>
          </cell>
        </row>
        <row r="1368">
          <cell r="C1368">
            <v>4500733907</v>
          </cell>
          <cell r="D1368" t="str">
            <v/>
          </cell>
          <cell r="E1368" t="str">
            <v/>
          </cell>
          <cell r="F1368" t="str">
            <v>Windsor Final</v>
          </cell>
          <cell r="G1368" t="str">
            <v>Windsor Collected</v>
          </cell>
          <cell r="H1368" t="str">
            <v>No</v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M1368" t="str">
            <v>No</v>
          </cell>
          <cell r="N1368" t="str">
            <v>https://panda-windows-and-doors.monday.com/protected_static/21046287/resources/2324343081/4500733907 Deposit Invoice.pdf</v>
          </cell>
          <cell r="O1368" t="str">
            <v/>
          </cell>
          <cell r="P1368" t="str">
            <v/>
          </cell>
          <cell r="Q1368" t="str">
            <v/>
          </cell>
          <cell r="R1368" t="str">
            <v/>
          </cell>
          <cell r="S1368" t="str">
            <v/>
          </cell>
          <cell r="T1368" t="str">
            <v>https://panda-windows-and-doors.monday.com/protected_static/21046287/resources/2322343670/Print data.PDF, https://panda-windows-and-doors.monday.com/protected_static/21046287/resources/2481926915/Print data.PDF</v>
          </cell>
          <cell r="U1368" t="str">
            <v/>
          </cell>
          <cell r="V1368">
            <v>10286.370000000001</v>
          </cell>
          <cell r="W1368" t="str">
            <v>Jayme Truong Oct 21, 2025 10:18 AM</v>
          </cell>
          <cell r="X1368" t="str">
            <v/>
          </cell>
          <cell r="Y1368">
            <v>45868</v>
          </cell>
          <cell r="Z1368" t="str">
            <v/>
          </cell>
          <cell r="AA1368">
            <v>45868</v>
          </cell>
          <cell r="AB1368" t="str">
            <v>Jayme Truong Jul 30, 2025 3:41 PM</v>
          </cell>
          <cell r="AC1368">
            <v>45943</v>
          </cell>
          <cell r="AD1368" t="str">
            <v/>
          </cell>
          <cell r="AE1368" t="str">
            <v/>
          </cell>
          <cell r="AF1368">
            <v>45943</v>
          </cell>
          <cell r="AG1368">
            <v>45951</v>
          </cell>
          <cell r="AH1368" t="str">
            <v/>
          </cell>
          <cell r="AI1368" t="str">
            <v/>
          </cell>
        </row>
        <row r="1369">
          <cell r="C1369">
            <v>4500750289</v>
          </cell>
          <cell r="D1369" t="str">
            <v/>
          </cell>
          <cell r="E1369" t="str">
            <v/>
          </cell>
          <cell r="F1369" t="str">
            <v>Windsor Final</v>
          </cell>
          <cell r="G1369" t="str">
            <v>Windsor Collected</v>
          </cell>
          <cell r="H1369" t="str">
            <v>No</v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M1369" t="str">
            <v>No</v>
          </cell>
          <cell r="N1369" t="str">
            <v/>
          </cell>
          <cell r="O1369" t="str">
            <v/>
          </cell>
          <cell r="P1369" t="str">
            <v/>
          </cell>
          <cell r="Q1369" t="str">
            <v/>
          </cell>
          <cell r="R1369" t="str">
            <v/>
          </cell>
          <cell r="S1369" t="str">
            <v/>
          </cell>
          <cell r="T1369" t="str">
            <v>https://panda-windows-and-doors.monday.com/protected_static/21046287/resources/2500402711/Print data.PDF</v>
          </cell>
          <cell r="U1369" t="str">
            <v/>
          </cell>
          <cell r="V1369">
            <v>2250</v>
          </cell>
          <cell r="W1369" t="str">
            <v>Jayme Truong Oct 23, 2025 3:19 PM</v>
          </cell>
          <cell r="X1369" t="str">
            <v/>
          </cell>
          <cell r="Y1369">
            <v>45931</v>
          </cell>
          <cell r="Z1369" t="str">
            <v/>
          </cell>
          <cell r="AA1369">
            <v>45946</v>
          </cell>
          <cell r="AB1369" t="str">
            <v>Jayme Truong Oct 1, 2025 11:11 AM</v>
          </cell>
          <cell r="AC1369">
            <v>45951</v>
          </cell>
          <cell r="AD1369" t="str">
            <v/>
          </cell>
          <cell r="AE1369" t="str">
            <v/>
          </cell>
          <cell r="AF1369">
            <v>45951</v>
          </cell>
          <cell r="AG1369">
            <v>45953</v>
          </cell>
          <cell r="AH1369" t="str">
            <v/>
          </cell>
          <cell r="AI1369" t="str">
            <v/>
          </cell>
        </row>
        <row r="1370">
          <cell r="C1370">
            <v>4500739998</v>
          </cell>
          <cell r="D1370" t="str">
            <v/>
          </cell>
          <cell r="E1370" t="str">
            <v/>
          </cell>
          <cell r="F1370" t="str">
            <v>Windsor Final</v>
          </cell>
          <cell r="G1370" t="str">
            <v>Windsor Collected</v>
          </cell>
          <cell r="H1370" t="str">
            <v>No</v>
          </cell>
          <cell r="I1370" t="str">
            <v>Alex</v>
          </cell>
          <cell r="J1370" t="str">
            <v/>
          </cell>
          <cell r="K1370" t="str">
            <v/>
          </cell>
          <cell r="L1370" t="str">
            <v/>
          </cell>
          <cell r="M1370" t="str">
            <v>Yes</v>
          </cell>
          <cell r="N1370" t="str">
            <v>https://panda-windows-and-doors.monday.com/protected_static/21046287/resources/2369318796/4500739998 Deposit Invoice.pdf</v>
          </cell>
          <cell r="O1370" t="str">
            <v/>
          </cell>
          <cell r="P1370" t="str">
            <v/>
          </cell>
          <cell r="Q1370" t="str">
            <v/>
          </cell>
          <cell r="R1370" t="str">
            <v/>
          </cell>
          <cell r="S1370" t="str">
            <v/>
          </cell>
          <cell r="T1370" t="str">
            <v>https://panda-windows-and-doors.monday.com/protected_static/21046287/resources/2369019201/Print data.PDF, https://panda-windows-and-doors.monday.com/protected_static/21046287/resources/2506005193/Print data.PDF</v>
          </cell>
          <cell r="U1370" t="str">
            <v/>
          </cell>
          <cell r="V1370">
            <v>5633.99</v>
          </cell>
          <cell r="W1370" t="str">
            <v>George Bails Nov 3, 2025 10:01 AM</v>
          </cell>
          <cell r="X1370" t="str">
            <v/>
          </cell>
          <cell r="Y1370">
            <v>45890</v>
          </cell>
          <cell r="Z1370" t="str">
            <v/>
          </cell>
          <cell r="AA1370">
            <v>45890</v>
          </cell>
          <cell r="AB1370" t="str">
            <v>Jayme Truong Aug 21, 2025 1:41 PM</v>
          </cell>
          <cell r="AC1370">
            <v>45953</v>
          </cell>
          <cell r="AD1370" t="str">
            <v/>
          </cell>
          <cell r="AE1370" t="str">
            <v/>
          </cell>
          <cell r="AF1370">
            <v>45953</v>
          </cell>
          <cell r="AG1370">
            <v>45961</v>
          </cell>
          <cell r="AH1370" t="str">
            <v/>
          </cell>
          <cell r="AI1370" t="str">
            <v/>
          </cell>
        </row>
        <row r="1371">
          <cell r="C1371" t="str">
            <v>4500758066 parts</v>
          </cell>
          <cell r="D1371" t="str">
            <v/>
          </cell>
          <cell r="E1371" t="str">
            <v/>
          </cell>
          <cell r="F1371" t="str">
            <v>Windsor Final</v>
          </cell>
          <cell r="G1371" t="str">
            <v>Windsor Collected</v>
          </cell>
          <cell r="H1371" t="str">
            <v>No</v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M1371" t="str">
            <v>No</v>
          </cell>
          <cell r="N1371" t="str">
            <v>https://panda-windows-and-doors.monday.com/protected_static/21046287/resources/2522315880/4500758066 Deposit Invoice.pdf</v>
          </cell>
          <cell r="O1371" t="str">
            <v/>
          </cell>
          <cell r="P1371" t="str">
            <v/>
          </cell>
          <cell r="Q1371" t="str">
            <v/>
          </cell>
          <cell r="R1371" t="str">
            <v/>
          </cell>
          <cell r="S1371" t="str">
            <v/>
          </cell>
          <cell r="T1371" t="str">
            <v>https://panda-windows-and-doors.monday.com/protected_static/21046287/resources/2522122275/Print data.PDF</v>
          </cell>
          <cell r="U1371" t="str">
            <v/>
          </cell>
          <cell r="V1371">
            <v>280</v>
          </cell>
          <cell r="W1371" t="str">
            <v>Jayme Truong Nov 4, 2025 7:39 AM</v>
          </cell>
          <cell r="X1371" t="str">
            <v/>
          </cell>
          <cell r="Y1371">
            <v>45960</v>
          </cell>
          <cell r="Z1371" t="str">
            <v/>
          </cell>
          <cell r="AA1371">
            <v>45960</v>
          </cell>
          <cell r="AB1371" t="str">
            <v>Annalene Conde Oct 30, 2025 12:23 PM</v>
          </cell>
          <cell r="AC1371">
            <v>45960</v>
          </cell>
          <cell r="AD1371" t="str">
            <v/>
          </cell>
          <cell r="AE1371" t="str">
            <v/>
          </cell>
          <cell r="AF1371">
            <v>45960</v>
          </cell>
          <cell r="AG1371">
            <v>45965</v>
          </cell>
          <cell r="AH1371" t="str">
            <v/>
          </cell>
          <cell r="AI1371" t="str">
            <v/>
          </cell>
        </row>
        <row r="1372">
          <cell r="C1372">
            <v>4500738990</v>
          </cell>
          <cell r="D1372" t="str">
            <v/>
          </cell>
          <cell r="E1372" t="str">
            <v/>
          </cell>
          <cell r="F1372" t="str">
            <v>Windsor Final</v>
          </cell>
          <cell r="G1372" t="str">
            <v>Windsor Collected</v>
          </cell>
          <cell r="H1372" t="str">
            <v>No</v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M1372" t="str">
            <v>No</v>
          </cell>
          <cell r="N1372" t="str">
            <v>https://panda-windows-and-doors.monday.com/protected_static/21046287/resources/2365647464/4500738990 Deposit Invoice.pdf</v>
          </cell>
          <cell r="O1372" t="str">
            <v/>
          </cell>
          <cell r="P1372" t="str">
            <v/>
          </cell>
          <cell r="Q1372" t="str">
            <v/>
          </cell>
          <cell r="R1372" t="str">
            <v/>
          </cell>
          <cell r="S1372" t="str">
            <v/>
          </cell>
          <cell r="T1372" t="str">
            <v>https://panda-windows-and-doors.monday.com/protected_static/21046287/resources/2362318456/Print data.PDF, https://panda-windows-and-doors.monday.com/protected_static/21046287/resources/2512080015/Print data.PDF</v>
          </cell>
          <cell r="U1372" t="str">
            <v/>
          </cell>
          <cell r="V1372">
            <v>38792.61</v>
          </cell>
          <cell r="W1372" t="str">
            <v>Jayme Truong Nov 4, 2025 11:07 AM</v>
          </cell>
          <cell r="X1372" t="str">
            <v/>
          </cell>
          <cell r="Y1372">
            <v>45888</v>
          </cell>
          <cell r="Z1372" t="str">
            <v/>
          </cell>
          <cell r="AA1372">
            <v>45888</v>
          </cell>
          <cell r="AB1372" t="str">
            <v>Jayme Truong Aug 19, 2025 10:13 AM</v>
          </cell>
          <cell r="AC1372">
            <v>45957</v>
          </cell>
          <cell r="AD1372" t="str">
            <v/>
          </cell>
          <cell r="AE1372" t="str">
            <v/>
          </cell>
          <cell r="AF1372">
            <v>45957</v>
          </cell>
          <cell r="AG1372">
            <v>45965</v>
          </cell>
          <cell r="AH1372" t="str">
            <v/>
          </cell>
          <cell r="AI1372" t="str">
            <v/>
          </cell>
        </row>
        <row r="1373">
          <cell r="C1373" t="str">
            <v>4500760756 parts</v>
          </cell>
          <cell r="D1373" t="str">
            <v/>
          </cell>
          <cell r="E1373" t="str">
            <v/>
          </cell>
          <cell r="F1373" t="str">
            <v>Windsor Final</v>
          </cell>
          <cell r="G1373" t="str">
            <v>Windsor Collected</v>
          </cell>
          <cell r="H1373" t="str">
            <v>No</v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M1373" t="str">
            <v>No</v>
          </cell>
          <cell r="N1373" t="str">
            <v>https://panda-windows-and-doors.monday.com/protected_static/21046287/resources/2547792411/Deposit Invoice 4500760756.pdf</v>
          </cell>
          <cell r="O1373" t="str">
            <v/>
          </cell>
          <cell r="P1373" t="str">
            <v/>
          </cell>
          <cell r="Q1373" t="str">
            <v/>
          </cell>
          <cell r="R1373" t="str">
            <v/>
          </cell>
          <cell r="S1373" t="str">
            <v/>
          </cell>
          <cell r="T1373" t="str">
            <v>https://panda-windows-and-doors.monday.com/protected_static/21046287/resources/2545414002/Print data.PDF</v>
          </cell>
          <cell r="U1373" t="str">
            <v/>
          </cell>
          <cell r="V1373">
            <v>150</v>
          </cell>
          <cell r="W1373" t="str">
            <v>Jayme Truong Nov 17, 2025 12:02 PM</v>
          </cell>
          <cell r="X1373" t="str">
            <v/>
          </cell>
          <cell r="Y1373">
            <v>45971</v>
          </cell>
          <cell r="Z1373" t="str">
            <v/>
          </cell>
          <cell r="AA1373">
            <v>45971</v>
          </cell>
          <cell r="AB1373" t="str">
            <v>Annalene Conde Nov 10, 2025 3:52 PM</v>
          </cell>
          <cell r="AC1373">
            <v>45972</v>
          </cell>
          <cell r="AD1373" t="str">
            <v/>
          </cell>
          <cell r="AE1373" t="str">
            <v/>
          </cell>
          <cell r="AF1373">
            <v>45972</v>
          </cell>
          <cell r="AG1373">
            <v>45978</v>
          </cell>
          <cell r="AH1373" t="str">
            <v/>
          </cell>
          <cell r="AI1373" t="str">
            <v/>
          </cell>
        </row>
        <row r="1374">
          <cell r="C1374" t="str">
            <v>4500764215 parts</v>
          </cell>
          <cell r="D1374" t="str">
            <v/>
          </cell>
          <cell r="E1374" t="str">
            <v/>
          </cell>
          <cell r="F1374" t="str">
            <v>Windsor Final</v>
          </cell>
          <cell r="G1374" t="str">
            <v>Windsor Collected</v>
          </cell>
          <cell r="H1374" t="str">
            <v>No</v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M1374" t="str">
            <v>No</v>
          </cell>
          <cell r="N1374" t="str">
            <v>https://panda-windows-and-doors.monday.com/protected_static/21046287/resources/2589808230/4500764215 Deposit Invoice.pdf</v>
          </cell>
          <cell r="O1374" t="str">
            <v/>
          </cell>
          <cell r="P1374" t="str">
            <v/>
          </cell>
          <cell r="Q1374" t="str">
            <v/>
          </cell>
          <cell r="R1374" t="str">
            <v/>
          </cell>
          <cell r="S1374" t="str">
            <v/>
          </cell>
          <cell r="T1374" t="str">
            <v>https://panda-windows-and-doors.monday.com/protected_static/21046287/resources/2588979141/Print data.PDF</v>
          </cell>
          <cell r="U1374" t="str">
            <v/>
          </cell>
          <cell r="V1374">
            <v>560</v>
          </cell>
          <cell r="W1374" t="str">
            <v>Jayme Truong Dec 5, 2025 11:35 AM</v>
          </cell>
          <cell r="X1374" t="str">
            <v/>
          </cell>
          <cell r="Y1374">
            <v>45992</v>
          </cell>
          <cell r="Z1374" t="str">
            <v/>
          </cell>
          <cell r="AA1374">
            <v>45992</v>
          </cell>
          <cell r="AB1374" t="str">
            <v>Annalene Conde Dec 1, 2025 8:46 AM</v>
          </cell>
          <cell r="AC1374">
            <v>45992</v>
          </cell>
          <cell r="AD1374" t="str">
            <v/>
          </cell>
          <cell r="AE1374" t="str">
            <v/>
          </cell>
          <cell r="AF1374">
            <v>45992</v>
          </cell>
          <cell r="AG1374">
            <v>45996</v>
          </cell>
          <cell r="AH1374" t="str">
            <v/>
          </cell>
          <cell r="AI1374" t="str">
            <v/>
          </cell>
        </row>
        <row r="1375">
          <cell r="C1375">
            <v>4500751351</v>
          </cell>
          <cell r="D1375" t="str">
            <v/>
          </cell>
          <cell r="E1375" t="str">
            <v/>
          </cell>
          <cell r="F1375" t="str">
            <v>Windsor Final</v>
          </cell>
          <cell r="G1375" t="str">
            <v>Windsor Collected</v>
          </cell>
          <cell r="H1375" t="str">
            <v>No</v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M1375" t="str">
            <v>No</v>
          </cell>
          <cell r="N1375" t="str">
            <v>https://panda-windows-and-doors.monday.com/protected_static/21046287/resources/2469481642/4500751351 Deposit Invoice.pdf</v>
          </cell>
          <cell r="O1375" t="str">
            <v/>
          </cell>
          <cell r="P1375" t="str">
            <v/>
          </cell>
          <cell r="Q1375" t="str">
            <v/>
          </cell>
          <cell r="R1375" t="str">
            <v/>
          </cell>
          <cell r="S1375" t="str">
            <v/>
          </cell>
          <cell r="T1375" t="str">
            <v>https://panda-windows-and-doors.monday.com/protected_static/21046287/resources/2468609576/Print data.PDF, https://panda-windows-and-doors.monday.com/protected_static/21046287/resources/2540699248/Print data.PDF</v>
          </cell>
          <cell r="U1375" t="str">
            <v/>
          </cell>
          <cell r="V1375">
            <v>7656.01</v>
          </cell>
          <cell r="W1375" t="str">
            <v>Jayme Truong Dec 9, 2025 4:51 PM</v>
          </cell>
          <cell r="X1375" t="str">
            <v/>
          </cell>
          <cell r="Y1375">
            <v>45937</v>
          </cell>
          <cell r="Z1375" t="str">
            <v/>
          </cell>
          <cell r="AA1375">
            <v>45937</v>
          </cell>
          <cell r="AB1375" t="str">
            <v>Annalene Conde Oct 7, 2025 8:26 AM</v>
          </cell>
          <cell r="AC1375">
            <v>45968</v>
          </cell>
          <cell r="AD1375" t="str">
            <v/>
          </cell>
          <cell r="AE1375" t="str">
            <v/>
          </cell>
          <cell r="AF1375">
            <v>45968</v>
          </cell>
          <cell r="AG1375">
            <v>46000</v>
          </cell>
          <cell r="AH1375" t="str">
            <v/>
          </cell>
          <cell r="AI1375" t="str">
            <v/>
          </cell>
        </row>
        <row r="1376">
          <cell r="C1376">
            <v>4500752870</v>
          </cell>
          <cell r="D1376" t="str">
            <v/>
          </cell>
          <cell r="E1376" t="str">
            <v/>
          </cell>
          <cell r="F1376" t="str">
            <v>Windsor Final</v>
          </cell>
          <cell r="G1376" t="str">
            <v>Windsor Collected</v>
          </cell>
          <cell r="H1376" t="str">
            <v>No</v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M1376" t="str">
            <v>No</v>
          </cell>
          <cell r="N1376" t="str">
            <v>https://panda-windows-and-doors.monday.com/protected_static/21046287/resources/2479186783/4500752870 Deposit Invoice.pdf</v>
          </cell>
          <cell r="O1376" t="str">
            <v/>
          </cell>
          <cell r="P1376" t="str">
            <v/>
          </cell>
          <cell r="Q1376" t="str">
            <v/>
          </cell>
          <cell r="R1376" t="str">
            <v/>
          </cell>
          <cell r="S1376" t="str">
            <v/>
          </cell>
          <cell r="T1376" t="str">
            <v>https://panda-windows-and-doors.monday.com/protected_static/21046287/resources/2478339289/Print data.PDF, https://panda-windows-and-doors.monday.com/protected_static/21046287/resources/2555573728/Print data.PDF</v>
          </cell>
          <cell r="U1376" t="str">
            <v/>
          </cell>
          <cell r="V1376">
            <v>8328.86</v>
          </cell>
          <cell r="W1376" t="str">
            <v>Jayme Truong Dec 9, 2025 4:53 PM</v>
          </cell>
          <cell r="X1376" t="str">
            <v/>
          </cell>
          <cell r="Y1376">
            <v>45940</v>
          </cell>
          <cell r="Z1376" t="str">
            <v/>
          </cell>
          <cell r="AA1376">
            <v>45940</v>
          </cell>
          <cell r="AB1376" t="str">
            <v>Annalene Conde Oct 10, 2025 11:08 AM</v>
          </cell>
          <cell r="AC1376">
            <v>45975</v>
          </cell>
          <cell r="AD1376" t="str">
            <v/>
          </cell>
          <cell r="AE1376" t="str">
            <v/>
          </cell>
          <cell r="AF1376">
            <v>45975</v>
          </cell>
          <cell r="AG1376">
            <v>46000</v>
          </cell>
          <cell r="AH1376" t="str">
            <v/>
          </cell>
          <cell r="AI1376" t="str">
            <v/>
          </cell>
        </row>
        <row r="1377">
          <cell r="C1377" t="str">
            <v>4500766097 parts</v>
          </cell>
          <cell r="D1377" t="str">
            <v/>
          </cell>
          <cell r="E1377" t="str">
            <v/>
          </cell>
          <cell r="F1377" t="str">
            <v>Windsor Final</v>
          </cell>
          <cell r="G1377" t="str">
            <v>Windsor Collected</v>
          </cell>
          <cell r="H1377" t="str">
            <v>No</v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M1377" t="str">
            <v>No</v>
          </cell>
          <cell r="N1377" t="str">
            <v>https://panda-windows-and-doors.monday.com/protected_static/21046287/resources/2599650042/4500766097 Deposit Invoice.pdf</v>
          </cell>
          <cell r="O1377" t="str">
            <v/>
          </cell>
          <cell r="P1377" t="str">
            <v/>
          </cell>
          <cell r="Q1377" t="str">
            <v/>
          </cell>
          <cell r="R1377" t="str">
            <v/>
          </cell>
          <cell r="S1377" t="str">
            <v/>
          </cell>
          <cell r="T1377" t="str">
            <v>https://panda-windows-and-doors.monday.com/protected_static/21046287/resources/2598820908/Print data.PDF</v>
          </cell>
          <cell r="U1377" t="str">
            <v/>
          </cell>
          <cell r="V1377">
            <v>200</v>
          </cell>
          <cell r="W1377" t="str">
            <v>Annalene Conde Dec 9, 2025 4:57 PM</v>
          </cell>
          <cell r="X1377" t="str">
            <v/>
          </cell>
          <cell r="Y1377">
            <v>45993</v>
          </cell>
          <cell r="Z1377" t="str">
            <v/>
          </cell>
          <cell r="AA1377">
            <v>45995</v>
          </cell>
          <cell r="AB1377" t="str">
            <v>Annalene Conde Dec 2, 2025 2:56 PM</v>
          </cell>
          <cell r="AC1377">
            <v>45995</v>
          </cell>
          <cell r="AD1377" t="str">
            <v/>
          </cell>
          <cell r="AE1377" t="str">
            <v/>
          </cell>
          <cell r="AF1377">
            <v>45995</v>
          </cell>
          <cell r="AG1377">
            <v>46000</v>
          </cell>
          <cell r="AH1377" t="str">
            <v/>
          </cell>
          <cell r="AI1377" t="str">
            <v/>
          </cell>
        </row>
        <row r="1378">
          <cell r="C1378">
            <v>4500753217</v>
          </cell>
          <cell r="D1378" t="str">
            <v/>
          </cell>
          <cell r="E1378" t="str">
            <v/>
          </cell>
          <cell r="F1378" t="str">
            <v>Windsor Final</v>
          </cell>
          <cell r="G1378" t="str">
            <v>Windsor Collected</v>
          </cell>
          <cell r="H1378" t="str">
            <v>No</v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M1378" t="str">
            <v>No</v>
          </cell>
          <cell r="N1378" t="str">
            <v>https://panda-windows-and-doors.monday.com/protected_static/21046287/resources/2482767995/4500753217 Deposit Invoice.pdf</v>
          </cell>
          <cell r="O1378" t="str">
            <v/>
          </cell>
          <cell r="P1378" t="str">
            <v/>
          </cell>
          <cell r="Q1378" t="str">
            <v/>
          </cell>
          <cell r="R1378" t="str">
            <v/>
          </cell>
          <cell r="S1378" t="str">
            <v/>
          </cell>
          <cell r="T1378" t="str">
            <v>https://panda-windows-and-doors.monday.com/protected_static/21046287/resources/2482535097/Print data.PDF, https://panda-windows-and-doors.monday.com/protected_static/21046287/resources/2568883170/Print data.PDF</v>
          </cell>
          <cell r="U1378" t="str">
            <v/>
          </cell>
          <cell r="V1378">
            <v>19042.11</v>
          </cell>
          <cell r="W1378" t="str">
            <v>George Bails Dec 12, 2025 8:07 AM</v>
          </cell>
          <cell r="X1378" t="str">
            <v/>
          </cell>
          <cell r="Y1378">
            <v>45943</v>
          </cell>
          <cell r="Z1378" t="str">
            <v/>
          </cell>
          <cell r="AA1378">
            <v>45943</v>
          </cell>
          <cell r="AB1378" t="str">
            <v>Annalene Conde Oct 13, 2025 2:47 PM</v>
          </cell>
          <cell r="AC1378">
            <v>45981</v>
          </cell>
          <cell r="AD1378" t="str">
            <v/>
          </cell>
          <cell r="AE1378" t="str">
            <v/>
          </cell>
          <cell r="AF1378">
            <v>45981</v>
          </cell>
          <cell r="AG1378">
            <v>46003</v>
          </cell>
          <cell r="AH1378" t="str">
            <v/>
          </cell>
          <cell r="AI1378" t="str">
            <v/>
          </cell>
        </row>
        <row r="1379">
          <cell r="C1379" t="str">
            <v>4500766286 parts</v>
          </cell>
          <cell r="D1379" t="str">
            <v/>
          </cell>
          <cell r="E1379" t="str">
            <v/>
          </cell>
          <cell r="F1379" t="str">
            <v>Windsor Final</v>
          </cell>
          <cell r="G1379" t="str">
            <v>Windsor Collected</v>
          </cell>
          <cell r="H1379" t="str">
            <v>No</v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M1379" t="str">
            <v>No</v>
          </cell>
          <cell r="N1379" t="str">
            <v>https://panda-windows-and-doors.monday.com/protected_static/21046287/resources/2608675618/4500766286 Deposit Invoice.pdf</v>
          </cell>
          <cell r="O1379" t="str">
            <v/>
          </cell>
          <cell r="P1379" t="str">
            <v/>
          </cell>
          <cell r="Q1379" t="str">
            <v/>
          </cell>
          <cell r="R1379" t="str">
            <v/>
          </cell>
          <cell r="S1379" t="str">
            <v/>
          </cell>
          <cell r="T1379" t="str">
            <v>https://panda-windows-and-doors.monday.com/protected_static/21046287/resources/2608108206/Print data.PDF</v>
          </cell>
          <cell r="U1379" t="str">
            <v/>
          </cell>
          <cell r="V1379">
            <v>200</v>
          </cell>
          <cell r="W1379" t="str">
            <v>Sean Lopez Dec 16, 2025 12:14 PM</v>
          </cell>
          <cell r="X1379" t="str">
            <v/>
          </cell>
          <cell r="Y1379">
            <v>46000</v>
          </cell>
          <cell r="Z1379" t="str">
            <v/>
          </cell>
          <cell r="AA1379">
            <v>46000</v>
          </cell>
          <cell r="AB1379" t="str">
            <v>Annalene Conde Dec 9, 2025 12:34 PM</v>
          </cell>
          <cell r="AC1379">
            <v>46000</v>
          </cell>
          <cell r="AD1379" t="str">
            <v/>
          </cell>
          <cell r="AE1379" t="str">
            <v/>
          </cell>
          <cell r="AF1379">
            <v>46000</v>
          </cell>
          <cell r="AG1379">
            <v>46007</v>
          </cell>
          <cell r="AH1379" t="str">
            <v/>
          </cell>
          <cell r="AI1379" t="str">
            <v/>
          </cell>
        </row>
        <row r="1380">
          <cell r="C1380" t="str">
            <v>4500766762 parts</v>
          </cell>
          <cell r="D1380" t="str">
            <v/>
          </cell>
          <cell r="E1380" t="str">
            <v/>
          </cell>
          <cell r="F1380" t="str">
            <v>Windsor Final</v>
          </cell>
          <cell r="G1380" t="str">
            <v>Windsor Collected</v>
          </cell>
          <cell r="H1380" t="str">
            <v>No</v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M1380" t="str">
            <v>No</v>
          </cell>
          <cell r="N1380" t="str">
            <v>https://panda-windows-and-doors.monday.com/protected_static/21046287/resources/2608702934/4500766762 Deposit Invoice.pdf</v>
          </cell>
          <cell r="O1380" t="str">
            <v/>
          </cell>
          <cell r="P1380" t="str">
            <v/>
          </cell>
          <cell r="Q1380" t="str">
            <v/>
          </cell>
          <cell r="R1380" t="str">
            <v/>
          </cell>
          <cell r="S1380" t="str">
            <v/>
          </cell>
          <cell r="T1380" t="str">
            <v>https://panda-windows-and-doors.monday.com/protected_static/21046287/resources/2608113145/Print data.PDF</v>
          </cell>
          <cell r="U1380" t="str">
            <v/>
          </cell>
          <cell r="V1380">
            <v>270</v>
          </cell>
          <cell r="W1380" t="str">
            <v>Sean Lopez Dec 16, 2025 12:15 PM</v>
          </cell>
          <cell r="X1380" t="str">
            <v/>
          </cell>
          <cell r="Y1380">
            <v>46000</v>
          </cell>
          <cell r="Z1380" t="str">
            <v/>
          </cell>
          <cell r="AA1380">
            <v>46000</v>
          </cell>
          <cell r="AB1380" t="str">
            <v>Annalene Conde Dec 9, 2025 12:35 PM</v>
          </cell>
          <cell r="AC1380">
            <v>46000</v>
          </cell>
          <cell r="AD1380" t="str">
            <v/>
          </cell>
          <cell r="AE1380" t="str">
            <v/>
          </cell>
          <cell r="AF1380">
            <v>46000</v>
          </cell>
          <cell r="AG1380">
            <v>46007</v>
          </cell>
          <cell r="AH1380" t="str">
            <v/>
          </cell>
          <cell r="AI1380" t="str">
            <v/>
          </cell>
        </row>
        <row r="1381">
          <cell r="C1381">
            <v>4500756923</v>
          </cell>
          <cell r="D1381" t="str">
            <v/>
          </cell>
          <cell r="E1381" t="str">
            <v/>
          </cell>
          <cell r="F1381" t="str">
            <v>Windsor Final</v>
          </cell>
          <cell r="G1381" t="str">
            <v>Windsor Collected</v>
          </cell>
          <cell r="H1381" t="str">
            <v>No</v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M1381" t="str">
            <v>No</v>
          </cell>
          <cell r="N1381" t="str">
            <v>https://panda-windows-and-doors.monday.com/protected_static/21046287/resources/2515913260/4500756923 Deposit Invoice.pdf</v>
          </cell>
          <cell r="O1381" t="str">
            <v/>
          </cell>
          <cell r="P1381" t="str">
            <v/>
          </cell>
          <cell r="Q1381" t="str">
            <v/>
          </cell>
          <cell r="R1381" t="str">
            <v/>
          </cell>
          <cell r="S1381" t="str">
            <v/>
          </cell>
          <cell r="T1381" t="str">
            <v>https://panda-windows-and-doors.monday.com/protected_static/21046287/resources/2515754710/Print data.PDF, https://panda-windows-and-doors.monday.com/protected_static/21046287/resources/2607454286/Print data.PDF</v>
          </cell>
          <cell r="U1381" t="str">
            <v/>
          </cell>
          <cell r="V1381">
            <v>9376.5400000000009</v>
          </cell>
          <cell r="W1381" t="str">
            <v>Annalene Conde Jan 6, 2026 9:06 AM</v>
          </cell>
          <cell r="X1381" t="str">
            <v/>
          </cell>
          <cell r="Y1381">
            <v>45958</v>
          </cell>
          <cell r="Z1381" t="str">
            <v/>
          </cell>
          <cell r="AA1381">
            <v>45958</v>
          </cell>
          <cell r="AB1381" t="str">
            <v>Annalene Conde Oct 28, 2025 11:29 AM</v>
          </cell>
          <cell r="AC1381">
            <v>46000</v>
          </cell>
          <cell r="AD1381" t="str">
            <v/>
          </cell>
          <cell r="AE1381" t="str">
            <v/>
          </cell>
          <cell r="AF1381">
            <v>46000</v>
          </cell>
          <cell r="AG1381">
            <v>46028</v>
          </cell>
          <cell r="AH1381" t="str">
            <v/>
          </cell>
          <cell r="AI1381" t="str">
            <v/>
          </cell>
        </row>
        <row r="1382">
          <cell r="C1382">
            <v>4500756561</v>
          </cell>
          <cell r="D1382" t="str">
            <v/>
          </cell>
          <cell r="E1382" t="str">
            <v/>
          </cell>
          <cell r="F1382" t="str">
            <v>Windsor Final</v>
          </cell>
          <cell r="G1382" t="str">
            <v>Windsor Collected</v>
          </cell>
          <cell r="H1382" t="str">
            <v>No</v>
          </cell>
          <cell r="I1382" t="str">
            <v>Alex</v>
          </cell>
          <cell r="J1382" t="str">
            <v/>
          </cell>
          <cell r="K1382" t="str">
            <v/>
          </cell>
          <cell r="L1382" t="str">
            <v/>
          </cell>
          <cell r="M1382" t="str">
            <v>Yes</v>
          </cell>
          <cell r="N1382" t="str">
            <v>https://panda-windows-and-doors.monday.com/protected_static/21046287/resources/2513717064/4500756561 deposit invoice.pdf</v>
          </cell>
          <cell r="O1382" t="str">
            <v/>
          </cell>
          <cell r="P1382" t="str">
            <v/>
          </cell>
          <cell r="Q1382" t="str">
            <v/>
          </cell>
          <cell r="R1382" t="str">
            <v/>
          </cell>
          <cell r="S1382" t="str">
            <v/>
          </cell>
          <cell r="T1382" t="str">
            <v>https://panda-windows-and-doors.monday.com/protected_static/21046287/resources/2512122520/Print data.PDF, https://panda-windows-and-doors.monday.com/protected_static/21046287/resources/2607465401/Print data.PDF</v>
          </cell>
          <cell r="U1382" t="str">
            <v/>
          </cell>
          <cell r="V1382">
            <v>5560.55</v>
          </cell>
          <cell r="W1382" t="str">
            <v>Annalene Conde Jan 6, 2026 9:10 AM</v>
          </cell>
          <cell r="X1382" t="str">
            <v/>
          </cell>
          <cell r="Y1382">
            <v>45957</v>
          </cell>
          <cell r="Z1382" t="str">
            <v/>
          </cell>
          <cell r="AA1382">
            <v>45957</v>
          </cell>
          <cell r="AB1382" t="str">
            <v>Annalene Conde Oct 27, 2025 8:33 AM</v>
          </cell>
          <cell r="AC1382">
            <v>46000</v>
          </cell>
          <cell r="AD1382" t="str">
            <v/>
          </cell>
          <cell r="AE1382" t="str">
            <v/>
          </cell>
          <cell r="AF1382">
            <v>46000</v>
          </cell>
          <cell r="AG1382">
            <v>46028</v>
          </cell>
          <cell r="AH1382" t="str">
            <v/>
          </cell>
          <cell r="AI1382" t="str">
            <v/>
          </cell>
        </row>
        <row r="1383">
          <cell r="C1383" t="str">
            <v>4500766675-S</v>
          </cell>
          <cell r="D1383" t="str">
            <v/>
          </cell>
          <cell r="E1383" t="str">
            <v/>
          </cell>
          <cell r="F1383" t="str">
            <v>Windsor Final</v>
          </cell>
          <cell r="G1383" t="str">
            <v>Windsor Collected</v>
          </cell>
          <cell r="H1383" t="str">
            <v>No</v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M1383" t="str">
            <v>No</v>
          </cell>
          <cell r="N1383" t="str">
            <v/>
          </cell>
          <cell r="O1383" t="str">
            <v/>
          </cell>
          <cell r="P1383" t="str">
            <v/>
          </cell>
          <cell r="Q1383" t="str">
            <v/>
          </cell>
          <cell r="R1383" t="str">
            <v/>
          </cell>
          <cell r="S1383" t="str">
            <v/>
          </cell>
          <cell r="T1383" t="str">
            <v>https://panda-windows-and-doors.monday.com/protected_static/21046287/resources/2630539040/Print data.PDF</v>
          </cell>
          <cell r="U1383" t="str">
            <v/>
          </cell>
          <cell r="V1383">
            <v>2250</v>
          </cell>
          <cell r="W1383" t="str">
            <v>Annalene Conde Jan 6, 2026 9:13 AM</v>
          </cell>
          <cell r="X1383" t="str">
            <v/>
          </cell>
          <cell r="Y1383">
            <v>45995</v>
          </cell>
          <cell r="Z1383" t="str">
            <v/>
          </cell>
          <cell r="AA1383">
            <v>46009</v>
          </cell>
          <cell r="AB1383" t="str">
            <v>Annalene Conde Dec 4, 2025 9:50 AM</v>
          </cell>
          <cell r="AC1383">
            <v>46010</v>
          </cell>
          <cell r="AD1383" t="str">
            <v/>
          </cell>
          <cell r="AE1383" t="str">
            <v/>
          </cell>
          <cell r="AF1383">
            <v>46010</v>
          </cell>
          <cell r="AG1383">
            <v>46028</v>
          </cell>
          <cell r="AH1383" t="str">
            <v/>
          </cell>
          <cell r="AI1383" t="str">
            <v/>
          </cell>
        </row>
        <row r="1384">
          <cell r="C1384">
            <v>4500753290</v>
          </cell>
          <cell r="D1384" t="str">
            <v/>
          </cell>
          <cell r="E1384" t="str">
            <v/>
          </cell>
          <cell r="F1384" t="str">
            <v>Windsor Final</v>
          </cell>
          <cell r="G1384" t="str">
            <v>Windsor Collected</v>
          </cell>
          <cell r="H1384" t="str">
            <v>No</v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M1384" t="str">
            <v>No</v>
          </cell>
          <cell r="N1384" t="str">
            <v>https://panda-windows-and-doors.monday.com/protected_static/21046287/resources/2491323341/4500753290 Deposit Invoice.pdf</v>
          </cell>
          <cell r="O1384" t="str">
            <v/>
          </cell>
          <cell r="P1384" t="str">
            <v/>
          </cell>
          <cell r="Q1384" t="str">
            <v/>
          </cell>
          <cell r="R1384" t="str">
            <v/>
          </cell>
          <cell r="S1384" t="str">
            <v/>
          </cell>
          <cell r="T1384" t="str">
            <v>https://panda-windows-and-doors.monday.com/protected_static/21046287/resources/2487381571/Print data.PDF, https://panda-windows-and-doors.monday.com/protected_static/21046287/resources/2636684650/Print data.PDF</v>
          </cell>
          <cell r="U1384" t="str">
            <v/>
          </cell>
          <cell r="V1384">
            <v>32216.03</v>
          </cell>
          <cell r="W1384" t="str">
            <v>Annalene Conde Jan 6, 2026 9:15 AM</v>
          </cell>
          <cell r="X1384" t="str">
            <v/>
          </cell>
          <cell r="Y1384">
            <v>45945</v>
          </cell>
          <cell r="Z1384" t="str">
            <v/>
          </cell>
          <cell r="AA1384">
            <v>45945</v>
          </cell>
          <cell r="AB1384" t="str">
            <v>Annalene Conde Oct 15, 2025 8:11 AM</v>
          </cell>
          <cell r="AC1384">
            <v>46013</v>
          </cell>
          <cell r="AD1384" t="str">
            <v/>
          </cell>
          <cell r="AE1384" t="str">
            <v/>
          </cell>
          <cell r="AF1384">
            <v>46013</v>
          </cell>
          <cell r="AG1384">
            <v>46028</v>
          </cell>
          <cell r="AH1384" t="str">
            <v/>
          </cell>
          <cell r="AI1384" t="str">
            <v/>
          </cell>
        </row>
        <row r="1385">
          <cell r="C1385">
            <v>4500751474</v>
          </cell>
          <cell r="D1385" t="str">
            <v/>
          </cell>
          <cell r="E1385" t="str">
            <v/>
          </cell>
          <cell r="F1385" t="str">
            <v>Windsor Final</v>
          </cell>
          <cell r="G1385" t="str">
            <v>Windsor Collected</v>
          </cell>
          <cell r="H1385" t="str">
            <v>No</v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M1385" t="str">
            <v>No</v>
          </cell>
          <cell r="N1385" t="str">
            <v>https://panda-windows-and-doors.monday.com/protected_static/21046287/resources/2469153887/4500751474 Deposit Invoice.pdf</v>
          </cell>
          <cell r="O1385" t="str">
            <v/>
          </cell>
          <cell r="P1385" t="str">
            <v/>
          </cell>
          <cell r="Q1385" t="str">
            <v/>
          </cell>
          <cell r="R1385" t="str">
            <v/>
          </cell>
          <cell r="S1385" t="str">
            <v/>
          </cell>
          <cell r="T1385" t="str">
            <v>https://panda-windows-and-doors.monday.com/protected_static/21046287/resources/2466660029/Print data.PDF, https://panda-windows-and-doors.monday.com/protected_static/21046287/resources/2576822623/Print data.PDF</v>
          </cell>
          <cell r="U1385">
            <v>0</v>
          </cell>
          <cell r="V1385">
            <v>53028.5</v>
          </cell>
          <cell r="W1385" t="str">
            <v>Annalene Conde Jan 6, 2026 9:19 AM</v>
          </cell>
          <cell r="X1385" t="str">
            <v/>
          </cell>
          <cell r="Y1385">
            <v>45936</v>
          </cell>
          <cell r="Z1385" t="str">
            <v/>
          </cell>
          <cell r="AA1385">
            <v>45936</v>
          </cell>
          <cell r="AB1385" t="str">
            <v>Annalene Conde Oct 6, 2025 1:26 PM</v>
          </cell>
          <cell r="AC1385">
            <v>45986</v>
          </cell>
          <cell r="AD1385" t="str">
            <v/>
          </cell>
          <cell r="AE1385" t="str">
            <v/>
          </cell>
          <cell r="AF1385">
            <v>45986</v>
          </cell>
          <cell r="AG1385">
            <v>46028</v>
          </cell>
          <cell r="AH1385" t="str">
            <v/>
          </cell>
          <cell r="AI1385" t="str">
            <v/>
          </cell>
        </row>
        <row r="1386">
          <cell r="C1386">
            <v>4500752877</v>
          </cell>
          <cell r="D1386" t="str">
            <v/>
          </cell>
          <cell r="E1386" t="str">
            <v/>
          </cell>
          <cell r="F1386" t="str">
            <v>Windsor Final</v>
          </cell>
          <cell r="G1386" t="str">
            <v>Windsor Collected</v>
          </cell>
          <cell r="H1386" t="str">
            <v>No</v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M1386" t="str">
            <v>No</v>
          </cell>
          <cell r="N1386" t="str">
            <v>https://panda-windows-and-doors.monday.com/protected_static/21046287/resources/2481892136/4500752877 Deposit Invoice.pdf</v>
          </cell>
          <cell r="O1386" t="str">
            <v/>
          </cell>
          <cell r="P1386" t="str">
            <v/>
          </cell>
          <cell r="Q1386" t="str">
            <v/>
          </cell>
          <cell r="R1386" t="str">
            <v/>
          </cell>
          <cell r="S1386" t="str">
            <v/>
          </cell>
          <cell r="T1386" t="str">
            <v>https://panda-windows-and-doors.monday.com/protected_static/21046287/resources/2481376700/Print data.PDF, https://panda-windows-and-doors.monday.com/protected_static/21046287/resources/2640936569/Print data.PDF</v>
          </cell>
          <cell r="U1386" t="str">
            <v/>
          </cell>
          <cell r="V1386">
            <v>34586.92</v>
          </cell>
          <cell r="W1386" t="str">
            <v>Annalene Conde Jan 7, 2026 2:08 PM</v>
          </cell>
          <cell r="X1386" t="str">
            <v/>
          </cell>
          <cell r="Y1386">
            <v>45943</v>
          </cell>
          <cell r="Z1386" t="str">
            <v/>
          </cell>
          <cell r="AA1386">
            <v>45943</v>
          </cell>
          <cell r="AB1386" t="str">
            <v>Annalene Conde Oct 13, 2025 8:21 AM</v>
          </cell>
          <cell r="AC1386">
            <v>46015</v>
          </cell>
          <cell r="AD1386" t="str">
            <v/>
          </cell>
          <cell r="AE1386" t="str">
            <v/>
          </cell>
          <cell r="AF1386">
            <v>46015</v>
          </cell>
          <cell r="AG1386">
            <v>46029</v>
          </cell>
          <cell r="AH1386" t="str">
            <v/>
          </cell>
          <cell r="AI1386" t="str">
            <v/>
          </cell>
        </row>
        <row r="1387">
          <cell r="C1387">
            <v>4500758725</v>
          </cell>
          <cell r="D1387" t="str">
            <v/>
          </cell>
          <cell r="E1387" t="str">
            <v/>
          </cell>
          <cell r="F1387" t="str">
            <v>Windsor Final</v>
          </cell>
          <cell r="G1387" t="str">
            <v>Windsor Collected</v>
          </cell>
          <cell r="H1387" t="str">
            <v>No</v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M1387" t="str">
            <v>No</v>
          </cell>
          <cell r="N1387" t="str">
            <v>https://panda-windows-and-doors.monday.com/protected_static/21046287/resources/2538140766/4500758725 dEPOSIT INVOICE.pdf</v>
          </cell>
          <cell r="O1387" t="str">
            <v/>
          </cell>
          <cell r="P1387" t="str">
            <v/>
          </cell>
          <cell r="Q1387" t="str">
            <v/>
          </cell>
          <cell r="R1387" t="str">
            <v/>
          </cell>
          <cell r="S1387" t="str">
            <v/>
          </cell>
          <cell r="T1387" t="str">
            <v>https://panda-windows-and-doors.monday.com/protected_static/21046287/resources/2535923135/Print data.PDF, https://panda-windows-and-doors.monday.com/protected_static/21046287/resources/2647264077/Print data.PDF</v>
          </cell>
          <cell r="U1387" t="str">
            <v/>
          </cell>
          <cell r="V1387">
            <v>13039.96</v>
          </cell>
          <cell r="W1387" t="str">
            <v>Annalene Conde Jan 13, 2026 10:30 AM</v>
          </cell>
          <cell r="X1387" t="str">
            <v/>
          </cell>
          <cell r="Y1387">
            <v>45964</v>
          </cell>
          <cell r="Z1387" t="str">
            <v/>
          </cell>
          <cell r="AA1387">
            <v>45966</v>
          </cell>
          <cell r="AB1387" t="str">
            <v>Annalene Conde Nov 3, 2025 10:45 AM</v>
          </cell>
          <cell r="AC1387">
            <v>46021</v>
          </cell>
          <cell r="AD1387" t="str">
            <v/>
          </cell>
          <cell r="AE1387" t="str">
            <v/>
          </cell>
          <cell r="AF1387">
            <v>46021</v>
          </cell>
          <cell r="AG1387">
            <v>46035</v>
          </cell>
          <cell r="AH1387" t="str">
            <v/>
          </cell>
          <cell r="AI1387" t="str">
            <v/>
          </cell>
        </row>
        <row r="1388">
          <cell r="C1388">
            <v>4500759950</v>
          </cell>
          <cell r="D1388" t="str">
            <v/>
          </cell>
          <cell r="E1388" t="str">
            <v/>
          </cell>
          <cell r="F1388" t="str">
            <v>Windsor Final</v>
          </cell>
          <cell r="G1388" t="str">
            <v>Windsor Collected</v>
          </cell>
          <cell r="H1388" t="str">
            <v>No</v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M1388" t="str">
            <v>No</v>
          </cell>
          <cell r="N1388" t="str">
            <v>https://panda-windows-and-doors.monday.com/protected_static/21046287/resources/2538684615/4500759950 deposit invoice.pdf</v>
          </cell>
          <cell r="O1388" t="str">
            <v/>
          </cell>
          <cell r="P1388" t="str">
            <v/>
          </cell>
          <cell r="Q1388" t="str">
            <v/>
          </cell>
          <cell r="R1388" t="str">
            <v/>
          </cell>
          <cell r="S1388" t="str">
            <v/>
          </cell>
          <cell r="T1388" t="str">
            <v>https://panda-windows-and-doors.monday.com/protected_static/21046287/resources/2538553510/Print data.PDF</v>
          </cell>
          <cell r="U1388" t="str">
            <v/>
          </cell>
          <cell r="V1388">
            <v>11910.68</v>
          </cell>
          <cell r="W1388" t="str">
            <v>Annalene Conde Jan 16, 2026 2:56 PM</v>
          </cell>
          <cell r="X1388" t="str">
            <v/>
          </cell>
          <cell r="Y1388">
            <v>45967</v>
          </cell>
          <cell r="Z1388" t="str">
            <v/>
          </cell>
          <cell r="AA1388">
            <v>45967</v>
          </cell>
          <cell r="AB1388" t="str">
            <v>Annalene Conde Nov 6, 2025 1:52 PM</v>
          </cell>
          <cell r="AC1388">
            <v>46007</v>
          </cell>
          <cell r="AD1388" t="str">
            <v/>
          </cell>
          <cell r="AE1388" t="str">
            <v/>
          </cell>
          <cell r="AF1388">
            <v>46007</v>
          </cell>
          <cell r="AG1388">
            <v>46038</v>
          </cell>
          <cell r="AH1388" t="str">
            <v/>
          </cell>
          <cell r="AI1388" t="str">
            <v/>
          </cell>
        </row>
        <row r="1389">
          <cell r="C1389" t="str">
            <v>4500775684 - parts</v>
          </cell>
          <cell r="D1389" t="str">
            <v/>
          </cell>
          <cell r="E1389" t="str">
            <v/>
          </cell>
          <cell r="F1389" t="str">
            <v>Windsor Final</v>
          </cell>
          <cell r="G1389" t="str">
            <v>Windsor Collected</v>
          </cell>
          <cell r="H1389" t="str">
            <v>No</v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M1389" t="str">
            <v>No</v>
          </cell>
          <cell r="N1389" t="str">
            <v>https://panda-windows-and-doors.monday.com/protected_static/21046287/resources/2679991259/4500775684 Deposit Invoice.pdf</v>
          </cell>
          <cell r="O1389" t="str">
            <v/>
          </cell>
          <cell r="P1389" t="str">
            <v/>
          </cell>
          <cell r="Q1389" t="str">
            <v/>
          </cell>
          <cell r="R1389" t="str">
            <v/>
          </cell>
          <cell r="S1389" t="str">
            <v/>
          </cell>
          <cell r="T1389" t="str">
            <v>https://panda-windows-and-doors.monday.com/protected_static/21046287/resources/2679973746/Print data.PDF</v>
          </cell>
          <cell r="U1389" t="str">
            <v/>
          </cell>
          <cell r="V1389">
            <v>32</v>
          </cell>
          <cell r="W1389" t="str">
            <v>Annalene Conde Jan 16, 2026 2:58 PM</v>
          </cell>
          <cell r="X1389" t="str">
            <v/>
          </cell>
          <cell r="Y1389">
            <v>46035</v>
          </cell>
          <cell r="Z1389" t="str">
            <v/>
          </cell>
          <cell r="AA1389">
            <v>46035</v>
          </cell>
          <cell r="AB1389" t="str">
            <v>Annalene Conde Jan 13, 2026 2:06 PM</v>
          </cell>
          <cell r="AC1389">
            <v>46035</v>
          </cell>
          <cell r="AD1389" t="str">
            <v/>
          </cell>
          <cell r="AE1389" t="str">
            <v/>
          </cell>
          <cell r="AF1389">
            <v>46035</v>
          </cell>
          <cell r="AG1389">
            <v>46038</v>
          </cell>
          <cell r="AH1389" t="str">
            <v/>
          </cell>
          <cell r="AI1389" t="str">
            <v/>
          </cell>
        </row>
        <row r="1390">
          <cell r="C1390">
            <v>4500765619</v>
          </cell>
          <cell r="D1390" t="str">
            <v/>
          </cell>
          <cell r="E1390" t="str">
            <v/>
          </cell>
          <cell r="F1390" t="str">
            <v>Windsor Final</v>
          </cell>
          <cell r="G1390" t="str">
            <v>Windsor Collected</v>
          </cell>
          <cell r="H1390" t="str">
            <v>No</v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M1390" t="str">
            <v>No</v>
          </cell>
          <cell r="N1390" t="str">
            <v>https://panda-windows-and-doors.monday.com/protected_static/21046287/resources/2592679496/4500765619 Deposit Invoice.pdf</v>
          </cell>
          <cell r="O1390" t="str">
            <v/>
          </cell>
          <cell r="P1390" t="str">
            <v/>
          </cell>
          <cell r="Q1390" t="str">
            <v/>
          </cell>
          <cell r="R1390" t="str">
            <v/>
          </cell>
          <cell r="S1390" t="str">
            <v/>
          </cell>
          <cell r="T1390" t="str">
            <v>https://panda-windows-and-doors.monday.com/protected_static/21046287/resources/2592421226/Print data.PDF, https://panda-windows-and-doors.monday.com/protected_static/21046287/resources/2647249756/Print data.PDF</v>
          </cell>
          <cell r="U1390" t="str">
            <v/>
          </cell>
          <cell r="V1390">
            <v>12764</v>
          </cell>
          <cell r="W1390" t="str">
            <v>Sean Lopez Jan 21, 2026 1:40 PM</v>
          </cell>
          <cell r="X1390" t="str">
            <v/>
          </cell>
          <cell r="Y1390">
            <v>45993</v>
          </cell>
          <cell r="Z1390" t="str">
            <v/>
          </cell>
          <cell r="AA1390">
            <v>45993</v>
          </cell>
          <cell r="AB1390" t="str">
            <v>Annalene Conde Dec 2, 2025 10:03 AM</v>
          </cell>
          <cell r="AC1390">
            <v>46021</v>
          </cell>
          <cell r="AD1390" t="str">
            <v/>
          </cell>
          <cell r="AE1390" t="str">
            <v/>
          </cell>
          <cell r="AF1390">
            <v>46021</v>
          </cell>
          <cell r="AG1390">
            <v>46043</v>
          </cell>
          <cell r="AH1390" t="str">
            <v/>
          </cell>
          <cell r="AI1390" t="str">
            <v/>
          </cell>
        </row>
        <row r="1391">
          <cell r="C1391" t="str">
            <v>4500773701 - parts</v>
          </cell>
          <cell r="D1391" t="str">
            <v/>
          </cell>
          <cell r="E1391" t="str">
            <v/>
          </cell>
          <cell r="F1391" t="str">
            <v>Windsor Final</v>
          </cell>
          <cell r="G1391" t="str">
            <v>Windsor Collected</v>
          </cell>
          <cell r="H1391" t="str">
            <v>No</v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M1391" t="str">
            <v>No</v>
          </cell>
          <cell r="N1391" t="str">
            <v>https://panda-windows-and-doors.monday.com/protected_static/21046287/resources/2669010765/4500773701 Deposit Invoice.pdf</v>
          </cell>
          <cell r="O1391" t="str">
            <v/>
          </cell>
          <cell r="P1391" t="str">
            <v/>
          </cell>
          <cell r="Q1391" t="str">
            <v/>
          </cell>
          <cell r="R1391" t="str">
            <v/>
          </cell>
          <cell r="S1391" t="str">
            <v/>
          </cell>
          <cell r="T1391" t="str">
            <v>https://panda-windows-and-doors.monday.com/protected_static/21046287/resources/2668308636/Print data.PDF</v>
          </cell>
          <cell r="U1391" t="str">
            <v/>
          </cell>
          <cell r="V1391" t="str">
            <v/>
          </cell>
          <cell r="W1391" t="str">
            <v>Annalene Conde Jan 21, 2026 1:40 PM</v>
          </cell>
          <cell r="X1391" t="str">
            <v/>
          </cell>
          <cell r="Y1391">
            <v>46030</v>
          </cell>
          <cell r="Z1391" t="str">
            <v/>
          </cell>
          <cell r="AA1391">
            <v>46030</v>
          </cell>
          <cell r="AB1391" t="str">
            <v>Annalene Conde Jan 8, 2026 10:52 AM</v>
          </cell>
          <cell r="AC1391">
            <v>46030</v>
          </cell>
          <cell r="AD1391" t="str">
            <v/>
          </cell>
          <cell r="AE1391" t="str">
            <v/>
          </cell>
          <cell r="AF1391">
            <v>46030</v>
          </cell>
          <cell r="AG1391">
            <v>46043</v>
          </cell>
          <cell r="AH1391" t="str">
            <v/>
          </cell>
          <cell r="AI1391" t="str">
            <v/>
          </cell>
        </row>
        <row r="1392">
          <cell r="C1392" t="str">
            <v>4500771573-S</v>
          </cell>
          <cell r="D1392" t="str">
            <v/>
          </cell>
          <cell r="E1392" t="str">
            <v/>
          </cell>
          <cell r="F1392" t="str">
            <v>Windsor Final</v>
          </cell>
          <cell r="G1392" t="str">
            <v>Windsor Collected</v>
          </cell>
          <cell r="H1392" t="str">
            <v>No</v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M1392" t="str">
            <v>No</v>
          </cell>
          <cell r="N1392" t="str">
            <v>https://panda-windows-and-doors.monday.com/protected_static/21046287/resources/2686559006/4500771573 Deposit Invoice.pdf</v>
          </cell>
          <cell r="O1392" t="str">
            <v/>
          </cell>
          <cell r="P1392" t="str">
            <v/>
          </cell>
          <cell r="Q1392" t="str">
            <v/>
          </cell>
          <cell r="R1392" t="str">
            <v/>
          </cell>
          <cell r="S1392" t="str">
            <v/>
          </cell>
          <cell r="T1392" t="str">
            <v>https://panda-windows-and-doors.monday.com/protected_static/21046287/resources/2686472202/Print data.PDF</v>
          </cell>
          <cell r="U1392" t="str">
            <v/>
          </cell>
          <cell r="V1392">
            <v>300.01</v>
          </cell>
          <cell r="W1392" t="str">
            <v>Annalene Conde Jan 21, 2026 1:42 PM</v>
          </cell>
          <cell r="X1392" t="str">
            <v/>
          </cell>
          <cell r="Y1392">
            <v>46037</v>
          </cell>
          <cell r="Z1392" t="str">
            <v/>
          </cell>
          <cell r="AA1392">
            <v>46028</v>
          </cell>
          <cell r="AB1392" t="str">
            <v>Annalene Conde Dec 24, 2025 8:37 AM</v>
          </cell>
          <cell r="AC1392">
            <v>46037</v>
          </cell>
          <cell r="AD1392" t="str">
            <v/>
          </cell>
          <cell r="AE1392" t="str">
            <v/>
          </cell>
          <cell r="AF1392">
            <v>46037</v>
          </cell>
          <cell r="AG1392">
            <v>46043</v>
          </cell>
          <cell r="AH1392" t="str">
            <v/>
          </cell>
          <cell r="AI1392" t="str">
            <v/>
          </cell>
        </row>
        <row r="1393">
          <cell r="C1393">
            <v>4500763715</v>
          </cell>
          <cell r="D1393" t="str">
            <v/>
          </cell>
          <cell r="E1393" t="str">
            <v/>
          </cell>
          <cell r="F1393" t="str">
            <v>Windsor Final</v>
          </cell>
          <cell r="G1393" t="str">
            <v>Windsor Collected</v>
          </cell>
          <cell r="H1393" t="str">
            <v>No</v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M1393" t="str">
            <v>No</v>
          </cell>
          <cell r="N1393" t="str">
            <v>https://panda-windows-and-doors.monday.com/protected_static/21046287/resources/2589943488/4500763715 Deposit Invoice.pdf</v>
          </cell>
          <cell r="O1393" t="str">
            <v/>
          </cell>
          <cell r="P1393" t="str">
            <v/>
          </cell>
          <cell r="Q1393" t="str">
            <v/>
          </cell>
          <cell r="R1393" t="str">
            <v/>
          </cell>
          <cell r="S1393" t="str">
            <v/>
          </cell>
          <cell r="T1393" t="str">
            <v>https://panda-windows-and-doors.monday.com/protected_static/21046287/resources/2589182656/Print data.PDF, https://panda-windows-and-doors.monday.com/protected_static/21046287/resources/2647255727/Print data.PDF</v>
          </cell>
          <cell r="U1393" t="str">
            <v/>
          </cell>
          <cell r="V1393">
            <v>24343.08</v>
          </cell>
          <cell r="W1393" t="str">
            <v>Annalene Conde Jan 29, 2026 9:28 AM</v>
          </cell>
          <cell r="X1393" t="str">
            <v/>
          </cell>
          <cell r="Y1393">
            <v>45982</v>
          </cell>
          <cell r="Z1393" t="str">
            <v/>
          </cell>
          <cell r="AA1393">
            <v>45992</v>
          </cell>
          <cell r="AB1393" t="str">
            <v>Annalene Conde Nov 21, 2025 12:40 PM</v>
          </cell>
          <cell r="AC1393">
            <v>46021</v>
          </cell>
          <cell r="AD1393" t="str">
            <v/>
          </cell>
          <cell r="AE1393" t="str">
            <v/>
          </cell>
          <cell r="AF1393">
            <v>46021</v>
          </cell>
          <cell r="AG1393">
            <v>46051</v>
          </cell>
          <cell r="AH1393" t="str">
            <v/>
          </cell>
          <cell r="AI1393" t="str">
            <v/>
          </cell>
        </row>
        <row r="1394">
          <cell r="C1394">
            <v>4500759949</v>
          </cell>
          <cell r="D1394" t="str">
            <v/>
          </cell>
          <cell r="E1394" t="str">
            <v/>
          </cell>
          <cell r="F1394" t="str">
            <v>Windsor Final</v>
          </cell>
          <cell r="G1394" t="str">
            <v>Windsor Collected</v>
          </cell>
          <cell r="H1394" t="str">
            <v>No</v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M1394" t="str">
            <v>No</v>
          </cell>
          <cell r="N1394" t="str">
            <v>https://panda-windows-and-doors.monday.com/protected_static/21046287/resources/2538649768/4500759949 DEPOSIT INVOICE.pdf</v>
          </cell>
          <cell r="O1394" t="str">
            <v/>
          </cell>
          <cell r="P1394" t="str">
            <v/>
          </cell>
          <cell r="Q1394" t="str">
            <v/>
          </cell>
          <cell r="R1394" t="str">
            <v/>
          </cell>
          <cell r="S1394" t="str">
            <v/>
          </cell>
          <cell r="T1394" t="str">
            <v>https://panda-windows-and-doors.monday.com/protected_static/21046287/resources/2538530189/Print data.PDF</v>
          </cell>
          <cell r="U1394" t="str">
            <v/>
          </cell>
          <cell r="V1394">
            <v>43501.97</v>
          </cell>
          <cell r="W1394" t="str">
            <v>Annalene Conde Jan 29, 2026 9:29 AM</v>
          </cell>
          <cell r="X1394" t="str">
            <v/>
          </cell>
          <cell r="Y1394">
            <v>45967</v>
          </cell>
          <cell r="Z1394" t="str">
            <v/>
          </cell>
          <cell r="AA1394">
            <v>45967</v>
          </cell>
          <cell r="AB1394" t="str">
            <v>Annalene Conde Nov 6, 2025 1:51 PM</v>
          </cell>
          <cell r="AC1394">
            <v>46036</v>
          </cell>
          <cell r="AD1394" t="str">
            <v/>
          </cell>
          <cell r="AE1394" t="str">
            <v/>
          </cell>
          <cell r="AF1394">
            <v>46036</v>
          </cell>
          <cell r="AG1394">
            <v>46051</v>
          </cell>
          <cell r="AH1394" t="str">
            <v/>
          </cell>
          <cell r="AI1394" t="str">
            <v/>
          </cell>
        </row>
        <row r="1395">
          <cell r="C1395">
            <v>4500761436</v>
          </cell>
          <cell r="D1395" t="str">
            <v/>
          </cell>
          <cell r="E1395" t="str">
            <v/>
          </cell>
          <cell r="F1395" t="str">
            <v>Windsor Final</v>
          </cell>
          <cell r="G1395" t="str">
            <v>Windsor Collected</v>
          </cell>
          <cell r="H1395" t="str">
            <v>No</v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M1395" t="str">
            <v>No</v>
          </cell>
          <cell r="N1395" t="str">
            <v>https://panda-windows-and-doors.monday.com/protected_static/21046287/resources/2553066422/4500761436 Deposit Invoice.pdf</v>
          </cell>
          <cell r="O1395" t="str">
            <v/>
          </cell>
          <cell r="P1395" t="str">
            <v/>
          </cell>
          <cell r="Q1395" t="str">
            <v/>
          </cell>
          <cell r="R1395" t="str">
            <v/>
          </cell>
          <cell r="S1395" t="str">
            <v/>
          </cell>
          <cell r="T1395" t="str">
            <v>https://panda-windows-and-doors.monday.com/protected_static/21046287/resources/2550891813/Print data.PDF</v>
          </cell>
          <cell r="U1395" t="str">
            <v/>
          </cell>
          <cell r="V1395">
            <v>7591.66</v>
          </cell>
          <cell r="W1395" t="str">
            <v>Annalene Conde Jan 29, 2026 9:42 AM</v>
          </cell>
          <cell r="X1395" t="str">
            <v/>
          </cell>
          <cell r="Y1395">
            <v>45973</v>
          </cell>
          <cell r="Z1395" t="str">
            <v/>
          </cell>
          <cell r="AA1395">
            <v>45973</v>
          </cell>
          <cell r="AB1395" t="str">
            <v>Annalene Conde Nov 12, 2025 2:27 PM</v>
          </cell>
          <cell r="AC1395">
            <v>46044</v>
          </cell>
          <cell r="AD1395" t="str">
            <v/>
          </cell>
          <cell r="AE1395" t="str">
            <v/>
          </cell>
          <cell r="AF1395">
            <v>46044</v>
          </cell>
          <cell r="AG1395">
            <v>46051</v>
          </cell>
          <cell r="AH1395" t="str">
            <v/>
          </cell>
          <cell r="AI1395" t="str">
            <v/>
          </cell>
        </row>
        <row r="1396">
          <cell r="C1396" t="str">
            <v>4500778905 - parts</v>
          </cell>
          <cell r="D1396" t="str">
            <v/>
          </cell>
          <cell r="E1396" t="str">
            <v/>
          </cell>
          <cell r="F1396" t="str">
            <v>Windsor Final</v>
          </cell>
          <cell r="G1396" t="str">
            <v>Windsor Collected</v>
          </cell>
          <cell r="H1396" t="str">
            <v>No</v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M1396" t="str">
            <v>No</v>
          </cell>
          <cell r="N1396" t="str">
            <v>https://panda-windows-and-doors.monday.com/protected_static/21046287/resources/2720280111/4500778905 Deposit Invoice.pdf</v>
          </cell>
          <cell r="O1396" t="str">
            <v/>
          </cell>
          <cell r="P1396" t="str">
            <v/>
          </cell>
          <cell r="Q1396" t="str">
            <v/>
          </cell>
          <cell r="R1396" t="str">
            <v/>
          </cell>
          <cell r="S1396" t="str">
            <v/>
          </cell>
          <cell r="T1396" t="str">
            <v>https://panda-windows-and-doors.monday.com/protected_static/21046287/resources/2714081994/Print data.PDF</v>
          </cell>
          <cell r="U1396" t="str">
            <v/>
          </cell>
          <cell r="V1396">
            <v>70</v>
          </cell>
          <cell r="W1396" t="str">
            <v>Annalene Conde Feb 2, 2026 4:10 PM</v>
          </cell>
          <cell r="X1396" t="str">
            <v/>
          </cell>
          <cell r="Y1396">
            <v>46049</v>
          </cell>
          <cell r="Z1396" t="str">
            <v/>
          </cell>
          <cell r="AA1396">
            <v>46049</v>
          </cell>
          <cell r="AB1396" t="str">
            <v>Annalene Conde Jan 27, 2026 2:54 PM</v>
          </cell>
          <cell r="AC1396">
            <v>46051</v>
          </cell>
          <cell r="AD1396" t="str">
            <v/>
          </cell>
          <cell r="AE1396" t="str">
            <v/>
          </cell>
          <cell r="AF1396">
            <v>46051</v>
          </cell>
          <cell r="AG1396">
            <v>46055</v>
          </cell>
          <cell r="AH1396" t="str">
            <v/>
          </cell>
          <cell r="AI1396" t="str">
            <v/>
          </cell>
        </row>
        <row r="1397">
          <cell r="C1397" t="str">
            <v>4500779547 - parts</v>
          </cell>
          <cell r="D1397" t="str">
            <v/>
          </cell>
          <cell r="E1397" t="str">
            <v/>
          </cell>
          <cell r="F1397" t="str">
            <v>Windsor Final</v>
          </cell>
          <cell r="G1397" t="str">
            <v>Windsor Collected</v>
          </cell>
          <cell r="H1397" t="str">
            <v>No</v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M1397" t="str">
            <v>No</v>
          </cell>
          <cell r="N1397" t="str">
            <v>https://panda-windows-and-doors.monday.com/protected_static/21046287/resources/2723569227/4500779547 Deposit Invoice.pdf</v>
          </cell>
          <cell r="O1397" t="str">
            <v/>
          </cell>
          <cell r="P1397" t="str">
            <v/>
          </cell>
          <cell r="Q1397" t="str">
            <v/>
          </cell>
          <cell r="R1397" t="str">
            <v/>
          </cell>
          <cell r="S1397" t="str">
            <v/>
          </cell>
          <cell r="T1397" t="str">
            <v>https://panda-windows-and-doors.monday.com/protected_static/21046287/resources/2723280512/Print data.PDF</v>
          </cell>
          <cell r="U1397" t="str">
            <v/>
          </cell>
          <cell r="V1397" t="str">
            <v/>
          </cell>
          <cell r="W1397" t="str">
            <v>Annalene Conde Feb 5, 2026 8:51 AM</v>
          </cell>
          <cell r="X1397" t="str">
            <v/>
          </cell>
          <cell r="Y1397">
            <v>46052</v>
          </cell>
          <cell r="Z1397" t="str">
            <v/>
          </cell>
          <cell r="AA1397">
            <v>46052</v>
          </cell>
          <cell r="AB1397" t="str">
            <v>Annalene Conde Jan 30, 2026 9:50 AM</v>
          </cell>
          <cell r="AC1397">
            <v>46052</v>
          </cell>
          <cell r="AD1397" t="str">
            <v/>
          </cell>
          <cell r="AE1397" t="str">
            <v/>
          </cell>
          <cell r="AF1397">
            <v>46052</v>
          </cell>
          <cell r="AG1397">
            <v>46058</v>
          </cell>
          <cell r="AH1397" t="str">
            <v/>
          </cell>
          <cell r="AI1397" t="str">
            <v/>
          </cell>
        </row>
        <row r="1398">
          <cell r="C1398">
            <v>4500759684</v>
          </cell>
          <cell r="D1398" t="str">
            <v/>
          </cell>
          <cell r="E1398" t="str">
            <v/>
          </cell>
          <cell r="F1398" t="str">
            <v>Windsor Final</v>
          </cell>
          <cell r="G1398" t="str">
            <v>Windsor Collected</v>
          </cell>
          <cell r="H1398" t="str">
            <v>No</v>
          </cell>
          <cell r="I1398" t="str">
            <v>Alex</v>
          </cell>
          <cell r="J1398" t="str">
            <v/>
          </cell>
          <cell r="K1398" t="str">
            <v/>
          </cell>
          <cell r="L1398" t="str">
            <v/>
          </cell>
          <cell r="M1398" t="str">
            <v>Yes</v>
          </cell>
          <cell r="N1398" t="str">
            <v>https://panda-windows-and-doors.monday.com/protected_static/21046287/resources/2538005988/4500759684 DEPOSIT INVOICE.pdf</v>
          </cell>
          <cell r="O1398" t="str">
            <v/>
          </cell>
          <cell r="P1398" t="str">
            <v/>
          </cell>
          <cell r="Q1398" t="str">
            <v/>
          </cell>
          <cell r="R1398" t="str">
            <v/>
          </cell>
          <cell r="S1398" t="str">
            <v/>
          </cell>
          <cell r="T1398" t="str">
            <v>https://panda-windows-and-doors.monday.com/protected_static/21046287/resources/2535913942/Print data.PDF, https://panda-windows-and-doors.monday.com/protected_static/21046287/resources/2669180062/Print data.PDF</v>
          </cell>
          <cell r="U1398" t="str">
            <v/>
          </cell>
          <cell r="V1398">
            <v>43683.16</v>
          </cell>
          <cell r="W1398" t="str">
            <v>George Bails Feb 9, 2026 11:28 AM</v>
          </cell>
          <cell r="X1398" t="str">
            <v/>
          </cell>
          <cell r="Y1398">
            <v>45966</v>
          </cell>
          <cell r="Z1398" t="str">
            <v/>
          </cell>
          <cell r="AA1398">
            <v>45966</v>
          </cell>
          <cell r="AB1398" t="str">
            <v>Annalene Conde Nov 5, 2025 2:44 PM</v>
          </cell>
          <cell r="AC1398">
            <v>46030</v>
          </cell>
          <cell r="AD1398" t="str">
            <v/>
          </cell>
          <cell r="AE1398" t="str">
            <v/>
          </cell>
          <cell r="AF1398">
            <v>46030</v>
          </cell>
          <cell r="AG1398">
            <v>46062</v>
          </cell>
          <cell r="AH1398" t="str">
            <v/>
          </cell>
          <cell r="AI1398" t="str">
            <v/>
          </cell>
        </row>
        <row r="1399">
          <cell r="C1399">
            <v>4500765436</v>
          </cell>
          <cell r="D1399" t="str">
            <v/>
          </cell>
          <cell r="E1399" t="str">
            <v/>
          </cell>
          <cell r="F1399" t="str">
            <v>Windsor Final</v>
          </cell>
          <cell r="G1399" t="str">
            <v>Windsor Collected</v>
          </cell>
          <cell r="H1399" t="str">
            <v>No</v>
          </cell>
          <cell r="I1399" t="str">
            <v>Alex</v>
          </cell>
          <cell r="J1399" t="str">
            <v/>
          </cell>
          <cell r="K1399" t="str">
            <v/>
          </cell>
          <cell r="L1399" t="str">
            <v/>
          </cell>
          <cell r="M1399" t="str">
            <v>Yes</v>
          </cell>
          <cell r="N1399" t="str">
            <v>https://panda-windows-and-doors.monday.com/protected_static/21046287/resources/2582617464/4500765436 Deposit Invoice.pdf</v>
          </cell>
          <cell r="O1399" t="str">
            <v/>
          </cell>
          <cell r="P1399" t="str">
            <v/>
          </cell>
          <cell r="Q1399" t="str">
            <v/>
          </cell>
          <cell r="R1399" t="str">
            <v/>
          </cell>
          <cell r="S1399" t="str">
            <v/>
          </cell>
          <cell r="T1399" t="str">
            <v>https://panda-windows-and-doors.monday.com/protected_static/21046287/resources/2582001286/Print data.PDF, https://panda-windows-and-doors.monday.com/protected_static/21046287/resources/2582006328/Print data.PDF, https://panda-windows-and-doors.monday.com/protected_static/21046287/resources/2657076854/Print data.PDF_Print data.PDF</v>
          </cell>
          <cell r="U1399" t="str">
            <v/>
          </cell>
          <cell r="V1399">
            <v>11045.77</v>
          </cell>
          <cell r="W1399" t="str">
            <v>George Bails Feb 10, 2026 4:27 PM</v>
          </cell>
          <cell r="X1399" t="str">
            <v/>
          </cell>
          <cell r="Y1399">
            <v>45987</v>
          </cell>
          <cell r="Z1399" t="str">
            <v/>
          </cell>
          <cell r="AA1399">
            <v>45987</v>
          </cell>
          <cell r="AB1399" t="str">
            <v>Annalene Conde Nov 26, 2025 12:02 PM</v>
          </cell>
          <cell r="AC1399">
            <v>46028</v>
          </cell>
          <cell r="AD1399" t="str">
            <v/>
          </cell>
          <cell r="AE1399" t="str">
            <v/>
          </cell>
          <cell r="AF1399">
            <v>46028</v>
          </cell>
          <cell r="AG1399">
            <v>46063</v>
          </cell>
          <cell r="AH1399" t="str">
            <v/>
          </cell>
          <cell r="AI1399" t="str">
            <v/>
          </cell>
        </row>
        <row r="1400">
          <cell r="C1400">
            <v>4500768400</v>
          </cell>
          <cell r="D1400" t="str">
            <v/>
          </cell>
          <cell r="E1400" t="str">
            <v/>
          </cell>
          <cell r="F1400" t="str">
            <v>Windsor Final</v>
          </cell>
          <cell r="G1400" t="str">
            <v>Windsor Collected</v>
          </cell>
          <cell r="H1400" t="str">
            <v>No</v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M1400" t="str">
            <v>No</v>
          </cell>
          <cell r="N1400" t="str">
            <v>https://panda-windows-and-doors.monday.com/protected_static/21046287/resources/2615040812/4500768400 Deposit Invoice.pdf</v>
          </cell>
          <cell r="O1400" t="str">
            <v/>
          </cell>
          <cell r="P1400" t="str">
            <v/>
          </cell>
          <cell r="Q1400" t="str">
            <v/>
          </cell>
          <cell r="R1400" t="str">
            <v/>
          </cell>
          <cell r="S1400" t="str">
            <v/>
          </cell>
          <cell r="T1400" t="str">
            <v>https://panda-windows-and-doors.monday.com/protected_static/21046287/resources/2613619343/Print data.PDF</v>
          </cell>
          <cell r="U1400" t="str">
            <v/>
          </cell>
          <cell r="V1400">
            <v>21717.57</v>
          </cell>
          <cell r="W1400" t="str">
            <v>Annalene Conde Feb 12, 2026 1:22 PM</v>
          </cell>
          <cell r="X1400" t="str">
            <v/>
          </cell>
          <cell r="Y1400">
            <v>46002</v>
          </cell>
          <cell r="Z1400" t="str">
            <v/>
          </cell>
          <cell r="AA1400">
            <v>46002</v>
          </cell>
          <cell r="AB1400" t="str">
            <v>Annalene Conde Dec 11, 2025 8:50 AM</v>
          </cell>
          <cell r="AC1400">
            <v>46051</v>
          </cell>
          <cell r="AD1400" t="str">
            <v/>
          </cell>
          <cell r="AE1400" t="str">
            <v/>
          </cell>
          <cell r="AF1400">
            <v>46051</v>
          </cell>
          <cell r="AG1400">
            <v>46065</v>
          </cell>
          <cell r="AH1400" t="str">
            <v/>
          </cell>
          <cell r="AI1400" t="str">
            <v/>
          </cell>
        </row>
        <row r="1401">
          <cell r="C1401">
            <v>4500771108</v>
          </cell>
          <cell r="D1401" t="str">
            <v/>
          </cell>
          <cell r="E1401" t="str">
            <v/>
          </cell>
          <cell r="F1401" t="str">
            <v>Windsor Final</v>
          </cell>
          <cell r="G1401" t="str">
            <v>Windsor Collected</v>
          </cell>
          <cell r="H1401" t="str">
            <v>No</v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M1401" t="str">
            <v>No</v>
          </cell>
          <cell r="N1401" t="str">
            <v>https://panda-windows-and-doors.monday.com/protected_static/21046287/resources/2639035325/4500771108 Deposit Invoice.pdf</v>
          </cell>
          <cell r="O1401" t="str">
            <v/>
          </cell>
          <cell r="P1401" t="str">
            <v/>
          </cell>
          <cell r="Q1401" t="str">
            <v/>
          </cell>
          <cell r="R1401" t="str">
            <v/>
          </cell>
          <cell r="S1401" t="str">
            <v/>
          </cell>
          <cell r="T1401" t="str">
            <v>https://panda-windows-and-doors.monday.com/protected_static/21046287/resources/2635959393/Print data.PDF</v>
          </cell>
          <cell r="U1401" t="str">
            <v/>
          </cell>
          <cell r="V1401">
            <v>22919.02</v>
          </cell>
          <cell r="W1401" t="str">
            <v>Annalene Conde Feb 12, 2026 1:27 PM</v>
          </cell>
          <cell r="X1401" t="str">
            <v/>
          </cell>
          <cell r="Y1401">
            <v>46013</v>
          </cell>
          <cell r="Z1401" t="str">
            <v/>
          </cell>
          <cell r="AA1401">
            <v>46013</v>
          </cell>
          <cell r="AB1401" t="str">
            <v>Annalene Conde Dec 22, 2025 8:49 AM</v>
          </cell>
          <cell r="AC1401">
            <v>46051</v>
          </cell>
          <cell r="AD1401" t="str">
            <v/>
          </cell>
          <cell r="AE1401" t="str">
            <v/>
          </cell>
          <cell r="AF1401">
            <v>46051</v>
          </cell>
          <cell r="AG1401">
            <v>46065</v>
          </cell>
          <cell r="AH1401" t="str">
            <v/>
          </cell>
          <cell r="AI1401" t="str">
            <v/>
          </cell>
        </row>
        <row r="1402">
          <cell r="C1402">
            <v>4500764470</v>
          </cell>
          <cell r="D1402" t="str">
            <v/>
          </cell>
          <cell r="E1402" t="str">
            <v/>
          </cell>
          <cell r="F1402" t="str">
            <v>Windsor Final</v>
          </cell>
          <cell r="G1402" t="str">
            <v>Windsor Collected</v>
          </cell>
          <cell r="H1402" t="str">
            <v>No</v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M1402" t="str">
            <v>No</v>
          </cell>
          <cell r="N1402" t="str">
            <v>https://panda-windows-and-doors.monday.com/protected_static/21046287/resources/2576786783/4500764470 Deposit Invoice.pdf</v>
          </cell>
          <cell r="O1402" t="str">
            <v/>
          </cell>
          <cell r="P1402" t="str">
            <v/>
          </cell>
          <cell r="Q1402" t="str">
            <v/>
          </cell>
          <cell r="R1402" t="str">
            <v/>
          </cell>
          <cell r="S1402" t="str">
            <v/>
          </cell>
          <cell r="T1402" t="str">
            <v>https://panda-windows-and-doors.monday.com/protected_static/21046287/resources/2576001691/Print data.PDF</v>
          </cell>
          <cell r="U1402" t="str">
            <v/>
          </cell>
          <cell r="V1402">
            <v>7465</v>
          </cell>
          <cell r="W1402" t="str">
            <v>Annalene Conde Feb 12, 2026 1:35 PM</v>
          </cell>
          <cell r="X1402" t="str">
            <v/>
          </cell>
          <cell r="Y1402">
            <v>45985</v>
          </cell>
          <cell r="Z1402" t="str">
            <v/>
          </cell>
          <cell r="AA1402">
            <v>45985</v>
          </cell>
          <cell r="AB1402" t="str">
            <v>Annalene Conde Nov 24, 2025 9:01 AM</v>
          </cell>
          <cell r="AC1402">
            <v>46044</v>
          </cell>
          <cell r="AD1402" t="str">
            <v/>
          </cell>
          <cell r="AE1402" t="str">
            <v/>
          </cell>
          <cell r="AF1402">
            <v>46044</v>
          </cell>
          <cell r="AG1402">
            <v>46065</v>
          </cell>
          <cell r="AH1402" t="str">
            <v/>
          </cell>
          <cell r="AI1402" t="str">
            <v/>
          </cell>
        </row>
        <row r="1403">
          <cell r="C1403">
            <v>4500769212</v>
          </cell>
          <cell r="D1403" t="str">
            <v/>
          </cell>
          <cell r="E1403" t="str">
            <v/>
          </cell>
          <cell r="F1403" t="str">
            <v>Windsor Final</v>
          </cell>
          <cell r="G1403" t="str">
            <v>Windsor Collected</v>
          </cell>
          <cell r="H1403" t="str">
            <v>No</v>
          </cell>
          <cell r="I1403" t="str">
            <v>Alex</v>
          </cell>
          <cell r="J1403" t="str">
            <v/>
          </cell>
          <cell r="K1403" t="str">
            <v/>
          </cell>
          <cell r="L1403" t="str">
            <v/>
          </cell>
          <cell r="M1403" t="str">
            <v>Yes</v>
          </cell>
          <cell r="N1403" t="str">
            <v>https://panda-windows-and-doors.monday.com/protected_static/21046287/resources/2621958934/4500769212 Deposit Invoice.pdf</v>
          </cell>
          <cell r="O1403" t="str">
            <v/>
          </cell>
          <cell r="P1403" t="str">
            <v/>
          </cell>
          <cell r="Q1403" t="str">
            <v/>
          </cell>
          <cell r="R1403" t="str">
            <v/>
          </cell>
          <cell r="S1403" t="str">
            <v/>
          </cell>
          <cell r="T1403" t="str">
            <v>https://panda-windows-and-doors.monday.com/protected_static/21046287/resources/2621150631/Print data.PDF</v>
          </cell>
          <cell r="U1403" t="str">
            <v/>
          </cell>
          <cell r="V1403">
            <v>12407.66</v>
          </cell>
          <cell r="W1403" t="str">
            <v>Annalene Conde Feb 18, 2026 10:33 AM</v>
          </cell>
          <cell r="X1403" t="str">
            <v/>
          </cell>
          <cell r="Y1403">
            <v>46006</v>
          </cell>
          <cell r="Z1403" t="str">
            <v/>
          </cell>
          <cell r="AA1403">
            <v>46006</v>
          </cell>
          <cell r="AB1403" t="str">
            <v>Annalene Conde Dec 15, 2025 11:12 AM</v>
          </cell>
          <cell r="AC1403">
            <v>46056</v>
          </cell>
          <cell r="AD1403" t="str">
            <v/>
          </cell>
          <cell r="AE1403" t="str">
            <v/>
          </cell>
          <cell r="AF1403">
            <v>46056</v>
          </cell>
          <cell r="AG1403">
            <v>46071</v>
          </cell>
          <cell r="AH1403" t="str">
            <v/>
          </cell>
          <cell r="AI1403" t="str">
            <v/>
          </cell>
        </row>
        <row r="1404">
          <cell r="C1404">
            <v>4500769883</v>
          </cell>
          <cell r="D1404" t="str">
            <v/>
          </cell>
          <cell r="E1404" t="str">
            <v/>
          </cell>
          <cell r="F1404" t="str">
            <v>Windsor Final</v>
          </cell>
          <cell r="G1404" t="str">
            <v>Windsor Collected</v>
          </cell>
          <cell r="H1404" t="str">
            <v>No</v>
          </cell>
          <cell r="I1404" t="str">
            <v>Alex</v>
          </cell>
          <cell r="J1404" t="str">
            <v/>
          </cell>
          <cell r="K1404" t="str">
            <v/>
          </cell>
          <cell r="L1404" t="str">
            <v/>
          </cell>
          <cell r="M1404" t="str">
            <v>Yes</v>
          </cell>
          <cell r="N1404" t="str">
            <v>https://panda-windows-and-doors.monday.com/protected_static/21046287/resources/2628172463/4500769883 Deposit Invoice.pdf</v>
          </cell>
          <cell r="O1404" t="str">
            <v/>
          </cell>
          <cell r="P1404" t="str">
            <v/>
          </cell>
          <cell r="Q1404" t="str">
            <v/>
          </cell>
          <cell r="R1404" t="str">
            <v/>
          </cell>
          <cell r="S1404" t="str">
            <v/>
          </cell>
          <cell r="T1404" t="str">
            <v>https://panda-windows-and-doors.monday.com/protected_static/21046287/resources/2627193272/Print data.PDF</v>
          </cell>
          <cell r="U1404" t="str">
            <v/>
          </cell>
          <cell r="V1404">
            <v>12031.1</v>
          </cell>
          <cell r="W1404" t="str">
            <v>George Bails Feb 18, 2026 4:04 PM</v>
          </cell>
          <cell r="X1404" t="str">
            <v/>
          </cell>
          <cell r="Y1404">
            <v>46008</v>
          </cell>
          <cell r="Z1404" t="str">
            <v/>
          </cell>
          <cell r="AA1404">
            <v>46008</v>
          </cell>
          <cell r="AB1404" t="str">
            <v>Annalene Conde Dec 17, 2025 10:38 AM</v>
          </cell>
          <cell r="AC1404">
            <v>46062</v>
          </cell>
          <cell r="AD1404" t="str">
            <v/>
          </cell>
          <cell r="AE1404" t="str">
            <v/>
          </cell>
          <cell r="AF1404">
            <v>46062</v>
          </cell>
          <cell r="AG1404">
            <v>46071</v>
          </cell>
          <cell r="AH1404" t="str">
            <v/>
          </cell>
          <cell r="AI1404" t="str">
            <v/>
          </cell>
        </row>
        <row r="1405">
          <cell r="C1405" t="str">
            <v>4500780490-S</v>
          </cell>
          <cell r="D1405" t="str">
            <v/>
          </cell>
          <cell r="E1405" t="str">
            <v/>
          </cell>
          <cell r="F1405" t="str">
            <v>Windsor Final</v>
          </cell>
          <cell r="G1405" t="str">
            <v>Windsor Collected</v>
          </cell>
          <cell r="H1405" t="str">
            <v>No</v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>No</v>
          </cell>
          <cell r="N1405" t="str">
            <v>https://panda-windows-and-doors.monday.com/protected_static/21046287/resources/2763293035/4500780490 Deposit Invoice.pdf</v>
          </cell>
          <cell r="O1405" t="str">
            <v/>
          </cell>
          <cell r="P1405" t="str">
            <v/>
          </cell>
          <cell r="Q1405" t="str">
            <v/>
          </cell>
          <cell r="R1405" t="str">
            <v/>
          </cell>
          <cell r="S1405" t="str">
            <v/>
          </cell>
          <cell r="T1405" t="str">
            <v>https://panda-windows-and-doors.monday.com/protected_static/21046287/resources/2760056290/Print data.PDF</v>
          </cell>
          <cell r="U1405" t="str">
            <v/>
          </cell>
          <cell r="V1405">
            <v>150</v>
          </cell>
          <cell r="W1405" t="str">
            <v>Annalene Conde Feb 18, 2026 10:38 AM</v>
          </cell>
          <cell r="X1405" t="str">
            <v/>
          </cell>
          <cell r="Y1405">
            <v>46055</v>
          </cell>
          <cell r="Z1405" t="str">
            <v/>
          </cell>
          <cell r="AA1405">
            <v>46066</v>
          </cell>
          <cell r="AB1405" t="str">
            <v>Annalene Conde Feb 2, 2026 11:24 AM</v>
          </cell>
          <cell r="AC1405">
            <v>46069</v>
          </cell>
          <cell r="AD1405" t="str">
            <v/>
          </cell>
          <cell r="AE1405" t="str">
            <v/>
          </cell>
          <cell r="AF1405">
            <v>46069</v>
          </cell>
          <cell r="AG1405">
            <v>46071</v>
          </cell>
          <cell r="AH1405" t="str">
            <v/>
          </cell>
          <cell r="AI1405" t="str">
            <v/>
          </cell>
        </row>
        <row r="1406">
          <cell r="C1406" t="str">
            <v>4500780031-S</v>
          </cell>
          <cell r="D1406" t="str">
            <v/>
          </cell>
          <cell r="E1406" t="str">
            <v/>
          </cell>
          <cell r="F1406" t="str">
            <v>Windsor Final</v>
          </cell>
          <cell r="G1406" t="str">
            <v>Windsor Collected</v>
          </cell>
          <cell r="H1406" t="str">
            <v>No</v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>No</v>
          </cell>
          <cell r="N1406" t="str">
            <v>https://panda-windows-and-doors.monday.com/protected_static/21046287/resources/2763356315/4500780031 Deposit Invoice.pdf</v>
          </cell>
          <cell r="O1406" t="str">
            <v/>
          </cell>
          <cell r="P1406" t="str">
            <v/>
          </cell>
          <cell r="Q1406" t="str">
            <v/>
          </cell>
          <cell r="R1406" t="str">
            <v/>
          </cell>
          <cell r="S1406" t="str">
            <v/>
          </cell>
          <cell r="T1406" t="str">
            <v>https://panda-windows-and-doors.monday.com/protected_static/21046287/resources/2760064831/Print data.PDF</v>
          </cell>
          <cell r="U1406" t="str">
            <v/>
          </cell>
          <cell r="V1406">
            <v>2370</v>
          </cell>
          <cell r="W1406" t="str">
            <v>Annalene Conde Feb 20, 2026 8:52 AM</v>
          </cell>
          <cell r="X1406" t="str">
            <v/>
          </cell>
          <cell r="Y1406">
            <v>46051</v>
          </cell>
          <cell r="Z1406" t="str">
            <v/>
          </cell>
          <cell r="AA1406">
            <v>46066</v>
          </cell>
          <cell r="AB1406" t="str">
            <v>Annalene Conde Jan 29, 2026 2:37 PM</v>
          </cell>
          <cell r="AC1406">
            <v>46069</v>
          </cell>
          <cell r="AD1406" t="str">
            <v/>
          </cell>
          <cell r="AE1406" t="str">
            <v/>
          </cell>
          <cell r="AF1406">
            <v>46069</v>
          </cell>
          <cell r="AG1406">
            <v>46073</v>
          </cell>
          <cell r="AH1406" t="str">
            <v/>
          </cell>
          <cell r="AI1406" t="str">
            <v/>
          </cell>
        </row>
        <row r="1407">
          <cell r="C1407">
            <v>4500748792</v>
          </cell>
          <cell r="D1407" t="str">
            <v/>
          </cell>
          <cell r="E1407" t="str">
            <v/>
          </cell>
          <cell r="F1407" t="str">
            <v>Windsor Final</v>
          </cell>
          <cell r="G1407" t="str">
            <v>Windsor Collected</v>
          </cell>
          <cell r="H1407" t="str">
            <v>No</v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>No</v>
          </cell>
          <cell r="N1407" t="str">
            <v>https://panda-windows-and-doors.monday.com/protected_static/21046287/resources/2444261322/4500748792  Deposit Invoice.pdf</v>
          </cell>
          <cell r="O1407" t="str">
            <v/>
          </cell>
          <cell r="P1407" t="str">
            <v/>
          </cell>
          <cell r="Q1407" t="str">
            <v/>
          </cell>
          <cell r="R1407" t="str">
            <v/>
          </cell>
          <cell r="S1407" t="str">
            <v/>
          </cell>
          <cell r="T1407" t="str">
            <v>https://panda-windows-and-doors.monday.com/protected_static/21046287/resources/2444193473/Print data.PDF, https://panda-windows-and-doors.monday.com/protected_static/21046287/resources/2544968109/Print data.PDF</v>
          </cell>
          <cell r="U1407" t="str">
            <v/>
          </cell>
          <cell r="V1407">
            <v>21707.42</v>
          </cell>
          <cell r="W1407" t="str">
            <v>Annalene Conde Feb 24, 2026 9:46 AM</v>
          </cell>
          <cell r="X1407" t="str">
            <v/>
          </cell>
          <cell r="Y1407">
            <v>45925</v>
          </cell>
          <cell r="Z1407" t="str">
            <v/>
          </cell>
          <cell r="AA1407">
            <v>45925</v>
          </cell>
          <cell r="AB1407" t="str">
            <v>Jayme Truong Sep 25, 2025 2:00 PM</v>
          </cell>
          <cell r="AC1407">
            <v>45971</v>
          </cell>
          <cell r="AD1407">
            <v>45980</v>
          </cell>
          <cell r="AE1407" t="str">
            <v/>
          </cell>
          <cell r="AF1407">
            <v>45971</v>
          </cell>
          <cell r="AG1407">
            <v>46077</v>
          </cell>
          <cell r="AH1407" t="str">
            <v/>
          </cell>
          <cell r="AI1407" t="str">
            <v/>
          </cell>
        </row>
        <row r="1408">
          <cell r="C1408">
            <v>4500748425</v>
          </cell>
          <cell r="D1408" t="str">
            <v/>
          </cell>
          <cell r="E1408" t="str">
            <v/>
          </cell>
          <cell r="F1408" t="str">
            <v>Windsor Final</v>
          </cell>
          <cell r="G1408" t="str">
            <v>Windsor Collected</v>
          </cell>
          <cell r="H1408" t="str">
            <v>No</v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>No</v>
          </cell>
          <cell r="N1408" t="str">
            <v>https://panda-windows-and-doors.monday.com/protected_static/21046287/resources/2441607276/4500748425 deposit invoice.pdf</v>
          </cell>
          <cell r="O1408" t="str">
            <v/>
          </cell>
          <cell r="P1408" t="str">
            <v/>
          </cell>
          <cell r="Q1408" t="str">
            <v/>
          </cell>
          <cell r="R1408" t="str">
            <v/>
          </cell>
          <cell r="S1408" t="str">
            <v/>
          </cell>
          <cell r="T1408" t="str">
            <v>https://panda-windows-and-doors.monday.com/protected_static/21046287/resources/2441247836/Print data.PDF, https://panda-windows-and-doors.monday.com/protected_static/21046287/resources/2555593500/Print data.PDF, https://panda-windows-and-doors.monday.com/protected_static/21046287/resources/2555972608/Print data.PDF_Print data.PDF</v>
          </cell>
          <cell r="U1408" t="str">
            <v/>
          </cell>
          <cell r="V1408">
            <v>9488</v>
          </cell>
          <cell r="W1408" t="str">
            <v>Annalene Conde Feb 24, 2026 9:46 AM</v>
          </cell>
          <cell r="X1408" t="str">
            <v/>
          </cell>
          <cell r="Y1408">
            <v>45924</v>
          </cell>
          <cell r="Z1408" t="str">
            <v/>
          </cell>
          <cell r="AA1408">
            <v>45924</v>
          </cell>
          <cell r="AB1408" t="str">
            <v>Jayme Truong Sep 24, 2025 1:54 PM</v>
          </cell>
          <cell r="AC1408">
            <v>45975</v>
          </cell>
          <cell r="AD1408">
            <v>45980</v>
          </cell>
          <cell r="AE1408" t="str">
            <v/>
          </cell>
          <cell r="AF1408">
            <v>45975</v>
          </cell>
          <cell r="AG1408">
            <v>46077</v>
          </cell>
          <cell r="AH1408" t="str">
            <v/>
          </cell>
          <cell r="AI1408" t="str">
            <v/>
          </cell>
        </row>
        <row r="1409">
          <cell r="C1409">
            <v>4500759674</v>
          </cell>
          <cell r="D1409" t="str">
            <v/>
          </cell>
          <cell r="E1409" t="str">
            <v/>
          </cell>
          <cell r="F1409" t="str">
            <v>Windsor Final</v>
          </cell>
          <cell r="G1409" t="str">
            <v>Windsor Collected</v>
          </cell>
          <cell r="H1409" t="str">
            <v>No</v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>No</v>
          </cell>
          <cell r="N1409" t="str">
            <v>https://panda-windows-and-doors.monday.com/protected_static/21046287/resources/2537945832/4500759674 Deposit Invoice.pdf</v>
          </cell>
          <cell r="O1409" t="str">
            <v/>
          </cell>
          <cell r="P1409" t="str">
            <v/>
          </cell>
          <cell r="Q1409" t="str">
            <v/>
          </cell>
          <cell r="R1409" t="str">
            <v/>
          </cell>
          <cell r="S1409" t="str">
            <v/>
          </cell>
          <cell r="T1409" t="str">
            <v>https://panda-windows-and-doors.monday.com/protected_static/21046287/resources/2535861453/Print data.PDF, https://panda-windows-and-doors.monday.com/protected_static/21046287/resources/2560782279/Print data Cancel PO.PDF</v>
          </cell>
          <cell r="U1409" t="str">
            <v/>
          </cell>
          <cell r="V1409">
            <v>1200</v>
          </cell>
          <cell r="W1409" t="str">
            <v>Annalene Conde Feb 24, 2026 9:46 AM</v>
          </cell>
          <cell r="X1409" t="str">
            <v/>
          </cell>
          <cell r="Y1409">
            <v>45966</v>
          </cell>
          <cell r="Z1409" t="str">
            <v/>
          </cell>
          <cell r="AA1409">
            <v>45966</v>
          </cell>
          <cell r="AB1409" t="str">
            <v>Annalene Conde Nov 5, 2025 2:44 PM</v>
          </cell>
          <cell r="AC1409">
            <v>45979</v>
          </cell>
          <cell r="AD1409">
            <v>45980</v>
          </cell>
          <cell r="AE1409" t="str">
            <v/>
          </cell>
          <cell r="AF1409">
            <v>45979</v>
          </cell>
          <cell r="AG1409">
            <v>46077</v>
          </cell>
          <cell r="AH1409" t="str">
            <v/>
          </cell>
          <cell r="AI1409" t="str">
            <v/>
          </cell>
        </row>
        <row r="1410">
          <cell r="C1410">
            <v>4500748088</v>
          </cell>
          <cell r="D1410" t="str">
            <v/>
          </cell>
          <cell r="E1410" t="str">
            <v/>
          </cell>
          <cell r="F1410" t="str">
            <v>Windsor Final</v>
          </cell>
          <cell r="G1410" t="str">
            <v>Windsor Collected</v>
          </cell>
          <cell r="H1410" t="str">
            <v>No</v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>No</v>
          </cell>
          <cell r="N1410" t="str">
            <v>https://panda-windows-and-doors.monday.com/protected_static/21046287/resources/2438873030/4500748088 Deposit Invoice.pdf</v>
          </cell>
          <cell r="O1410" t="str">
            <v/>
          </cell>
          <cell r="P1410" t="str">
            <v/>
          </cell>
          <cell r="Q1410" t="str">
            <v/>
          </cell>
          <cell r="R1410" t="str">
            <v/>
          </cell>
          <cell r="S1410" t="str">
            <v/>
          </cell>
          <cell r="T1410" t="str">
            <v>https://panda-windows-and-doors.monday.com/protected_static/21046287/resources/2438650251/Print data.PDF, https://panda-windows-and-doors.monday.com/protected_static/21046287/resources/2559817430/Print data.PDF</v>
          </cell>
          <cell r="U1410" t="str">
            <v/>
          </cell>
          <cell r="V1410">
            <v>47527.17</v>
          </cell>
          <cell r="W1410" t="str">
            <v>Annalene Conde Feb 24, 2026 9:46 AM</v>
          </cell>
          <cell r="X1410" t="str">
            <v/>
          </cell>
          <cell r="Y1410">
            <v>45923</v>
          </cell>
          <cell r="Z1410" t="str">
            <v/>
          </cell>
          <cell r="AA1410">
            <v>45923</v>
          </cell>
          <cell r="AB1410" t="str">
            <v>Jayme Truong Sep 23, 2025 2:44 PM</v>
          </cell>
          <cell r="AC1410">
            <v>45979</v>
          </cell>
          <cell r="AD1410" t="str">
            <v/>
          </cell>
          <cell r="AE1410" t="str">
            <v/>
          </cell>
          <cell r="AF1410">
            <v>45979</v>
          </cell>
          <cell r="AG1410">
            <v>46077</v>
          </cell>
          <cell r="AH1410" t="str">
            <v/>
          </cell>
          <cell r="AI1410" t="str">
            <v/>
          </cell>
        </row>
        <row r="1411">
          <cell r="C1411">
            <v>4500746271</v>
          </cell>
          <cell r="D1411" t="str">
            <v/>
          </cell>
          <cell r="E1411" t="str">
            <v/>
          </cell>
          <cell r="F1411" t="str">
            <v>Windsor Final</v>
          </cell>
          <cell r="G1411" t="str">
            <v>Windsor Collected</v>
          </cell>
          <cell r="H1411" t="str">
            <v>No</v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>No</v>
          </cell>
          <cell r="N1411" t="str">
            <v>https://panda-windows-and-doors.monday.com/protected_static/21046287/resources/2423031020/4500746271 Deposit Invoice.pdf</v>
          </cell>
          <cell r="O1411" t="str">
            <v/>
          </cell>
          <cell r="P1411" t="str">
            <v/>
          </cell>
          <cell r="Q1411" t="str">
            <v/>
          </cell>
          <cell r="R1411" t="str">
            <v/>
          </cell>
          <cell r="S1411" t="str">
            <v/>
          </cell>
          <cell r="T1411" t="str">
            <v>https://panda-windows-and-doors.monday.com/protected_static/21046287/resources/2422758162/Print data.PDF, https://panda-windows-and-doors.monday.com/protected_static/21046287/resources/2423758450/Print data.PDF, https://panda-windows-and-doors.monday.com/protected_static/21046287/resources/2524429442/Print data.PDF_Print data.PDF, https://panda-windows-and-doors.monday.com/protected_static/21046287/resources/2524431414/Print data.PDF_Print data.PDF_Print data.PDF_Print data.PDF</v>
          </cell>
          <cell r="U1411" t="str">
            <v/>
          </cell>
          <cell r="V1411">
            <v>14805.33</v>
          </cell>
          <cell r="W1411" t="str">
            <v>Annalene Conde Feb 24, 2026 9:59 AM</v>
          </cell>
          <cell r="X1411" t="str">
            <v/>
          </cell>
          <cell r="Y1411">
            <v>45916</v>
          </cell>
          <cell r="Z1411" t="str">
            <v/>
          </cell>
          <cell r="AA1411">
            <v>45916</v>
          </cell>
          <cell r="AB1411" t="str">
            <v>Jayme Truong Sep 16, 2025 8:46 AM</v>
          </cell>
          <cell r="AC1411">
            <v>45961</v>
          </cell>
          <cell r="AD1411" t="str">
            <v/>
          </cell>
          <cell r="AE1411" t="str">
            <v/>
          </cell>
          <cell r="AF1411">
            <v>45961</v>
          </cell>
          <cell r="AG1411">
            <v>46077</v>
          </cell>
          <cell r="AH1411" t="str">
            <v/>
          </cell>
          <cell r="AI1411" t="str">
            <v/>
          </cell>
        </row>
        <row r="1412">
          <cell r="C1412">
            <v>4500744282</v>
          </cell>
          <cell r="D1412" t="str">
            <v/>
          </cell>
          <cell r="E1412" t="str">
            <v/>
          </cell>
          <cell r="F1412" t="str">
            <v>Windsor Final</v>
          </cell>
          <cell r="G1412" t="str">
            <v>Windsor Collected</v>
          </cell>
          <cell r="H1412" t="str">
            <v>No</v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>No</v>
          </cell>
          <cell r="N1412" t="str">
            <v>https://panda-windows-and-doors.monday.com/protected_static/21046287/resources/2408166919/4500744282 Deposit Invoice.pdf</v>
          </cell>
          <cell r="O1412" t="str">
            <v/>
          </cell>
          <cell r="P1412" t="str">
            <v/>
          </cell>
          <cell r="Q1412" t="str">
            <v/>
          </cell>
          <cell r="R1412" t="str">
            <v/>
          </cell>
          <cell r="S1412" t="str">
            <v/>
          </cell>
          <cell r="T1412" t="str">
            <v>https://panda-windows-and-doors.monday.com/protected_static/21046287/resources/2408018771/Print data.PDF, https://panda-windows-and-doors.monday.com/protected_static/21046287/resources/2534784915/Print data.PDF</v>
          </cell>
          <cell r="U1412" t="str">
            <v/>
          </cell>
          <cell r="V1412">
            <v>16001.04</v>
          </cell>
          <cell r="W1412" t="str">
            <v>Annalene Conde Feb 24, 2026 9:59 AM</v>
          </cell>
          <cell r="X1412" t="str">
            <v/>
          </cell>
          <cell r="Y1412">
            <v>45909</v>
          </cell>
          <cell r="Z1412" t="str">
            <v/>
          </cell>
          <cell r="AA1412">
            <v>45909</v>
          </cell>
          <cell r="AB1412" t="str">
            <v>Jayme Truong Sep 9, 2025 12:09 PM</v>
          </cell>
          <cell r="AC1412">
            <v>45966</v>
          </cell>
          <cell r="AD1412" t="str">
            <v/>
          </cell>
          <cell r="AE1412" t="str">
            <v/>
          </cell>
          <cell r="AF1412">
            <v>45966</v>
          </cell>
          <cell r="AG1412">
            <v>46077</v>
          </cell>
          <cell r="AH1412" t="str">
            <v/>
          </cell>
          <cell r="AI1412" t="str">
            <v/>
          </cell>
        </row>
        <row r="1413">
          <cell r="C1413" t="str">
            <v>4500783585-S</v>
          </cell>
          <cell r="D1413" t="str">
            <v/>
          </cell>
          <cell r="E1413" t="str">
            <v/>
          </cell>
          <cell r="F1413" t="str">
            <v>Windsor Final</v>
          </cell>
          <cell r="G1413" t="str">
            <v>Windsor Collected</v>
          </cell>
          <cell r="H1413" t="str">
            <v>No</v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>No</v>
          </cell>
          <cell r="N1413" t="str">
            <v>https://panda-windows-and-doors.monday.com/protected_static/21046287/resources/2775005375/4500783585-S deposit Invoice.pdf</v>
          </cell>
          <cell r="O1413" t="str">
            <v/>
          </cell>
          <cell r="P1413" t="str">
            <v/>
          </cell>
          <cell r="Q1413" t="str">
            <v/>
          </cell>
          <cell r="R1413" t="str">
            <v/>
          </cell>
          <cell r="S1413" t="str">
            <v/>
          </cell>
          <cell r="T1413" t="str">
            <v>https://panda-windows-and-doors.monday.com/protected_static/21046287/resources/2774817152/Print data.PDF</v>
          </cell>
          <cell r="U1413" t="str">
            <v/>
          </cell>
          <cell r="V1413">
            <v>336</v>
          </cell>
          <cell r="W1413" t="str">
            <v>Sean Lopez Mar 4, 2026 10:32 AM</v>
          </cell>
          <cell r="X1413" t="str">
            <v/>
          </cell>
          <cell r="Y1413">
            <v>46065</v>
          </cell>
          <cell r="Z1413" t="str">
            <v/>
          </cell>
          <cell r="AA1413">
            <v>46073</v>
          </cell>
          <cell r="AB1413" t="str">
            <v>Annalene Conde Feb 12, 2026 8:46 AM</v>
          </cell>
          <cell r="AC1413">
            <v>46073</v>
          </cell>
          <cell r="AD1413" t="str">
            <v/>
          </cell>
          <cell r="AE1413" t="str">
            <v/>
          </cell>
          <cell r="AF1413">
            <v>46073</v>
          </cell>
          <cell r="AG1413">
            <v>46085</v>
          </cell>
          <cell r="AH1413" t="str">
            <v/>
          </cell>
          <cell r="AI1413" t="str">
            <v/>
          </cell>
        </row>
        <row r="1414">
          <cell r="C1414">
            <v>4500772103</v>
          </cell>
          <cell r="D1414" t="str">
            <v/>
          </cell>
          <cell r="E1414" t="str">
            <v/>
          </cell>
          <cell r="F1414" t="str">
            <v>Windsor Final</v>
          </cell>
          <cell r="G1414" t="str">
            <v>Windsor Collected</v>
          </cell>
          <cell r="H1414" t="str">
            <v>No</v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>No</v>
          </cell>
          <cell r="N1414" t="str">
            <v>https://panda-windows-and-doors.monday.com/protected_static/21046287/resources/2647484414/4500772103 Deposit Invoice.pdf</v>
          </cell>
          <cell r="O1414" t="str">
            <v/>
          </cell>
          <cell r="P1414" t="str">
            <v/>
          </cell>
          <cell r="Q1414" t="str">
            <v/>
          </cell>
          <cell r="R1414" t="str">
            <v/>
          </cell>
          <cell r="S1414" t="str">
            <v/>
          </cell>
          <cell r="T1414" t="str">
            <v>https://panda-windows-and-doors.monday.com/protected_static/21046287/resources/2647040004/Print data.PDF</v>
          </cell>
          <cell r="U1414" t="str">
            <v/>
          </cell>
          <cell r="V1414">
            <v>10690.15</v>
          </cell>
          <cell r="W1414" t="str">
            <v>Annalene Conde Mar 4, 2026 10:31 AM</v>
          </cell>
          <cell r="X1414" t="str">
            <v/>
          </cell>
          <cell r="Y1414">
            <v>46021</v>
          </cell>
          <cell r="Z1414" t="str">
            <v/>
          </cell>
          <cell r="AA1414">
            <v>46021</v>
          </cell>
          <cell r="AB1414" t="str">
            <v>Annalene Conde Dec 30, 2025 8:10 AM</v>
          </cell>
          <cell r="AC1414">
            <v>46076</v>
          </cell>
          <cell r="AD1414" t="str">
            <v/>
          </cell>
          <cell r="AE1414" t="str">
            <v/>
          </cell>
          <cell r="AF1414">
            <v>46076</v>
          </cell>
          <cell r="AG1414">
            <v>46085</v>
          </cell>
          <cell r="AH1414" t="str">
            <v/>
          </cell>
          <cell r="AI1414" t="str">
            <v/>
          </cell>
        </row>
        <row r="1415">
          <cell r="C1415">
            <v>4500777236</v>
          </cell>
          <cell r="D1415" t="str">
            <v/>
          </cell>
          <cell r="E1415" t="str">
            <v/>
          </cell>
          <cell r="F1415" t="str">
            <v>Windsor Final</v>
          </cell>
          <cell r="G1415" t="str">
            <v>Windsor Collected</v>
          </cell>
          <cell r="H1415" t="str">
            <v>No</v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>Yes</v>
          </cell>
          <cell r="N1415" t="str">
            <v>https://panda-windows-and-doors.monday.com/protected_static/21046287/resources/2693865009/4500777236 Deposit Invoice.pdf</v>
          </cell>
          <cell r="O1415" t="str">
            <v/>
          </cell>
          <cell r="P1415" t="str">
            <v/>
          </cell>
          <cell r="Q1415" t="str">
            <v/>
          </cell>
          <cell r="R1415" t="str">
            <v/>
          </cell>
          <cell r="S1415" t="str">
            <v/>
          </cell>
          <cell r="T1415" t="str">
            <v>https://panda-windows-and-doors.monday.com/protected_static/21046287/resources/2693854533/Print data.PDF</v>
          </cell>
          <cell r="U1415" t="str">
            <v/>
          </cell>
          <cell r="V1415">
            <v>6041</v>
          </cell>
          <cell r="W1415" t="str">
            <v>Annalene Conde Mar 4, 2026 10:33 AM</v>
          </cell>
          <cell r="X1415" t="str">
            <v/>
          </cell>
          <cell r="Y1415">
            <v>46041</v>
          </cell>
          <cell r="Z1415" t="str">
            <v/>
          </cell>
          <cell r="AA1415">
            <v>46041</v>
          </cell>
          <cell r="AB1415" t="str">
            <v>Annalene Conde Jan 19, 2026 1:34 PM</v>
          </cell>
          <cell r="AC1415">
            <v>46079</v>
          </cell>
          <cell r="AD1415" t="str">
            <v/>
          </cell>
          <cell r="AE1415" t="str">
            <v/>
          </cell>
          <cell r="AF1415">
            <v>46079</v>
          </cell>
          <cell r="AG1415">
            <v>46085</v>
          </cell>
          <cell r="AH1415" t="str">
            <v/>
          </cell>
          <cell r="AI1415" t="str">
            <v/>
          </cell>
        </row>
        <row r="1416">
          <cell r="C1416">
            <v>4500772209</v>
          </cell>
          <cell r="D1416" t="str">
            <v/>
          </cell>
          <cell r="E1416" t="str">
            <v/>
          </cell>
          <cell r="F1416" t="str">
            <v>Windsor Final</v>
          </cell>
          <cell r="G1416" t="str">
            <v>Windsor Collected</v>
          </cell>
          <cell r="H1416" t="str">
            <v>No</v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>No</v>
          </cell>
          <cell r="N1416" t="str">
            <v>https://panda-windows-and-doors.monday.com/protected_static/21046287/resources/2647500600/4500772209 Deposit Invoice.pdf</v>
          </cell>
          <cell r="O1416" t="str">
            <v/>
          </cell>
          <cell r="P1416" t="str">
            <v/>
          </cell>
          <cell r="Q1416" t="str">
            <v/>
          </cell>
          <cell r="R1416" t="str">
            <v/>
          </cell>
          <cell r="S1416" t="str">
            <v/>
          </cell>
          <cell r="T1416" t="str">
            <v>https://panda-windows-and-doors.monday.com/protected_static/21046287/resources/2647045893/Print data.PDF</v>
          </cell>
          <cell r="U1416" t="str">
            <v/>
          </cell>
          <cell r="V1416">
            <v>19672.98</v>
          </cell>
          <cell r="W1416" t="str">
            <v>Annalene Conde Mar 9, 2026 9:09 AM</v>
          </cell>
          <cell r="X1416" t="str">
            <v/>
          </cell>
          <cell r="Y1416">
            <v>46021</v>
          </cell>
          <cell r="Z1416" t="str">
            <v/>
          </cell>
          <cell r="AA1416">
            <v>46021</v>
          </cell>
          <cell r="AB1416" t="str">
            <v>Annalene Conde Dec 30, 2025 8:14 AM</v>
          </cell>
          <cell r="AC1416">
            <v>46071</v>
          </cell>
          <cell r="AD1416" t="str">
            <v/>
          </cell>
          <cell r="AE1416" t="str">
            <v/>
          </cell>
          <cell r="AF1416">
            <v>46071</v>
          </cell>
          <cell r="AG1416">
            <v>46090</v>
          </cell>
          <cell r="AH1416" t="str">
            <v/>
          </cell>
          <cell r="AI1416" t="str">
            <v/>
          </cell>
        </row>
        <row r="1417">
          <cell r="C1417" t="str">
            <v>4500786176-S</v>
          </cell>
          <cell r="D1417" t="str">
            <v/>
          </cell>
          <cell r="E1417" t="str">
            <v/>
          </cell>
          <cell r="F1417" t="str">
            <v>Windsor Final</v>
          </cell>
          <cell r="G1417" t="str">
            <v>Windsor Collected</v>
          </cell>
          <cell r="H1417" t="str">
            <v>No</v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M1417" t="str">
            <v>No</v>
          </cell>
          <cell r="N1417" t="str">
            <v>https://panda-windows-and-doors.monday.com/protected_static/21046287/resources/2797206620/4500786176 Deposit Invoice.pdf</v>
          </cell>
          <cell r="O1417" t="str">
            <v/>
          </cell>
          <cell r="P1417" t="str">
            <v/>
          </cell>
          <cell r="Q1417" t="str">
            <v/>
          </cell>
          <cell r="R1417" t="str">
            <v/>
          </cell>
          <cell r="S1417" t="str">
            <v/>
          </cell>
          <cell r="T1417" t="str">
            <v>https://panda-windows-and-doors.monday.com/protected_static/21046287/resources/2795570244/Print data.PDF</v>
          </cell>
          <cell r="U1417" t="str">
            <v/>
          </cell>
          <cell r="V1417">
            <v>2430</v>
          </cell>
          <cell r="W1417" t="str">
            <v>Annalene Conde Mar 9, 2026 9:11 AM</v>
          </cell>
          <cell r="X1417" t="str">
            <v/>
          </cell>
          <cell r="Y1417">
            <v>46076</v>
          </cell>
          <cell r="Z1417" t="str">
            <v/>
          </cell>
          <cell r="AA1417">
            <v>46080</v>
          </cell>
          <cell r="AB1417" t="str">
            <v>Annalene Conde Feb 23, 2026 2:56 PM</v>
          </cell>
          <cell r="AC1417">
            <v>46083</v>
          </cell>
          <cell r="AD1417" t="str">
            <v/>
          </cell>
          <cell r="AE1417" t="str">
            <v/>
          </cell>
          <cell r="AF1417">
            <v>46083</v>
          </cell>
          <cell r="AG1417">
            <v>46090</v>
          </cell>
          <cell r="AH1417" t="str">
            <v/>
          </cell>
          <cell r="AI1417" t="str">
            <v/>
          </cell>
        </row>
        <row r="1418">
          <cell r="C1418">
            <v>4500772404</v>
          </cell>
          <cell r="D1418" t="str">
            <v/>
          </cell>
          <cell r="E1418" t="str">
            <v/>
          </cell>
          <cell r="F1418" t="str">
            <v>Windsor Final</v>
          </cell>
          <cell r="G1418" t="str">
            <v>Windsor Collected</v>
          </cell>
          <cell r="H1418" t="str">
            <v>No</v>
          </cell>
          <cell r="I1418" t="str">
            <v>Alex</v>
          </cell>
          <cell r="J1418" t="str">
            <v/>
          </cell>
          <cell r="K1418" t="str">
            <v/>
          </cell>
          <cell r="L1418" t="str">
            <v/>
          </cell>
          <cell r="M1418" t="str">
            <v>Yes</v>
          </cell>
          <cell r="N1418" t="str">
            <v>https://panda-windows-and-doors.monday.com/protected_static/21046287/resources/2647515756/4500772404 Deposit Invoice.pdf</v>
          </cell>
          <cell r="O1418" t="str">
            <v/>
          </cell>
          <cell r="P1418" t="str">
            <v/>
          </cell>
          <cell r="Q1418" t="str">
            <v/>
          </cell>
          <cell r="R1418" t="str">
            <v/>
          </cell>
          <cell r="S1418" t="str">
            <v/>
          </cell>
          <cell r="T1418" t="str">
            <v>https://panda-windows-and-doors.monday.com/protected_static/21046287/resources/2647127490/Print data.PDF</v>
          </cell>
          <cell r="U1418" t="str">
            <v/>
          </cell>
          <cell r="V1418">
            <v>12398.12</v>
          </cell>
          <cell r="W1418" t="str">
            <v>George Bails Mar 24, 2026 10:02 AM</v>
          </cell>
          <cell r="X1418" t="str">
            <v/>
          </cell>
          <cell r="Y1418">
            <v>46021</v>
          </cell>
          <cell r="Z1418" t="str">
            <v/>
          </cell>
          <cell r="AA1418">
            <v>46021</v>
          </cell>
          <cell r="AB1418" t="str">
            <v>Annalene Conde Dec 30, 2025 8:46 AM</v>
          </cell>
          <cell r="AC1418">
            <v>46071</v>
          </cell>
          <cell r="AD1418" t="str">
            <v/>
          </cell>
          <cell r="AE1418" t="str">
            <v/>
          </cell>
          <cell r="AF1418">
            <v>46071</v>
          </cell>
          <cell r="AG1418">
            <v>46092</v>
          </cell>
          <cell r="AH1418" t="str">
            <v/>
          </cell>
          <cell r="AI1418" t="str">
            <v/>
          </cell>
        </row>
        <row r="1419">
          <cell r="C1419">
            <v>4500773366</v>
          </cell>
          <cell r="D1419" t="str">
            <v/>
          </cell>
          <cell r="E1419" t="str">
            <v/>
          </cell>
          <cell r="F1419" t="str">
            <v>Windsor Final</v>
          </cell>
          <cell r="G1419" t="str">
            <v>Windsor Collected</v>
          </cell>
          <cell r="H1419" t="str">
            <v>No</v>
          </cell>
          <cell r="I1419" t="str">
            <v>Alex</v>
          </cell>
          <cell r="J1419" t="str">
            <v/>
          </cell>
          <cell r="K1419" t="str">
            <v/>
          </cell>
          <cell r="L1419" t="str">
            <v/>
          </cell>
          <cell r="M1419" t="str">
            <v>Yes</v>
          </cell>
          <cell r="N1419" t="str">
            <v>https://panda-windows-and-doors.monday.com/protected_static/21046287/resources/2658389591/4500773366 Deposit Invoice.pdf</v>
          </cell>
          <cell r="O1419" t="str">
            <v/>
          </cell>
          <cell r="P1419" t="str">
            <v/>
          </cell>
          <cell r="Q1419" t="str">
            <v/>
          </cell>
          <cell r="R1419" t="str">
            <v/>
          </cell>
          <cell r="S1419" t="str">
            <v/>
          </cell>
          <cell r="T1419" t="str">
            <v>https://panda-windows-and-doors.monday.com/protected_static/21046287/resources/2658338915/Print data.PDF</v>
          </cell>
          <cell r="U1419" t="str">
            <v/>
          </cell>
          <cell r="V1419">
            <v>6311</v>
          </cell>
          <cell r="W1419" t="str">
            <v>George Bails Mar 24, 2026 10:02 AM</v>
          </cell>
          <cell r="X1419" t="str">
            <v/>
          </cell>
          <cell r="Y1419">
            <v>46027</v>
          </cell>
          <cell r="Z1419" t="str">
            <v/>
          </cell>
          <cell r="AA1419">
            <v>46027</v>
          </cell>
          <cell r="AB1419" t="str">
            <v>Annalene Conde Jan 5, 2026 2:03 PM</v>
          </cell>
          <cell r="AC1419">
            <v>46065</v>
          </cell>
          <cell r="AD1419" t="str">
            <v/>
          </cell>
          <cell r="AE1419" t="str">
            <v/>
          </cell>
          <cell r="AF1419">
            <v>46065</v>
          </cell>
          <cell r="AG1419">
            <v>46092</v>
          </cell>
          <cell r="AH1419" t="str">
            <v/>
          </cell>
          <cell r="AI1419" t="str">
            <v/>
          </cell>
        </row>
        <row r="1420">
          <cell r="C1420">
            <v>4500773398</v>
          </cell>
          <cell r="D1420" t="str">
            <v/>
          </cell>
          <cell r="E1420" t="str">
            <v/>
          </cell>
          <cell r="F1420" t="str">
            <v>Windsor Final</v>
          </cell>
          <cell r="G1420" t="str">
            <v>Windsor Collected</v>
          </cell>
          <cell r="H1420" t="str">
            <v>No</v>
          </cell>
          <cell r="I1420" t="str">
            <v>Alex</v>
          </cell>
          <cell r="J1420" t="str">
            <v/>
          </cell>
          <cell r="K1420" t="str">
            <v/>
          </cell>
          <cell r="L1420" t="str">
            <v/>
          </cell>
          <cell r="M1420" t="str">
            <v>Yes</v>
          </cell>
          <cell r="N1420" t="str">
            <v>https://panda-windows-and-doors.monday.com/protected_static/21046287/resources/2658571060/4500773398 Deposit Invoice.pdf</v>
          </cell>
          <cell r="O1420" t="str">
            <v/>
          </cell>
          <cell r="P1420" t="str">
            <v/>
          </cell>
          <cell r="Q1420" t="str">
            <v/>
          </cell>
          <cell r="R1420" t="str">
            <v/>
          </cell>
          <cell r="S1420" t="str">
            <v/>
          </cell>
          <cell r="T1420" t="str">
            <v>https://panda-windows-and-doors.monday.com/protected_static/21046287/resources/2658386116/Print data.PDF</v>
          </cell>
          <cell r="U1420" t="str">
            <v/>
          </cell>
          <cell r="V1420">
            <v>22543.01</v>
          </cell>
          <cell r="W1420" t="str">
            <v>George Bails Mar 24, 2026 10:00 AM</v>
          </cell>
          <cell r="X1420" t="str">
            <v/>
          </cell>
          <cell r="Y1420">
            <v>46027</v>
          </cell>
          <cell r="Z1420" t="str">
            <v/>
          </cell>
          <cell r="AA1420">
            <v>46027</v>
          </cell>
          <cell r="AB1420" t="str">
            <v>Annalene Conde Jan 5, 2026 2:03 PM</v>
          </cell>
          <cell r="AC1420">
            <v>46079</v>
          </cell>
          <cell r="AD1420" t="str">
            <v/>
          </cell>
          <cell r="AE1420" t="str">
            <v/>
          </cell>
          <cell r="AF1420">
            <v>46079</v>
          </cell>
          <cell r="AG1420">
            <v>46092</v>
          </cell>
          <cell r="AH1420" t="str">
            <v/>
          </cell>
          <cell r="AI1420" t="str">
            <v/>
          </cell>
        </row>
        <row r="1421">
          <cell r="C1421">
            <v>4500775330</v>
          </cell>
          <cell r="D1421" t="str">
            <v/>
          </cell>
          <cell r="E1421" t="str">
            <v/>
          </cell>
          <cell r="F1421" t="str">
            <v>Windsor Final</v>
          </cell>
          <cell r="G1421" t="str">
            <v>Windsor Collected</v>
          </cell>
          <cell r="H1421" t="str">
            <v>No</v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M1421" t="str">
            <v>No</v>
          </cell>
          <cell r="N1421" t="str">
            <v>https://panda-windows-and-doors.monday.com/protected_static/21046287/resources/2686587163/4500775330 Deposit Invoice.pdf</v>
          </cell>
          <cell r="O1421" t="str">
            <v/>
          </cell>
          <cell r="P1421" t="str">
            <v/>
          </cell>
          <cell r="Q1421" t="str">
            <v/>
          </cell>
          <cell r="R1421" t="str">
            <v/>
          </cell>
          <cell r="S1421" t="str">
            <v/>
          </cell>
          <cell r="T1421" t="str">
            <v>https://panda-windows-and-doors.monday.com/protected_static/21046287/resources/2686470833/Print data.PDF</v>
          </cell>
          <cell r="U1421" t="str">
            <v/>
          </cell>
          <cell r="V1421">
            <v>14940.01</v>
          </cell>
          <cell r="W1421" t="str">
            <v>Annalene Conde Mar 18, 2026 12:03 PM</v>
          </cell>
          <cell r="X1421" t="str">
            <v/>
          </cell>
          <cell r="Y1421">
            <v>46037</v>
          </cell>
          <cell r="Z1421" t="str">
            <v/>
          </cell>
          <cell r="AA1421">
            <v>46035</v>
          </cell>
          <cell r="AB1421" t="str">
            <v>Annalene Conde Jan 13, 2026 9:26 AM</v>
          </cell>
          <cell r="AC1421">
            <v>46083</v>
          </cell>
          <cell r="AD1421" t="str">
            <v/>
          </cell>
          <cell r="AE1421" t="str">
            <v/>
          </cell>
          <cell r="AF1421">
            <v>46083</v>
          </cell>
          <cell r="AG1421">
            <v>46099</v>
          </cell>
          <cell r="AH1421" t="str">
            <v/>
          </cell>
          <cell r="AI1421" t="str">
            <v/>
          </cell>
        </row>
        <row r="1422">
          <cell r="C1422">
            <v>4500779924</v>
          </cell>
          <cell r="D1422" t="str">
            <v/>
          </cell>
          <cell r="E1422" t="str">
            <v/>
          </cell>
          <cell r="F1422" t="str">
            <v>Windsor Final</v>
          </cell>
          <cell r="G1422" t="str">
            <v>Windsor Collected</v>
          </cell>
          <cell r="H1422" t="str">
            <v>No</v>
          </cell>
          <cell r="I1422" t="str">
            <v>Alex</v>
          </cell>
          <cell r="J1422" t="str">
            <v>Alex</v>
          </cell>
          <cell r="K1422" t="str">
            <v/>
          </cell>
          <cell r="L1422" t="str">
            <v/>
          </cell>
          <cell r="M1422" t="str">
            <v>Yes</v>
          </cell>
          <cell r="N1422" t="str">
            <v>https://panda-windows-and-doors.monday.com/protected_static/21046287/resources/2720309806/4500779924 Deposit Invoice.pdf</v>
          </cell>
          <cell r="O1422" t="str">
            <v/>
          </cell>
          <cell r="P1422" t="str">
            <v/>
          </cell>
          <cell r="Q1422" t="str">
            <v/>
          </cell>
          <cell r="R1422" t="str">
            <v/>
          </cell>
          <cell r="S1422" t="str">
            <v/>
          </cell>
          <cell r="T1422" t="str">
            <v>https://panda-windows-and-doors.monday.com/protected_static/21046287/resources/2720138175/Print data.PDF</v>
          </cell>
          <cell r="U1422" t="str">
            <v/>
          </cell>
          <cell r="V1422">
            <v>14075.5</v>
          </cell>
          <cell r="W1422" t="str">
            <v>George Bails Mar 24, 2026 10:02 AM</v>
          </cell>
          <cell r="X1422" t="str">
            <v/>
          </cell>
          <cell r="Y1422">
            <v>46051</v>
          </cell>
          <cell r="Z1422" t="str">
            <v/>
          </cell>
          <cell r="AA1422">
            <v>46051</v>
          </cell>
          <cell r="AB1422" t="str">
            <v>Annalene Conde Jan 29, 2026 10:57 AM</v>
          </cell>
          <cell r="AC1422">
            <v>46090</v>
          </cell>
          <cell r="AD1422" t="str">
            <v/>
          </cell>
          <cell r="AE1422" t="str">
            <v/>
          </cell>
          <cell r="AF1422">
            <v>46090</v>
          </cell>
          <cell r="AG1422">
            <v>46099</v>
          </cell>
          <cell r="AH1422" t="str">
            <v/>
          </cell>
          <cell r="AI1422" t="str">
            <v/>
          </cell>
        </row>
        <row r="1423">
          <cell r="C1423">
            <v>4500774885</v>
          </cell>
          <cell r="D1423" t="str">
            <v/>
          </cell>
          <cell r="E1423" t="str">
            <v/>
          </cell>
          <cell r="F1423" t="str">
            <v>Windsor Final</v>
          </cell>
          <cell r="G1423" t="str">
            <v>Windsor Collected</v>
          </cell>
          <cell r="H1423" t="str">
            <v>No</v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M1423" t="str">
            <v>No</v>
          </cell>
          <cell r="N1423" t="str">
            <v>https://panda-windows-and-doors.monday.com/protected_static/21046287/resources/2675122217/4500774885 Deposit Invoice.pdf</v>
          </cell>
          <cell r="O1423" t="str">
            <v/>
          </cell>
          <cell r="P1423" t="str">
            <v/>
          </cell>
          <cell r="Q1423" t="str">
            <v/>
          </cell>
          <cell r="R1423" t="str">
            <v/>
          </cell>
          <cell r="S1423" t="str">
            <v/>
          </cell>
          <cell r="T1423" t="str">
            <v>https://panda-windows-and-doors.monday.com/protected_static/21046287/resources/2675070236/Print data.PDF</v>
          </cell>
          <cell r="U1423" t="str">
            <v/>
          </cell>
          <cell r="V1423">
            <v>6343.5</v>
          </cell>
          <cell r="W1423" t="str">
            <v>Annalene Conde Mar 18, 2026 12:11 PM</v>
          </cell>
          <cell r="X1423" t="str">
            <v/>
          </cell>
          <cell r="Y1423">
            <v>46031</v>
          </cell>
          <cell r="Z1423" t="str">
            <v/>
          </cell>
          <cell r="AA1423">
            <v>46034</v>
          </cell>
          <cell r="AB1423" t="str">
            <v>Annalene Conde Jan 9, 2026 12:47 PM</v>
          </cell>
          <cell r="AC1423">
            <v>46080</v>
          </cell>
          <cell r="AD1423" t="str">
            <v/>
          </cell>
          <cell r="AE1423" t="str">
            <v/>
          </cell>
          <cell r="AF1423">
            <v>46080</v>
          </cell>
          <cell r="AG1423">
            <v>46099</v>
          </cell>
          <cell r="AH1423" t="str">
            <v/>
          </cell>
          <cell r="AI1423" t="str">
            <v/>
          </cell>
        </row>
        <row r="1424">
          <cell r="C1424" t="str">
            <v>4500790458-S</v>
          </cell>
          <cell r="D1424" t="str">
            <v/>
          </cell>
          <cell r="E1424" t="str">
            <v/>
          </cell>
          <cell r="F1424" t="str">
            <v>Windsor Final</v>
          </cell>
          <cell r="G1424" t="str">
            <v>Windsor Collected</v>
          </cell>
          <cell r="H1424" t="str">
            <v>No</v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M1424" t="str">
            <v>No</v>
          </cell>
          <cell r="N1424" t="str">
            <v>https://panda-windows-and-doors.monday.com/protected_static/21046287/resources/2828113039/4500790458 Deposit Invoice.pdf</v>
          </cell>
          <cell r="O1424" t="str">
            <v/>
          </cell>
          <cell r="P1424" t="str">
            <v/>
          </cell>
          <cell r="Q1424" t="str">
            <v/>
          </cell>
          <cell r="R1424" t="str">
            <v/>
          </cell>
          <cell r="S1424" t="str">
            <v/>
          </cell>
          <cell r="T1424" t="str">
            <v>https://panda-windows-and-doors.monday.com/protected_static/21046287/resources/2824660025/Print data.PDF</v>
          </cell>
          <cell r="U1424" t="str">
            <v/>
          </cell>
          <cell r="V1424">
            <v>150</v>
          </cell>
          <cell r="W1424" t="str">
            <v>Annalene Conde Mar 18, 2026 2:58 PM</v>
          </cell>
          <cell r="X1424" t="str">
            <v/>
          </cell>
          <cell r="Y1424">
            <v>46093</v>
          </cell>
          <cell r="Z1424" t="str">
            <v/>
          </cell>
          <cell r="AA1424">
            <v>46093</v>
          </cell>
          <cell r="AB1424" t="str">
            <v>Annalene Conde Mar 12, 2026 11:59 AM</v>
          </cell>
          <cell r="AC1424">
            <v>46094</v>
          </cell>
          <cell r="AD1424" t="str">
            <v/>
          </cell>
          <cell r="AE1424" t="str">
            <v/>
          </cell>
          <cell r="AF1424">
            <v>46094</v>
          </cell>
          <cell r="AG1424">
            <v>46099</v>
          </cell>
          <cell r="AH1424" t="str">
            <v/>
          </cell>
          <cell r="AI1424" t="str">
            <v/>
          </cell>
        </row>
        <row r="1425">
          <cell r="C1425">
            <v>4500779519</v>
          </cell>
          <cell r="D1425" t="str">
            <v/>
          </cell>
          <cell r="E1425" t="str">
            <v/>
          </cell>
          <cell r="F1425" t="str">
            <v>Windsor Final</v>
          </cell>
          <cell r="G1425" t="str">
            <v>Windsor Collected</v>
          </cell>
          <cell r="H1425" t="str">
            <v>No</v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M1425" t="str">
            <v>No</v>
          </cell>
          <cell r="N1425" t="str">
            <v>https://panda-windows-and-doors.monday.com/protected_static/21046287/resources/2720298585/4500779519 Deposit Invoice.pdf</v>
          </cell>
          <cell r="O1425" t="str">
            <v/>
          </cell>
          <cell r="P1425" t="str">
            <v/>
          </cell>
          <cell r="Q1425" t="str">
            <v/>
          </cell>
          <cell r="R1425" t="str">
            <v/>
          </cell>
          <cell r="S1425" t="str">
            <v/>
          </cell>
          <cell r="T1425" t="str">
            <v>https://panda-windows-and-doors.monday.com/protected_static/21046287/resources/2716895788/Print data.PDF</v>
          </cell>
          <cell r="U1425" t="str">
            <v/>
          </cell>
          <cell r="V1425">
            <v>22827.03</v>
          </cell>
          <cell r="W1425" t="str">
            <v>Annalene Conde Mar 19, 2026 5:07 PM</v>
          </cell>
          <cell r="X1425" t="str">
            <v/>
          </cell>
          <cell r="Y1425">
            <v>46050</v>
          </cell>
          <cell r="Z1425" t="str">
            <v/>
          </cell>
          <cell r="AA1425">
            <v>46050</v>
          </cell>
          <cell r="AB1425" t="str">
            <v>Annalene Conde Jan 28, 2026 11:16 AM</v>
          </cell>
          <cell r="AC1425">
            <v>46084</v>
          </cell>
          <cell r="AD1425" t="str">
            <v/>
          </cell>
          <cell r="AE1425" t="str">
            <v/>
          </cell>
          <cell r="AF1425">
            <v>46084</v>
          </cell>
          <cell r="AG1425">
            <v>46100</v>
          </cell>
          <cell r="AH1425" t="str">
            <v/>
          </cell>
          <cell r="AI1425" t="str">
            <v/>
          </cell>
        </row>
        <row r="1426">
          <cell r="C1426" t="str">
            <v>4500753963 parts</v>
          </cell>
          <cell r="D1426" t="str">
            <v/>
          </cell>
          <cell r="E1426" t="str">
            <v/>
          </cell>
          <cell r="F1426" t="str">
            <v>Windsor Final</v>
          </cell>
          <cell r="G1426" t="str">
            <v>Windsor Collected</v>
          </cell>
          <cell r="H1426" t="str">
            <v>No</v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M1426" t="str">
            <v>No</v>
          </cell>
          <cell r="N1426" t="str">
            <v>https://panda-windows-and-doors.monday.com/protected_static/21046287/resources/2555859149/4500753963 Deposit.pdf</v>
          </cell>
          <cell r="O1426" t="str">
            <v/>
          </cell>
          <cell r="P1426" t="str">
            <v/>
          </cell>
          <cell r="Q1426" t="str">
            <v/>
          </cell>
          <cell r="R1426" t="str">
            <v/>
          </cell>
          <cell r="S1426" t="str">
            <v/>
          </cell>
          <cell r="T1426" t="str">
            <v>https://panda-windows-and-doors.monday.com/protected_static/21046287/resources/2555566278/Print data.PDF</v>
          </cell>
          <cell r="U1426" t="str">
            <v/>
          </cell>
          <cell r="V1426">
            <v>2250</v>
          </cell>
          <cell r="W1426" t="str">
            <v>Annalene Conde Mar 19, 2026 5:12 PM</v>
          </cell>
          <cell r="X1426" t="str">
            <v/>
          </cell>
          <cell r="Y1426">
            <v>45975</v>
          </cell>
          <cell r="Z1426" t="str">
            <v/>
          </cell>
          <cell r="AA1426">
            <v>45975</v>
          </cell>
          <cell r="AB1426" t="str">
            <v>Annalene Conde Nov 14, 2025 9:14 AM</v>
          </cell>
          <cell r="AC1426">
            <v>45975</v>
          </cell>
          <cell r="AD1426" t="str">
            <v/>
          </cell>
          <cell r="AE1426" t="str">
            <v/>
          </cell>
          <cell r="AF1426">
            <v>45975</v>
          </cell>
          <cell r="AG1426">
            <v>46100</v>
          </cell>
          <cell r="AH1426" t="str">
            <v/>
          </cell>
          <cell r="AI1426" t="str">
            <v/>
          </cell>
        </row>
        <row r="1427">
          <cell r="C1427" t="str">
            <v>4500740397 Glass</v>
          </cell>
          <cell r="D1427" t="str">
            <v/>
          </cell>
          <cell r="E1427" t="str">
            <v/>
          </cell>
          <cell r="F1427" t="str">
            <v>Windsor Final</v>
          </cell>
          <cell r="G1427" t="str">
            <v>Windsor Collected</v>
          </cell>
          <cell r="H1427" t="str">
            <v>No</v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M1427" t="str">
            <v>No</v>
          </cell>
          <cell r="N1427" t="str">
            <v>https://panda-windows-and-doors.monday.com/protected_static/21046287/resources/2372116608/4500740397 Deposit Invoice.pdf</v>
          </cell>
          <cell r="O1427" t="str">
            <v/>
          </cell>
          <cell r="P1427" t="str">
            <v/>
          </cell>
          <cell r="Q1427" t="str">
            <v/>
          </cell>
          <cell r="R1427" t="str">
            <v/>
          </cell>
          <cell r="S1427" t="str">
            <v/>
          </cell>
          <cell r="T1427" t="str">
            <v>https://panda-windows-and-doors.monday.com/protected_static/21046287/resources/2371238477/Print data.PDF</v>
          </cell>
          <cell r="U1427" t="str">
            <v/>
          </cell>
          <cell r="V1427">
            <v>1416</v>
          </cell>
          <cell r="W1427" t="str">
            <v>Annalene Conde Mar 19, 2026 5:24 PM</v>
          </cell>
          <cell r="X1427" t="str">
            <v/>
          </cell>
          <cell r="Y1427">
            <v>45891</v>
          </cell>
          <cell r="Z1427" t="str">
            <v/>
          </cell>
          <cell r="AA1427">
            <v>45891</v>
          </cell>
          <cell r="AB1427" t="str">
            <v>Jayme Truong Aug 22, 2025 12:06 PM</v>
          </cell>
          <cell r="AC1427" t="str">
            <v/>
          </cell>
          <cell r="AD1427" t="str">
            <v/>
          </cell>
          <cell r="AE1427" t="str">
            <v/>
          </cell>
          <cell r="AF1427" t="str">
            <v/>
          </cell>
          <cell r="AG1427">
            <v>46100</v>
          </cell>
          <cell r="AH1427" t="str">
            <v/>
          </cell>
          <cell r="AI1427" t="str">
            <v/>
          </cell>
        </row>
        <row r="1428">
          <cell r="C1428">
            <v>4500777238</v>
          </cell>
          <cell r="D1428" t="str">
            <v/>
          </cell>
          <cell r="E1428" t="str">
            <v/>
          </cell>
          <cell r="F1428" t="str">
            <v>Windsor Final</v>
          </cell>
          <cell r="G1428" t="str">
            <v>Windsor Collected</v>
          </cell>
          <cell r="H1428" t="str">
            <v>No</v>
          </cell>
          <cell r="I1428" t="str">
            <v/>
          </cell>
          <cell r="J1428" t="str">
            <v/>
          </cell>
          <cell r="K1428" t="str">
            <v/>
          </cell>
          <cell r="L1428" t="str">
            <v/>
          </cell>
          <cell r="M1428" t="str">
            <v>No</v>
          </cell>
          <cell r="N1428" t="str">
            <v>https://panda-windows-and-doors.monday.com/protected_static/21046287/resources/2693993192/4500777238 Deposit Invoice.pdf</v>
          </cell>
          <cell r="O1428" t="str">
            <v/>
          </cell>
          <cell r="P1428" t="str">
            <v/>
          </cell>
          <cell r="Q1428" t="str">
            <v/>
          </cell>
          <cell r="R1428" t="str">
            <v/>
          </cell>
          <cell r="S1428" t="str">
            <v/>
          </cell>
          <cell r="T1428" t="str">
            <v>https://panda-windows-and-doors.monday.com/protected_static/21046287/resources/2693979875/Print data.PDF</v>
          </cell>
          <cell r="U1428" t="str">
            <v/>
          </cell>
          <cell r="V1428">
            <v>16164.46</v>
          </cell>
          <cell r="W1428" t="str">
            <v>Annalene Conde Mar 20, 2026 8:49 AM</v>
          </cell>
          <cell r="X1428" t="str">
            <v/>
          </cell>
          <cell r="Y1428">
            <v>46041</v>
          </cell>
          <cell r="Z1428" t="str">
            <v/>
          </cell>
          <cell r="AA1428">
            <v>46041</v>
          </cell>
          <cell r="AB1428" t="str">
            <v>Annalene Conde Jan 19, 2026 3:26 PM</v>
          </cell>
          <cell r="AC1428">
            <v>46071</v>
          </cell>
          <cell r="AD1428" t="str">
            <v/>
          </cell>
          <cell r="AE1428" t="str">
            <v/>
          </cell>
          <cell r="AF1428">
            <v>46071</v>
          </cell>
          <cell r="AG1428">
            <v>46101</v>
          </cell>
          <cell r="AH1428" t="str">
            <v/>
          </cell>
          <cell r="AI1428" t="str">
            <v/>
          </cell>
        </row>
        <row r="1429">
          <cell r="C1429" t="str">
            <v>4500792255-S</v>
          </cell>
          <cell r="D1429" t="str">
            <v/>
          </cell>
          <cell r="E1429" t="str">
            <v/>
          </cell>
          <cell r="F1429" t="str">
            <v>Windsor Final</v>
          </cell>
          <cell r="G1429" t="str">
            <v>Windsor Collected</v>
          </cell>
          <cell r="H1429" t="str">
            <v>No</v>
          </cell>
          <cell r="I1429" t="str">
            <v/>
          </cell>
          <cell r="J1429" t="str">
            <v/>
          </cell>
          <cell r="K1429" t="str">
            <v/>
          </cell>
          <cell r="L1429" t="str">
            <v/>
          </cell>
          <cell r="M1429" t="str">
            <v>No</v>
          </cell>
          <cell r="N1429" t="str">
            <v>https://panda-windows-and-doors.monday.com/protected_static/21046287/resources/2843909303/4500792255 Deposit Invoice.pdf</v>
          </cell>
          <cell r="O1429" t="str">
            <v/>
          </cell>
          <cell r="P1429" t="str">
            <v/>
          </cell>
          <cell r="Q1429" t="str">
            <v/>
          </cell>
          <cell r="R1429" t="str">
            <v/>
          </cell>
          <cell r="S1429" t="str">
            <v/>
          </cell>
          <cell r="T1429" t="str">
            <v>https://panda-windows-and-doors.monday.com/protected_static/21046287/resources/2838505096/Print data.PDF</v>
          </cell>
          <cell r="U1429" t="str">
            <v/>
          </cell>
          <cell r="V1429" t="str">
            <v/>
          </cell>
          <cell r="W1429" t="str">
            <v>Annalene Conde Mar 23, 2026 3:32 PM</v>
          </cell>
          <cell r="X1429" t="str">
            <v/>
          </cell>
          <cell r="Y1429">
            <v>46098</v>
          </cell>
          <cell r="Z1429" t="str">
            <v/>
          </cell>
          <cell r="AA1429">
            <v>46100</v>
          </cell>
          <cell r="AB1429" t="str">
            <v>Annalene Conde Mar 17, 2026 11:19 AM</v>
          </cell>
          <cell r="AC1429">
            <v>46101</v>
          </cell>
          <cell r="AD1429" t="str">
            <v/>
          </cell>
          <cell r="AE1429" t="str">
            <v/>
          </cell>
          <cell r="AF1429">
            <v>46101</v>
          </cell>
          <cell r="AG1429">
            <v>46104</v>
          </cell>
          <cell r="AH1429" t="str">
            <v/>
          </cell>
          <cell r="AI1429" t="str">
            <v/>
          </cell>
        </row>
        <row r="1430">
          <cell r="C1430" t="str">
            <v>4500788508-S</v>
          </cell>
          <cell r="D1430" t="str">
            <v/>
          </cell>
          <cell r="E1430" t="str">
            <v/>
          </cell>
          <cell r="F1430" t="str">
            <v>Windsor Final</v>
          </cell>
          <cell r="G1430" t="str">
            <v>Windsor Collected</v>
          </cell>
          <cell r="H1430" t="str">
            <v>No</v>
          </cell>
          <cell r="I1430" t="str">
            <v/>
          </cell>
          <cell r="J1430" t="str">
            <v/>
          </cell>
          <cell r="K1430" t="str">
            <v/>
          </cell>
          <cell r="L1430" t="str">
            <v/>
          </cell>
          <cell r="M1430" t="str">
            <v>No</v>
          </cell>
          <cell r="N1430" t="str">
            <v>https://panda-windows-and-doors.monday.com/protected_static/21046287/resources/2857162996/4500788508-S Deposit Invoice.pdf</v>
          </cell>
          <cell r="O1430" t="str">
            <v/>
          </cell>
          <cell r="P1430" t="str">
            <v/>
          </cell>
          <cell r="Q1430" t="str">
            <v/>
          </cell>
          <cell r="R1430" t="str">
            <v/>
          </cell>
          <cell r="S1430" t="str">
            <v/>
          </cell>
          <cell r="T1430" t="str">
            <v>https://panda-windows-and-doors.monday.com/protected_static/21046287/resources/2855116958/Print data.PDF</v>
          </cell>
          <cell r="U1430" t="str">
            <v/>
          </cell>
          <cell r="V1430" t="str">
            <v/>
          </cell>
          <cell r="W1430" t="str">
            <v>Annalene Conde Mar 31, 2026 10:11 AM</v>
          </cell>
          <cell r="X1430" t="str">
            <v/>
          </cell>
          <cell r="Y1430">
            <v>46084</v>
          </cell>
          <cell r="Z1430" t="str">
            <v/>
          </cell>
          <cell r="AA1430">
            <v>46099</v>
          </cell>
          <cell r="AB1430" t="str">
            <v>Annalene Conde Mar 3, 2026 2:08 PM</v>
          </cell>
          <cell r="AC1430">
            <v>46100</v>
          </cell>
          <cell r="AD1430" t="str">
            <v/>
          </cell>
          <cell r="AE1430" t="str">
            <v/>
          </cell>
          <cell r="AF1430">
            <v>46100</v>
          </cell>
          <cell r="AG1430">
            <v>46112</v>
          </cell>
          <cell r="AH1430" t="str">
            <v/>
          </cell>
          <cell r="AI1430" t="str">
            <v/>
          </cell>
        </row>
        <row r="1431">
          <cell r="C1431">
            <v>4500794901</v>
          </cell>
          <cell r="D1431" t="str">
            <v/>
          </cell>
          <cell r="E1431" t="str">
            <v/>
          </cell>
          <cell r="F1431" t="str">
            <v>Windsor Final</v>
          </cell>
          <cell r="G1431" t="str">
            <v>Windsor Collected</v>
          </cell>
          <cell r="H1431" t="str">
            <v>No</v>
          </cell>
          <cell r="I1431" t="str">
            <v/>
          </cell>
          <cell r="J1431" t="str">
            <v/>
          </cell>
          <cell r="K1431" t="str">
            <v/>
          </cell>
          <cell r="L1431" t="str">
            <v/>
          </cell>
          <cell r="M1431" t="str">
            <v>No</v>
          </cell>
          <cell r="N1431" t="str">
            <v>https://panda-windows-and-doors.monday.com/protected_static/21046287/resources/2868421268/4500794901 Final Invoice.pdf</v>
          </cell>
          <cell r="O1431" t="str">
            <v/>
          </cell>
          <cell r="P1431" t="str">
            <v/>
          </cell>
          <cell r="Q1431" t="str">
            <v/>
          </cell>
          <cell r="R1431" t="str">
            <v/>
          </cell>
          <cell r="S1431" t="str">
            <v/>
          </cell>
          <cell r="T1431" t="str">
            <v>https://panda-windows-and-doors.monday.com/protected_static/21046287/resources/2865883717/Print data.PDF</v>
          </cell>
          <cell r="U1431" t="str">
            <v/>
          </cell>
          <cell r="V1431" t="str">
            <v/>
          </cell>
          <cell r="W1431" t="str">
            <v>Annalene Conde Apr 2, 2026 10:35 AM</v>
          </cell>
          <cell r="X1431" t="str">
            <v/>
          </cell>
          <cell r="Y1431">
            <v>46107</v>
          </cell>
          <cell r="Z1431" t="str">
            <v/>
          </cell>
          <cell r="AA1431">
            <v>46111</v>
          </cell>
          <cell r="AB1431" t="str">
            <v>Annalene Conde Mar 26, 2026 8:39 AM</v>
          </cell>
          <cell r="AC1431">
            <v>46112</v>
          </cell>
          <cell r="AD1431" t="str">
            <v/>
          </cell>
          <cell r="AE1431" t="str">
            <v/>
          </cell>
          <cell r="AF1431">
            <v>46112</v>
          </cell>
          <cell r="AG1431">
            <v>46114</v>
          </cell>
          <cell r="AH1431" t="str">
            <v/>
          </cell>
          <cell r="AI1431" t="str">
            <v/>
          </cell>
        </row>
        <row r="1432">
          <cell r="C1432">
            <v>4500794533</v>
          </cell>
          <cell r="D1432" t="str">
            <v/>
          </cell>
          <cell r="E1432" t="str">
            <v/>
          </cell>
          <cell r="F1432" t="str">
            <v>Windsor Final</v>
          </cell>
          <cell r="G1432" t="str">
            <v>Windsor Collected</v>
          </cell>
          <cell r="H1432" t="str">
            <v>No</v>
          </cell>
          <cell r="I1432" t="str">
            <v/>
          </cell>
          <cell r="J1432" t="str">
            <v/>
          </cell>
          <cell r="K1432" t="str">
            <v/>
          </cell>
          <cell r="L1432" t="str">
            <v/>
          </cell>
          <cell r="M1432" t="str">
            <v>No</v>
          </cell>
          <cell r="N1432" t="str">
            <v>https://panda-windows-and-doors.monday.com/protected_static/21046287/resources/2868467443/4500794533 Deposit Invoice.pdf</v>
          </cell>
          <cell r="O1432" t="str">
            <v/>
          </cell>
          <cell r="P1432" t="str">
            <v/>
          </cell>
          <cell r="Q1432" t="str">
            <v/>
          </cell>
          <cell r="R1432" t="str">
            <v/>
          </cell>
          <cell r="S1432" t="str">
            <v/>
          </cell>
          <cell r="T1432" t="str">
            <v>https://panda-windows-and-doors.monday.com/protected_static/21046287/resources/2865896201/Print data.PDF</v>
          </cell>
          <cell r="U1432" t="str">
            <v/>
          </cell>
          <cell r="V1432" t="str">
            <v/>
          </cell>
          <cell r="W1432" t="str">
            <v>Annalene Conde Apr 2, 2026 10:37 AM</v>
          </cell>
          <cell r="X1432" t="str">
            <v/>
          </cell>
          <cell r="Y1432">
            <v>46107</v>
          </cell>
          <cell r="Z1432" t="str">
            <v/>
          </cell>
          <cell r="AA1432">
            <v>46111</v>
          </cell>
          <cell r="AB1432" t="str">
            <v>Annalene Conde Mar 26, 2026 8:39 AM</v>
          </cell>
          <cell r="AC1432">
            <v>46112</v>
          </cell>
          <cell r="AD1432" t="str">
            <v/>
          </cell>
          <cell r="AE1432" t="str">
            <v/>
          </cell>
          <cell r="AF1432">
            <v>46112</v>
          </cell>
          <cell r="AG1432">
            <v>46114</v>
          </cell>
          <cell r="AH1432" t="str">
            <v/>
          </cell>
          <cell r="AI1432" t="str">
            <v/>
          </cell>
        </row>
        <row r="1433">
          <cell r="C1433">
            <v>4500782624</v>
          </cell>
          <cell r="D1433" t="str">
            <v/>
          </cell>
          <cell r="E1433" t="str">
            <v/>
          </cell>
          <cell r="F1433" t="str">
            <v>Windsor Final</v>
          </cell>
          <cell r="G1433" t="str">
            <v>Windsor Collected</v>
          </cell>
          <cell r="H1433" t="str">
            <v>No</v>
          </cell>
          <cell r="I1433" t="str">
            <v/>
          </cell>
          <cell r="J1433" t="str">
            <v/>
          </cell>
          <cell r="K1433" t="str">
            <v/>
          </cell>
          <cell r="L1433" t="str">
            <v/>
          </cell>
          <cell r="M1433" t="str">
            <v>No</v>
          </cell>
          <cell r="N1433" t="str">
            <v>https://panda-windows-and-doors.monday.com/protected_static/21046287/resources/2749109772/4500782624 Deposit Invoice.pdf</v>
          </cell>
          <cell r="O1433" t="str">
            <v/>
          </cell>
          <cell r="P1433" t="str">
            <v/>
          </cell>
          <cell r="Q1433" t="str">
            <v/>
          </cell>
          <cell r="R1433" t="str">
            <v/>
          </cell>
          <cell r="S1433" t="str">
            <v/>
          </cell>
          <cell r="T1433" t="str">
            <v>https://panda-windows-and-doors.monday.com/protected_static/21046287/resources/2746942451/Print data.PDF</v>
          </cell>
          <cell r="U1433" t="str">
            <v/>
          </cell>
          <cell r="V1433">
            <v>4480.88</v>
          </cell>
          <cell r="W1433" t="str">
            <v>Annalene Conde Apr 6, 2026 10:14 AM</v>
          </cell>
          <cell r="X1433" t="str">
            <v/>
          </cell>
          <cell r="Y1433">
            <v>46062</v>
          </cell>
          <cell r="Z1433" t="str">
            <v/>
          </cell>
          <cell r="AA1433">
            <v>46062</v>
          </cell>
          <cell r="AB1433" t="str">
            <v>Annalene Conde Feb 9, 2026 1:57 PM</v>
          </cell>
          <cell r="AC1433">
            <v>46090</v>
          </cell>
          <cell r="AD1433" t="str">
            <v/>
          </cell>
          <cell r="AE1433" t="str">
            <v/>
          </cell>
          <cell r="AF1433">
            <v>46090</v>
          </cell>
          <cell r="AG1433">
            <v>46118</v>
          </cell>
          <cell r="AH1433" t="str">
            <v/>
          </cell>
          <cell r="AI1433" t="str">
            <v/>
          </cell>
        </row>
        <row r="1434">
          <cell r="C1434">
            <v>4500784882</v>
          </cell>
          <cell r="D1434" t="str">
            <v/>
          </cell>
          <cell r="E1434" t="str">
            <v/>
          </cell>
          <cell r="F1434" t="str">
            <v>Windsor Final</v>
          </cell>
          <cell r="G1434" t="str">
            <v>Windsor Collected</v>
          </cell>
          <cell r="H1434" t="str">
            <v>No</v>
          </cell>
          <cell r="I1434" t="str">
            <v/>
          </cell>
          <cell r="J1434" t="str">
            <v/>
          </cell>
          <cell r="K1434" t="str">
            <v/>
          </cell>
          <cell r="L1434" t="str">
            <v/>
          </cell>
          <cell r="M1434" t="str">
            <v>No</v>
          </cell>
          <cell r="N1434" t="str">
            <v>https://panda-windows-and-doors.monday.com/protected_static/21046287/resources/2768544743/4500784882 Deposit Invoice.pdf</v>
          </cell>
          <cell r="O1434" t="str">
            <v/>
          </cell>
          <cell r="P1434" t="str">
            <v/>
          </cell>
          <cell r="Q1434" t="str">
            <v/>
          </cell>
          <cell r="R1434" t="str">
            <v/>
          </cell>
          <cell r="S1434" t="str">
            <v/>
          </cell>
          <cell r="T1434" t="str">
            <v>https://panda-windows-and-doors.monday.com/protected_static/21046287/resources/2768330092/Print data.PDF</v>
          </cell>
          <cell r="U1434" t="str">
            <v/>
          </cell>
          <cell r="V1434">
            <v>34805.65</v>
          </cell>
          <cell r="W1434" t="str">
            <v>Annalene Conde Apr 6, 2026 10:18 AM</v>
          </cell>
          <cell r="X1434" t="str">
            <v/>
          </cell>
          <cell r="Y1434">
            <v>46070</v>
          </cell>
          <cell r="Z1434" t="str">
            <v/>
          </cell>
          <cell r="AA1434">
            <v>46071</v>
          </cell>
          <cell r="AB1434" t="str">
            <v>Annalene Conde Feb 17, 2026 4:17 PM</v>
          </cell>
          <cell r="AC1434">
            <v>46104</v>
          </cell>
          <cell r="AD1434" t="str">
            <v/>
          </cell>
          <cell r="AE1434" t="str">
            <v/>
          </cell>
          <cell r="AF1434">
            <v>46104</v>
          </cell>
          <cell r="AG1434">
            <v>46118</v>
          </cell>
          <cell r="AH1434" t="str">
            <v/>
          </cell>
          <cell r="AI1434" t="str">
            <v/>
          </cell>
        </row>
        <row r="1435">
          <cell r="C1435">
            <v>4500785556</v>
          </cell>
          <cell r="D1435" t="str">
            <v/>
          </cell>
          <cell r="E1435" t="str">
            <v/>
          </cell>
          <cell r="F1435" t="str">
            <v>Windsor Final</v>
          </cell>
          <cell r="G1435" t="str">
            <v>Windsor Collected</v>
          </cell>
          <cell r="H1435" t="str">
            <v>No</v>
          </cell>
          <cell r="I1435" t="str">
            <v/>
          </cell>
          <cell r="J1435" t="str">
            <v/>
          </cell>
          <cell r="K1435" t="str">
            <v/>
          </cell>
          <cell r="L1435" t="str">
            <v/>
          </cell>
          <cell r="M1435" t="str">
            <v>No</v>
          </cell>
          <cell r="N1435" t="str">
            <v>https://panda-windows-and-doors.monday.com/protected_static/21046287/resources/2772693695/4500785556 Deposit Invoice.pdf</v>
          </cell>
          <cell r="O1435" t="str">
            <v/>
          </cell>
          <cell r="P1435" t="str">
            <v/>
          </cell>
          <cell r="Q1435" t="str">
            <v/>
          </cell>
          <cell r="R1435" t="str">
            <v/>
          </cell>
          <cell r="S1435" t="str">
            <v/>
          </cell>
          <cell r="T1435" t="str">
            <v>https://panda-windows-and-doors.monday.com/protected_static/21046287/resources/2772332516/Print data.PDF</v>
          </cell>
          <cell r="U1435" t="str">
            <v/>
          </cell>
          <cell r="V1435">
            <v>14380.02</v>
          </cell>
          <cell r="W1435" t="str">
            <v>Annalene Conde Apr 6, 2026 10:24 AM</v>
          </cell>
          <cell r="X1435" t="str">
            <v/>
          </cell>
          <cell r="Y1435">
            <v>46072</v>
          </cell>
          <cell r="Z1435" t="str">
            <v/>
          </cell>
          <cell r="AA1435">
            <v>46072</v>
          </cell>
          <cell r="AB1435" t="str">
            <v>Annalene Conde Feb 19, 2026 12:02 PM</v>
          </cell>
          <cell r="AC1435">
            <v>46107</v>
          </cell>
          <cell r="AD1435" t="str">
            <v/>
          </cell>
          <cell r="AE1435" t="str">
            <v/>
          </cell>
          <cell r="AF1435">
            <v>46107</v>
          </cell>
          <cell r="AG1435">
            <v>46118</v>
          </cell>
          <cell r="AH1435" t="str">
            <v/>
          </cell>
          <cell r="AI1435" t="str">
            <v/>
          </cell>
        </row>
        <row r="1436">
          <cell r="C1436">
            <v>4500794521</v>
          </cell>
          <cell r="D1436" t="str">
            <v/>
          </cell>
          <cell r="E1436" t="str">
            <v/>
          </cell>
          <cell r="F1436" t="str">
            <v>Windsor Final</v>
          </cell>
          <cell r="G1436" t="str">
            <v>Windsor Collected</v>
          </cell>
          <cell r="H1436" t="str">
            <v>No</v>
          </cell>
          <cell r="I1436" t="str">
            <v/>
          </cell>
          <cell r="J1436" t="str">
            <v/>
          </cell>
          <cell r="K1436" t="str">
            <v/>
          </cell>
          <cell r="L1436" t="str">
            <v/>
          </cell>
          <cell r="M1436" t="str">
            <v>No</v>
          </cell>
          <cell r="N1436" t="str">
            <v>https://panda-windows-and-doors.monday.com/protected_static/21046287/resources/2879861131/04062026_C_PANDA.pdf</v>
          </cell>
          <cell r="O1436" t="str">
            <v/>
          </cell>
          <cell r="P1436" t="str">
            <v/>
          </cell>
          <cell r="Q1436" t="str">
            <v/>
          </cell>
          <cell r="R1436" t="str">
            <v/>
          </cell>
          <cell r="S1436" t="str">
            <v/>
          </cell>
          <cell r="T1436" t="str">
            <v>https://panda-windows-and-doors.monday.com/protected_static/21046287/resources/2879684975/Print data.PDF</v>
          </cell>
          <cell r="U1436" t="str">
            <v/>
          </cell>
          <cell r="V1436">
            <v>750</v>
          </cell>
          <cell r="W1436" t="str">
            <v>Annalene Conde Apr 8, 2026 10:04 AM</v>
          </cell>
          <cell r="X1436" t="str">
            <v/>
          </cell>
          <cell r="Y1436">
            <v>46107</v>
          </cell>
          <cell r="Z1436" t="str">
            <v/>
          </cell>
          <cell r="AA1436">
            <v>46118</v>
          </cell>
          <cell r="AB1436" t="str">
            <v>Annalene Conde Mar 26, 2026 8:39 AM</v>
          </cell>
          <cell r="AC1436">
            <v>46118</v>
          </cell>
          <cell r="AD1436" t="str">
            <v/>
          </cell>
          <cell r="AE1436" t="str">
            <v/>
          </cell>
          <cell r="AF1436">
            <v>46118</v>
          </cell>
          <cell r="AG1436">
            <v>46120</v>
          </cell>
          <cell r="AH1436" t="str">
            <v/>
          </cell>
          <cell r="AI1436" t="str">
            <v/>
          </cell>
        </row>
        <row r="1437">
          <cell r="C1437">
            <v>4500782941</v>
          </cell>
          <cell r="D1437" t="str">
            <v/>
          </cell>
          <cell r="E1437" t="str">
            <v/>
          </cell>
          <cell r="F1437" t="str">
            <v>Windsor Final</v>
          </cell>
          <cell r="G1437" t="str">
            <v>Windsor Collected</v>
          </cell>
          <cell r="H1437" t="str">
            <v>No</v>
          </cell>
          <cell r="I1437" t="str">
            <v/>
          </cell>
          <cell r="J1437" t="str">
            <v/>
          </cell>
          <cell r="K1437" t="str">
            <v/>
          </cell>
          <cell r="L1437" t="str">
            <v/>
          </cell>
          <cell r="M1437" t="str">
            <v>No</v>
          </cell>
          <cell r="N1437" t="str">
            <v>https://panda-windows-and-doors.monday.com/protected_static/21046287/resources/2750686830/4500782941 Deposit Invoice.pdf</v>
          </cell>
          <cell r="O1437" t="str">
            <v/>
          </cell>
          <cell r="P1437" t="str">
            <v/>
          </cell>
          <cell r="Q1437" t="str">
            <v/>
          </cell>
          <cell r="R1437" t="str">
            <v/>
          </cell>
          <cell r="S1437" t="str">
            <v/>
          </cell>
          <cell r="T1437" t="str">
            <v>https://panda-windows-and-doors.monday.com/protected_static/21046287/resources/2750342785/Print data.PDF</v>
          </cell>
          <cell r="U1437" t="str">
            <v/>
          </cell>
          <cell r="V1437">
            <v>37804.03</v>
          </cell>
          <cell r="W1437" t="str">
            <v>Annalene Conde Apr 13, 2026 8:44 AM</v>
          </cell>
          <cell r="X1437" t="str">
            <v/>
          </cell>
          <cell r="Y1437">
            <v>46063</v>
          </cell>
          <cell r="Z1437" t="str">
            <v/>
          </cell>
          <cell r="AA1437">
            <v>46063</v>
          </cell>
          <cell r="AB1437" t="str">
            <v>Annalene Conde Feb 10, 2026 12:56 PM</v>
          </cell>
          <cell r="AC1437">
            <v>46107</v>
          </cell>
          <cell r="AD1437" t="str">
            <v/>
          </cell>
          <cell r="AE1437" t="str">
            <v/>
          </cell>
          <cell r="AF1437">
            <v>46107</v>
          </cell>
          <cell r="AG1437">
            <v>46125</v>
          </cell>
          <cell r="AH1437" t="str">
            <v/>
          </cell>
          <cell r="AI1437" t="str">
            <v/>
          </cell>
        </row>
        <row r="1438">
          <cell r="C1438">
            <v>4500785566</v>
          </cell>
          <cell r="D1438" t="str">
            <v/>
          </cell>
          <cell r="E1438" t="str">
            <v/>
          </cell>
          <cell r="F1438" t="str">
            <v>Windsor Final</v>
          </cell>
          <cell r="G1438" t="str">
            <v>Windsor Collected</v>
          </cell>
          <cell r="H1438" t="str">
            <v>No</v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  <cell r="M1438" t="str">
            <v>No</v>
          </cell>
          <cell r="N1438" t="str">
            <v>https://panda-windows-and-doors.monday.com/protected_static/21046287/resources/2773108051/4500785566 Deposit Invoice.pdf</v>
          </cell>
          <cell r="O1438" t="str">
            <v/>
          </cell>
          <cell r="P1438" t="str">
            <v/>
          </cell>
          <cell r="Q1438" t="str">
            <v/>
          </cell>
          <cell r="R1438" t="str">
            <v/>
          </cell>
          <cell r="S1438" t="str">
            <v/>
          </cell>
          <cell r="T1438" t="str">
            <v>https://panda-windows-and-doors.monday.com/protected_static/21046287/resources/2900241973/Print data.PDF</v>
          </cell>
          <cell r="U1438" t="str">
            <v/>
          </cell>
          <cell r="V1438">
            <v>10777.72</v>
          </cell>
          <cell r="W1438" t="str">
            <v>Annalene Conde Apr 20, 2026 9:50 AM</v>
          </cell>
          <cell r="X1438" t="str">
            <v/>
          </cell>
          <cell r="Y1438">
            <v>46072</v>
          </cell>
          <cell r="Z1438" t="str">
            <v/>
          </cell>
          <cell r="AA1438">
            <v>46072</v>
          </cell>
          <cell r="AB1438" t="str">
            <v>Annalene Conde Feb 19, 2026 3:24 PM</v>
          </cell>
          <cell r="AC1438">
            <v>46108</v>
          </cell>
          <cell r="AD1438" t="str">
            <v/>
          </cell>
          <cell r="AE1438" t="str">
            <v/>
          </cell>
          <cell r="AF1438">
            <v>46108</v>
          </cell>
          <cell r="AG1438">
            <v>46132</v>
          </cell>
          <cell r="AH1438" t="str">
            <v/>
          </cell>
          <cell r="AI1438" t="str">
            <v/>
          </cell>
        </row>
        <row r="1439">
          <cell r="C1439">
            <v>4500785570</v>
          </cell>
          <cell r="D1439" t="str">
            <v/>
          </cell>
          <cell r="E1439" t="str">
            <v/>
          </cell>
          <cell r="F1439" t="str">
            <v>Windsor Final</v>
          </cell>
          <cell r="G1439" t="str">
            <v>Windsor Collected</v>
          </cell>
          <cell r="H1439" t="str">
            <v>No</v>
          </cell>
          <cell r="I1439" t="str">
            <v>Alex</v>
          </cell>
          <cell r="J1439" t="str">
            <v/>
          </cell>
          <cell r="K1439" t="str">
            <v/>
          </cell>
          <cell r="L1439" t="str">
            <v/>
          </cell>
          <cell r="M1439" t="str">
            <v>Yes</v>
          </cell>
          <cell r="N1439" t="str">
            <v>https://panda-windows-and-doors.monday.com/protected_static/21046287/resources/2774949751/4500785570 Deposit Invoice.pdf</v>
          </cell>
          <cell r="O1439" t="str">
            <v/>
          </cell>
          <cell r="P1439" t="str">
            <v/>
          </cell>
          <cell r="Q1439" t="str">
            <v/>
          </cell>
          <cell r="R1439" t="str">
            <v/>
          </cell>
          <cell r="S1439" t="str">
            <v/>
          </cell>
          <cell r="T1439" t="str">
            <v>https://panda-windows-and-doors.monday.com/protected_static/21046287/resources/2774776040/Print data.PDF</v>
          </cell>
          <cell r="U1439" t="str">
            <v/>
          </cell>
          <cell r="V1439">
            <v>17517.490000000002</v>
          </cell>
          <cell r="W1439" t="str">
            <v>George Bails Apr 21, 2026 8:57 AM</v>
          </cell>
          <cell r="X1439" t="str">
            <v/>
          </cell>
          <cell r="Y1439">
            <v>46072</v>
          </cell>
          <cell r="Z1439" t="str">
            <v/>
          </cell>
          <cell r="AA1439">
            <v>46073</v>
          </cell>
          <cell r="AB1439" t="str">
            <v>Annalene Conde Feb 19, 2026 4:06 PM</v>
          </cell>
          <cell r="AC1439">
            <v>46121</v>
          </cell>
          <cell r="AD1439" t="str">
            <v/>
          </cell>
          <cell r="AE1439" t="str">
            <v/>
          </cell>
          <cell r="AF1439">
            <v>46121</v>
          </cell>
          <cell r="AG1439">
            <v>46132</v>
          </cell>
          <cell r="AH1439" t="str">
            <v/>
          </cell>
          <cell r="AI1439" t="str">
            <v/>
          </cell>
        </row>
        <row r="1440">
          <cell r="C1440">
            <v>4500798408</v>
          </cell>
          <cell r="D1440" t="str">
            <v/>
          </cell>
          <cell r="E1440" t="str">
            <v/>
          </cell>
          <cell r="F1440" t="str">
            <v>Windsor Final</v>
          </cell>
          <cell r="G1440" t="str">
            <v>Windsor Collected</v>
          </cell>
          <cell r="H1440" t="str">
            <v>No</v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  <cell r="M1440" t="str">
            <v>No</v>
          </cell>
          <cell r="N1440" t="str">
            <v>https://panda-windows-and-doors.monday.com/protected_static/21046287/resources/2906705396/4500798408 Deposit Invoice.pdf</v>
          </cell>
          <cell r="O1440" t="str">
            <v/>
          </cell>
          <cell r="P1440" t="str">
            <v/>
          </cell>
          <cell r="Q1440" t="str">
            <v/>
          </cell>
          <cell r="R1440" t="str">
            <v/>
          </cell>
          <cell r="S1440" t="str">
            <v/>
          </cell>
          <cell r="T1440" t="str">
            <v>https://panda-windows-and-doors.monday.com/protected_static/21046287/resources/2906300205/Print data.PDF</v>
          </cell>
          <cell r="U1440">
            <v>0</v>
          </cell>
          <cell r="V1440">
            <v>990</v>
          </cell>
          <cell r="W1440" t="str">
            <v>Annalene Conde Apr 21, 2026 9:28 AM</v>
          </cell>
          <cell r="X1440" t="str">
            <v/>
          </cell>
          <cell r="Y1440">
            <v>46120</v>
          </cell>
          <cell r="Z1440" t="str">
            <v/>
          </cell>
          <cell r="AA1440">
            <v>46128</v>
          </cell>
          <cell r="AB1440" t="str">
            <v>Annalene Conde Apr 8, 2026 11:46 AM</v>
          </cell>
          <cell r="AC1440">
            <v>46128</v>
          </cell>
          <cell r="AD1440" t="str">
            <v/>
          </cell>
          <cell r="AE1440" t="str">
            <v/>
          </cell>
          <cell r="AF1440">
            <v>46128</v>
          </cell>
          <cell r="AG1440">
            <v>46133</v>
          </cell>
          <cell r="AH1440" t="str">
            <v/>
          </cell>
          <cell r="AI1440" t="str">
            <v/>
          </cell>
        </row>
        <row r="1441">
          <cell r="C1441">
            <v>4500800549</v>
          </cell>
          <cell r="D1441" t="str">
            <v/>
          </cell>
          <cell r="E1441" t="str">
            <v/>
          </cell>
          <cell r="F1441" t="str">
            <v>Windsor Final</v>
          </cell>
          <cell r="G1441" t="str">
            <v>Windsor Collected</v>
          </cell>
          <cell r="H1441" t="str">
            <v>No</v>
          </cell>
          <cell r="I1441" t="str">
            <v/>
          </cell>
          <cell r="J1441" t="str">
            <v/>
          </cell>
          <cell r="K1441" t="str">
            <v/>
          </cell>
          <cell r="L1441" t="str">
            <v/>
          </cell>
          <cell r="M1441" t="str">
            <v>No</v>
          </cell>
          <cell r="N1441" t="str">
            <v>https://panda-windows-and-doors.monday.com/protected_static/21046287/resources/2917080434/4500800549 Deposit Invoice.pdf</v>
          </cell>
          <cell r="O1441" t="str">
            <v/>
          </cell>
          <cell r="P1441" t="str">
            <v/>
          </cell>
          <cell r="Q1441" t="str">
            <v/>
          </cell>
          <cell r="R1441" t="str">
            <v/>
          </cell>
          <cell r="S1441" t="str">
            <v/>
          </cell>
          <cell r="T1441" t="str">
            <v>https://panda-windows-and-doors.monday.com/protected_static/21046287/resources/2916415601/Print data.PDF</v>
          </cell>
          <cell r="U1441">
            <v>0</v>
          </cell>
          <cell r="V1441">
            <v>200</v>
          </cell>
          <cell r="W1441" t="str">
            <v>Annalene Conde Apr 23, 2026 8:27 AM</v>
          </cell>
          <cell r="X1441" t="str">
            <v/>
          </cell>
          <cell r="Y1441">
            <v>46127</v>
          </cell>
          <cell r="Z1441" t="str">
            <v/>
          </cell>
          <cell r="AA1441">
            <v>46133</v>
          </cell>
          <cell r="AB1441" t="str">
            <v>Annalene Conde Apr 15, 2026 2:21 PM</v>
          </cell>
          <cell r="AC1441">
            <v>46133</v>
          </cell>
          <cell r="AD1441" t="str">
            <v/>
          </cell>
          <cell r="AE1441" t="str">
            <v/>
          </cell>
          <cell r="AF1441">
            <v>46133</v>
          </cell>
          <cell r="AG1441">
            <v>46135</v>
          </cell>
          <cell r="AH1441" t="str">
            <v/>
          </cell>
          <cell r="AI1441" t="str">
            <v/>
          </cell>
        </row>
        <row r="1442">
          <cell r="C1442">
            <v>4500785561</v>
          </cell>
          <cell r="D1442" t="str">
            <v/>
          </cell>
          <cell r="E1442" t="str">
            <v/>
          </cell>
          <cell r="F1442" t="str">
            <v>Windsor Final</v>
          </cell>
          <cell r="G1442" t="str">
            <v>Windsor Collected</v>
          </cell>
          <cell r="H1442" t="str">
            <v>No</v>
          </cell>
          <cell r="I1442" t="str">
            <v/>
          </cell>
          <cell r="J1442" t="str">
            <v/>
          </cell>
          <cell r="K1442" t="str">
            <v/>
          </cell>
          <cell r="L1442" t="str">
            <v/>
          </cell>
          <cell r="M1442" t="str">
            <v>No</v>
          </cell>
          <cell r="N1442" t="str">
            <v>https://panda-windows-and-doors.monday.com/protected_static/21046287/resources/2773136519/4500785561 Deposit Invoice.pdf</v>
          </cell>
          <cell r="O1442" t="str">
            <v/>
          </cell>
          <cell r="P1442" t="str">
            <v/>
          </cell>
          <cell r="Q1442" t="str">
            <v/>
          </cell>
          <cell r="R1442" t="str">
            <v/>
          </cell>
          <cell r="S1442" t="str">
            <v/>
          </cell>
          <cell r="T1442" t="str">
            <v>https://panda-windows-and-doors.monday.com/protected_static/21046287/resources/2773050450/Print data.PDF</v>
          </cell>
          <cell r="U1442" t="str">
            <v/>
          </cell>
          <cell r="V1442">
            <v>42421.95</v>
          </cell>
          <cell r="W1442" t="str">
            <v>Annalene Conde Apr 28, 2026 10:25 AM</v>
          </cell>
          <cell r="X1442" t="str">
            <v/>
          </cell>
          <cell r="Y1442">
            <v>46072</v>
          </cell>
          <cell r="Z1442" t="str">
            <v/>
          </cell>
          <cell r="AA1442">
            <v>46072</v>
          </cell>
          <cell r="AB1442" t="str">
            <v>Annalene Conde Feb 19, 2026 3:24 PM</v>
          </cell>
          <cell r="AC1442">
            <v>46127</v>
          </cell>
          <cell r="AD1442" t="str">
            <v/>
          </cell>
          <cell r="AE1442" t="str">
            <v/>
          </cell>
          <cell r="AF1442">
            <v>46127</v>
          </cell>
          <cell r="AG1442">
            <v>46140</v>
          </cell>
          <cell r="AH1442" t="str">
            <v/>
          </cell>
          <cell r="AI1442" t="str">
            <v/>
          </cell>
        </row>
        <row r="1443">
          <cell r="C1443">
            <v>4500801376</v>
          </cell>
          <cell r="D1443" t="str">
            <v/>
          </cell>
          <cell r="E1443" t="str">
            <v/>
          </cell>
          <cell r="F1443" t="str">
            <v>Windsor Final</v>
          </cell>
          <cell r="G1443" t="str">
            <v>Windsor Collected</v>
          </cell>
          <cell r="H1443" t="str">
            <v>No</v>
          </cell>
          <cell r="I1443" t="str">
            <v/>
          </cell>
          <cell r="J1443" t="str">
            <v/>
          </cell>
          <cell r="K1443" t="str">
            <v/>
          </cell>
          <cell r="L1443" t="str">
            <v/>
          </cell>
          <cell r="M1443" t="str">
            <v>No</v>
          </cell>
          <cell r="N1443" t="str">
            <v>https://panda-windows-and-doors.monday.com/protected_static/21046287/resources/2909233638/4500801376 Deposit Invoice.pdf, https://panda-windows-and-doors.monday.com/protected_static/21046287/resources/2929275381/4500801376- Deposit Invoice Cancellation.pdf</v>
          </cell>
          <cell r="O1443" t="str">
            <v/>
          </cell>
          <cell r="P1443" t="str">
            <v/>
          </cell>
          <cell r="Q1443" t="str">
            <v/>
          </cell>
          <cell r="R1443" t="str">
            <v/>
          </cell>
          <cell r="S1443" t="str">
            <v/>
          </cell>
          <cell r="T1443" t="str">
            <v>https://panda-windows-and-doors.monday.com/protected_static/21046287/resources/2922056624/cancellation fee.PDF</v>
          </cell>
          <cell r="U1443">
            <v>0</v>
          </cell>
          <cell r="V1443">
            <v>1680</v>
          </cell>
          <cell r="W1443" t="str">
            <v>Annalene Conde Apr 29, 2026 10:45 AM</v>
          </cell>
          <cell r="X1443" t="str">
            <v/>
          </cell>
          <cell r="Y1443">
            <v>46129</v>
          </cell>
          <cell r="Z1443" t="str">
            <v/>
          </cell>
          <cell r="AA1443">
            <v>46129</v>
          </cell>
          <cell r="AB1443" t="str">
            <v>Annalene Conde Apr 17, 2026 10:06 AM</v>
          </cell>
          <cell r="AC1443">
            <v>46139</v>
          </cell>
          <cell r="AD1443" t="str">
            <v/>
          </cell>
          <cell r="AE1443" t="str">
            <v/>
          </cell>
          <cell r="AF1443">
            <v>46139</v>
          </cell>
          <cell r="AG1443">
            <v>46141</v>
          </cell>
          <cell r="AH1443" t="str">
            <v/>
          </cell>
          <cell r="AI1443" t="str">
            <v/>
          </cell>
        </row>
        <row r="1444">
          <cell r="C1444">
            <v>4500805718</v>
          </cell>
          <cell r="D1444" t="str">
            <v/>
          </cell>
          <cell r="E1444" t="str">
            <v/>
          </cell>
          <cell r="F1444" t="str">
            <v>Windsor Final</v>
          </cell>
          <cell r="G1444" t="str">
            <v>Windsor Collected</v>
          </cell>
          <cell r="H1444" t="str">
            <v>No</v>
          </cell>
          <cell r="I1444" t="str">
            <v/>
          </cell>
          <cell r="J1444" t="str">
            <v/>
          </cell>
          <cell r="K1444" t="str">
            <v/>
          </cell>
          <cell r="L1444" t="str">
            <v/>
          </cell>
          <cell r="M1444" t="str">
            <v>No</v>
          </cell>
          <cell r="N1444" t="str">
            <v>https://panda-windows-and-doors.monday.com/protected_static/21046287/resources/2950699775/4500805718 Deposit Invoice.pdf</v>
          </cell>
          <cell r="O1444" t="str">
            <v/>
          </cell>
          <cell r="P1444" t="str">
            <v/>
          </cell>
          <cell r="Q1444" t="str">
            <v/>
          </cell>
          <cell r="R1444" t="str">
            <v/>
          </cell>
          <cell r="S1444" t="str">
            <v/>
          </cell>
          <cell r="T1444" t="str">
            <v>https://panda-windows-and-doors.monday.com/protected_static/21046287/resources/2949357962/Print data.PDF</v>
          </cell>
          <cell r="U1444">
            <v>0</v>
          </cell>
          <cell r="V1444">
            <v>75</v>
          </cell>
          <cell r="W1444" t="str">
            <v>Annalene Conde May 8, 2026 8:24 AM</v>
          </cell>
          <cell r="X1444" t="str">
            <v/>
          </cell>
          <cell r="Y1444">
            <v>46146</v>
          </cell>
          <cell r="Z1444" t="str">
            <v/>
          </cell>
          <cell r="AA1444">
            <v>46147</v>
          </cell>
          <cell r="AB1444" t="str">
            <v>Amit Iarochevsky May 4, 2026 2:15 PM</v>
          </cell>
          <cell r="AC1444">
            <v>46148</v>
          </cell>
          <cell r="AD1444" t="str">
            <v/>
          </cell>
          <cell r="AE1444" t="str">
            <v/>
          </cell>
          <cell r="AF1444">
            <v>46148</v>
          </cell>
          <cell r="AG1444">
            <v>46150</v>
          </cell>
          <cell r="AH1444" t="str">
            <v/>
          </cell>
          <cell r="AI1444" t="str">
            <v/>
          </cell>
        </row>
        <row r="1445">
          <cell r="C1445">
            <v>4500789253</v>
          </cell>
          <cell r="D1445" t="str">
            <v/>
          </cell>
          <cell r="E1445" t="str">
            <v/>
          </cell>
          <cell r="F1445" t="str">
            <v>Windsor Final</v>
          </cell>
          <cell r="G1445" t="str">
            <v>Windsor Collected</v>
          </cell>
          <cell r="H1445" t="str">
            <v>No</v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  <cell r="M1445" t="str">
            <v>No</v>
          </cell>
          <cell r="N1445" t="str">
            <v>https://panda-windows-and-doors.monday.com/protected_static/21046287/resources/2806836809/4500789253 Deposit Invoice.pdf</v>
          </cell>
          <cell r="O1445" t="str">
            <v/>
          </cell>
          <cell r="P1445" t="str">
            <v/>
          </cell>
          <cell r="Q1445" t="str">
            <v/>
          </cell>
          <cell r="R1445" t="str">
            <v/>
          </cell>
          <cell r="S1445" t="str">
            <v/>
          </cell>
          <cell r="T1445" t="str">
            <v>https://panda-windows-and-doors.monday.com/protected_static/21046287/resources/2806386449/Print data.PDF</v>
          </cell>
          <cell r="U1445" t="str">
            <v/>
          </cell>
          <cell r="V1445">
            <v>15182.01</v>
          </cell>
          <cell r="W1445" t="str">
            <v>Annalene Conde May 13, 2026 2:00 PM</v>
          </cell>
          <cell r="X1445" t="str">
            <v/>
          </cell>
          <cell r="Y1445">
            <v>46086</v>
          </cell>
          <cell r="Z1445" t="str">
            <v/>
          </cell>
          <cell r="AA1445">
            <v>46086</v>
          </cell>
          <cell r="AB1445" t="str">
            <v>Annalene Conde Mar 5, 2026 12:14 PM</v>
          </cell>
          <cell r="AC1445">
            <v>46142</v>
          </cell>
          <cell r="AD1445" t="str">
            <v/>
          </cell>
          <cell r="AE1445" t="str">
            <v/>
          </cell>
          <cell r="AF1445">
            <v>46142</v>
          </cell>
          <cell r="AG1445">
            <v>46155</v>
          </cell>
          <cell r="AH1445" t="str">
            <v/>
          </cell>
          <cell r="AI1445" t="str">
            <v/>
          </cell>
        </row>
        <row r="1446">
          <cell r="C1446">
            <v>4500788564</v>
          </cell>
          <cell r="D1446" t="str">
            <v/>
          </cell>
          <cell r="E1446" t="str">
            <v/>
          </cell>
          <cell r="F1446" t="str">
            <v>Windsor Final</v>
          </cell>
          <cell r="G1446" t="str">
            <v>Windsor Collected</v>
          </cell>
          <cell r="H1446" t="str">
            <v>No</v>
          </cell>
          <cell r="I1446" t="str">
            <v/>
          </cell>
          <cell r="J1446" t="str">
            <v/>
          </cell>
          <cell r="K1446" t="str">
            <v/>
          </cell>
          <cell r="L1446" t="str">
            <v/>
          </cell>
          <cell r="M1446" t="str">
            <v>No</v>
          </cell>
          <cell r="N1446" t="str">
            <v>https://panda-windows-and-doors.monday.com/protected_static/21046287/resources/2800407698/4500788564 Deposit Invoice.pdf</v>
          </cell>
          <cell r="O1446" t="str">
            <v/>
          </cell>
          <cell r="P1446" t="str">
            <v/>
          </cell>
          <cell r="Q1446" t="str">
            <v/>
          </cell>
          <cell r="R1446" t="str">
            <v/>
          </cell>
          <cell r="S1446" t="str">
            <v/>
          </cell>
          <cell r="T1446" t="str">
            <v>https://panda-windows-and-doors.monday.com/protected_static/21046287/resources/2800350689/Print data.PDF</v>
          </cell>
          <cell r="U1446" t="str">
            <v/>
          </cell>
          <cell r="V1446">
            <v>27566.14</v>
          </cell>
          <cell r="W1446" t="str">
            <v>Annalene Conde May 13, 2026 2:35 PM</v>
          </cell>
          <cell r="X1446" t="str">
            <v/>
          </cell>
          <cell r="Y1446">
            <v>46084</v>
          </cell>
          <cell r="Z1446" t="str">
            <v/>
          </cell>
          <cell r="AA1446">
            <v>46084</v>
          </cell>
          <cell r="AB1446" t="str">
            <v>Annalene Conde Mar 3, 2026 2:00 PM</v>
          </cell>
          <cell r="AC1446">
            <v>46148</v>
          </cell>
          <cell r="AD1446" t="str">
            <v/>
          </cell>
          <cell r="AE1446" t="str">
            <v/>
          </cell>
          <cell r="AF1446">
            <v>46148</v>
          </cell>
          <cell r="AG1446">
            <v>46155</v>
          </cell>
          <cell r="AH1446" t="str">
            <v/>
          </cell>
          <cell r="AI1446" t="str">
            <v/>
          </cell>
        </row>
        <row r="1447">
          <cell r="C1447">
            <v>4500789251</v>
          </cell>
          <cell r="D1447" t="str">
            <v/>
          </cell>
          <cell r="E1447" t="str">
            <v/>
          </cell>
          <cell r="F1447" t="str">
            <v>Windsor Final</v>
          </cell>
          <cell r="G1447" t="str">
            <v>Windsor Collected</v>
          </cell>
          <cell r="H1447" t="str">
            <v>No</v>
          </cell>
          <cell r="I1447" t="str">
            <v/>
          </cell>
          <cell r="J1447" t="str">
            <v/>
          </cell>
          <cell r="K1447" t="str">
            <v/>
          </cell>
          <cell r="L1447" t="str">
            <v/>
          </cell>
          <cell r="M1447" t="str">
            <v>No</v>
          </cell>
          <cell r="N1447" t="str">
            <v>https://panda-windows-and-doors.monday.com/protected_static/21046287/resources/2806820603/4500789251 Deposit Invoice.pdf</v>
          </cell>
          <cell r="O1447" t="str">
            <v/>
          </cell>
          <cell r="P1447" t="str">
            <v/>
          </cell>
          <cell r="Q1447" t="str">
            <v/>
          </cell>
          <cell r="R1447" t="str">
            <v/>
          </cell>
          <cell r="S1447" t="str">
            <v/>
          </cell>
          <cell r="T1447" t="str">
            <v>https://panda-windows-and-doors.monday.com/protected_static/21046287/resources/2806357924/Print data.PDF</v>
          </cell>
          <cell r="U1447">
            <v>0</v>
          </cell>
          <cell r="V1447">
            <v>63108.9</v>
          </cell>
          <cell r="W1447" t="str">
            <v>Annalene Conde May 13, 2026 2:50 PM</v>
          </cell>
          <cell r="X1447" t="str">
            <v/>
          </cell>
          <cell r="Y1447">
            <v>46086</v>
          </cell>
          <cell r="Z1447" t="str">
            <v/>
          </cell>
          <cell r="AA1447">
            <v>46086</v>
          </cell>
          <cell r="AB1447" t="str">
            <v>Annalene Conde Mar 5, 2026 12:07 PM</v>
          </cell>
          <cell r="AC1447">
            <v>46143</v>
          </cell>
          <cell r="AD1447" t="str">
            <v/>
          </cell>
          <cell r="AE1447" t="str">
            <v/>
          </cell>
          <cell r="AF1447">
            <v>46143</v>
          </cell>
          <cell r="AG1447">
            <v>46155</v>
          </cell>
          <cell r="AH1447" t="str">
            <v/>
          </cell>
          <cell r="AI1447" t="str">
            <v/>
          </cell>
        </row>
        <row r="1448">
          <cell r="C1448">
            <v>4500793939</v>
          </cell>
          <cell r="D1448" t="str">
            <v/>
          </cell>
          <cell r="E1448" t="str">
            <v/>
          </cell>
          <cell r="F1448" t="str">
            <v>Windsor Final</v>
          </cell>
          <cell r="G1448" t="str">
            <v>Windsor Collected</v>
          </cell>
          <cell r="H1448" t="str">
            <v>No</v>
          </cell>
          <cell r="I1448" t="str">
            <v/>
          </cell>
          <cell r="J1448" t="str">
            <v/>
          </cell>
          <cell r="K1448" t="str">
            <v/>
          </cell>
          <cell r="L1448" t="str">
            <v/>
          </cell>
          <cell r="M1448" t="str">
            <v>No</v>
          </cell>
          <cell r="N1448" t="str">
            <v>https://panda-windows-and-doors.monday.com/protected_static/21046287/resources/2861115864/4500793939 Deposit Invoice.pdf</v>
          </cell>
          <cell r="O1448" t="str">
            <v/>
          </cell>
          <cell r="P1448" t="str">
            <v/>
          </cell>
          <cell r="Q1448" t="str">
            <v/>
          </cell>
          <cell r="R1448" t="str">
            <v/>
          </cell>
          <cell r="S1448" t="str">
            <v/>
          </cell>
          <cell r="T1448" t="str">
            <v>https://panda-windows-and-doors.monday.com/protected_static/21046287/resources/2860397456/Print data.PDF</v>
          </cell>
          <cell r="U1448" t="str">
            <v/>
          </cell>
          <cell r="V1448">
            <v>11132.14</v>
          </cell>
          <cell r="W1448" t="str">
            <v>Annalene Conde May 13, 2026 3:01 PM</v>
          </cell>
          <cell r="X1448" t="str">
            <v/>
          </cell>
          <cell r="Y1448">
            <v>46104</v>
          </cell>
          <cell r="Z1448" t="str">
            <v/>
          </cell>
          <cell r="AA1448">
            <v>46108</v>
          </cell>
          <cell r="AB1448" t="str">
            <v>Annalene Conde Mar 23, 2026 10:47 AM</v>
          </cell>
          <cell r="AC1448">
            <v>46142</v>
          </cell>
          <cell r="AD1448" t="str">
            <v/>
          </cell>
          <cell r="AE1448" t="str">
            <v/>
          </cell>
          <cell r="AF1448">
            <v>46142</v>
          </cell>
          <cell r="AG1448">
            <v>46155</v>
          </cell>
          <cell r="AH1448" t="str">
            <v/>
          </cell>
          <cell r="AI1448" t="str">
            <v/>
          </cell>
        </row>
        <row r="1449">
          <cell r="C1449">
            <v>4500788513</v>
          </cell>
          <cell r="D1449" t="str">
            <v/>
          </cell>
          <cell r="E1449" t="str">
            <v/>
          </cell>
          <cell r="F1449" t="str">
            <v>Windsor Final</v>
          </cell>
          <cell r="G1449" t="str">
            <v>Windsor Collected</v>
          </cell>
          <cell r="H1449" t="str">
            <v>No</v>
          </cell>
          <cell r="I1449" t="str">
            <v/>
          </cell>
          <cell r="J1449" t="str">
            <v/>
          </cell>
          <cell r="K1449" t="str">
            <v/>
          </cell>
          <cell r="L1449" t="str">
            <v/>
          </cell>
          <cell r="M1449" t="str">
            <v>No</v>
          </cell>
          <cell r="N1449" t="str">
            <v>https://panda-windows-and-doors.monday.com/protected_static/21046287/resources/2800426239/4500788513 Deposit Invoice.pdf</v>
          </cell>
          <cell r="O1449" t="str">
            <v/>
          </cell>
          <cell r="P1449" t="str">
            <v/>
          </cell>
          <cell r="Q1449" t="str">
            <v/>
          </cell>
          <cell r="R1449" t="str">
            <v/>
          </cell>
          <cell r="S1449" t="str">
            <v/>
          </cell>
          <cell r="T1449" t="str">
            <v>https://panda-windows-and-doors.monday.com/protected_static/21046287/resources/2800329955/Print data.PDF</v>
          </cell>
          <cell r="U1449" t="str">
            <v/>
          </cell>
          <cell r="V1449">
            <v>18140.03</v>
          </cell>
          <cell r="W1449" t="str">
            <v>Elizabet Lopez May 18, 2026 10:46 AM</v>
          </cell>
          <cell r="X1449" t="str">
            <v/>
          </cell>
          <cell r="Y1449">
            <v>46084</v>
          </cell>
          <cell r="Z1449" t="str">
            <v/>
          </cell>
          <cell r="AA1449">
            <v>46084</v>
          </cell>
          <cell r="AB1449" t="str">
            <v>Annalene Conde Mar 3, 2026 1:41 PM</v>
          </cell>
          <cell r="AC1449">
            <v>46147</v>
          </cell>
          <cell r="AD1449" t="str">
            <v/>
          </cell>
          <cell r="AE1449" t="str">
            <v/>
          </cell>
          <cell r="AF1449">
            <v>46147</v>
          </cell>
          <cell r="AG1449">
            <v>46160</v>
          </cell>
          <cell r="AH1449" t="str">
            <v/>
          </cell>
          <cell r="AI1449" t="str">
            <v/>
          </cell>
        </row>
        <row r="1450">
          <cell r="C1450">
            <v>4500788093</v>
          </cell>
          <cell r="D1450" t="str">
            <v/>
          </cell>
          <cell r="E1450" t="str">
            <v/>
          </cell>
          <cell r="F1450" t="str">
            <v>Windsor Final</v>
          </cell>
          <cell r="G1450" t="str">
            <v>Windsor Collected</v>
          </cell>
          <cell r="H1450" t="str">
            <v>No</v>
          </cell>
          <cell r="I1450" t="str">
            <v>Alex</v>
          </cell>
          <cell r="J1450" t="str">
            <v/>
          </cell>
          <cell r="K1450" t="str">
            <v/>
          </cell>
          <cell r="L1450" t="str">
            <v/>
          </cell>
          <cell r="M1450" t="str">
            <v>Yes</v>
          </cell>
          <cell r="N1450" t="str">
            <v>https://panda-windows-and-doors.monday.com/protected_static/21046287/resources/2797224816/4500788093 Deposit Invoice.pdf</v>
          </cell>
          <cell r="O1450" t="str">
            <v/>
          </cell>
          <cell r="P1450" t="str">
            <v/>
          </cell>
          <cell r="Q1450" t="str">
            <v/>
          </cell>
          <cell r="R1450" t="str">
            <v/>
          </cell>
          <cell r="S1450" t="str">
            <v/>
          </cell>
          <cell r="T1450" t="str">
            <v>https://panda-windows-and-doors.monday.com/protected_static/21046287/resources/2796403863/Print data.PDF</v>
          </cell>
          <cell r="U1450" t="str">
            <v/>
          </cell>
          <cell r="V1450">
            <v>19443.05</v>
          </cell>
          <cell r="W1450" t="str">
            <v>George Bails May 29, 2026 10:30 AM</v>
          </cell>
          <cell r="X1450" t="str">
            <v/>
          </cell>
          <cell r="Y1450">
            <v>46083</v>
          </cell>
          <cell r="Z1450" t="str">
            <v/>
          </cell>
          <cell r="AA1450">
            <v>46083</v>
          </cell>
          <cell r="AB1450" t="str">
            <v>Annalene Conde Mar 2, 2026 12:34 PM</v>
          </cell>
          <cell r="AC1450">
            <v>46142</v>
          </cell>
          <cell r="AD1450" t="str">
            <v/>
          </cell>
          <cell r="AE1450" t="str">
            <v/>
          </cell>
          <cell r="AF1450">
            <v>46142</v>
          </cell>
          <cell r="AG1450">
            <v>46168</v>
          </cell>
          <cell r="AH1450" t="str">
            <v/>
          </cell>
          <cell r="AI1450" t="str">
            <v/>
          </cell>
        </row>
        <row r="1451">
          <cell r="C1451">
            <v>4500788973</v>
          </cell>
          <cell r="D1451" t="str">
            <v/>
          </cell>
          <cell r="E1451" t="str">
            <v/>
          </cell>
          <cell r="F1451" t="str">
            <v>Windsor Final</v>
          </cell>
          <cell r="G1451" t="str">
            <v>Windsor Collected</v>
          </cell>
          <cell r="H1451" t="str">
            <v>No</v>
          </cell>
          <cell r="I1451" t="str">
            <v>Alex</v>
          </cell>
          <cell r="J1451" t="str">
            <v/>
          </cell>
          <cell r="K1451" t="str">
            <v/>
          </cell>
          <cell r="L1451" t="str">
            <v/>
          </cell>
          <cell r="M1451" t="str">
            <v>Yes</v>
          </cell>
          <cell r="N1451" t="str">
            <v>https://panda-windows-and-doors.monday.com/protected_static/21046287/resources/2806801212/4500788973 - Deposit Invoice.pdf</v>
          </cell>
          <cell r="O1451" t="str">
            <v/>
          </cell>
          <cell r="P1451" t="str">
            <v/>
          </cell>
          <cell r="Q1451" t="str">
            <v/>
          </cell>
          <cell r="R1451" t="str">
            <v/>
          </cell>
          <cell r="S1451" t="str">
            <v/>
          </cell>
          <cell r="T1451" t="str">
            <v>https://panda-windows-and-doors.monday.com/protected_static/21046287/resources/2806340417/Print data.PDF</v>
          </cell>
          <cell r="U1451" t="str">
            <v/>
          </cell>
          <cell r="V1451">
            <v>9080</v>
          </cell>
          <cell r="W1451" t="str">
            <v>George Bails May 29, 2026 10:32 AM</v>
          </cell>
          <cell r="X1451" t="str">
            <v/>
          </cell>
          <cell r="Y1451">
            <v>46086</v>
          </cell>
          <cell r="Z1451" t="str">
            <v/>
          </cell>
          <cell r="AA1451">
            <v>46086</v>
          </cell>
          <cell r="AB1451" t="str">
            <v>Annalene Conde Mar 5, 2026 8:07 AM</v>
          </cell>
          <cell r="AC1451">
            <v>46142</v>
          </cell>
          <cell r="AD1451" t="str">
            <v/>
          </cell>
          <cell r="AE1451" t="str">
            <v/>
          </cell>
          <cell r="AF1451">
            <v>46142</v>
          </cell>
          <cell r="AG1451">
            <v>46168</v>
          </cell>
          <cell r="AH1451" t="str">
            <v/>
          </cell>
          <cell r="AI1451" t="str">
            <v/>
          </cell>
        </row>
        <row r="1452">
          <cell r="C1452">
            <v>4500789847</v>
          </cell>
          <cell r="D1452" t="str">
            <v/>
          </cell>
          <cell r="E1452" t="str">
            <v/>
          </cell>
          <cell r="F1452" t="str">
            <v>Windsor Final</v>
          </cell>
          <cell r="G1452" t="str">
            <v>Windsor Collected</v>
          </cell>
          <cell r="H1452" t="str">
            <v>No</v>
          </cell>
          <cell r="I1452" t="str">
            <v/>
          </cell>
          <cell r="J1452" t="str">
            <v/>
          </cell>
          <cell r="K1452" t="str">
            <v/>
          </cell>
          <cell r="L1452" t="str">
            <v/>
          </cell>
          <cell r="M1452" t="str">
            <v>No</v>
          </cell>
          <cell r="N1452" t="str">
            <v>https://panda-windows-and-doors.monday.com/protected_static/21046287/resources/2814061767/4500789847 Deposit Invoice.pdf</v>
          </cell>
          <cell r="O1452" t="str">
            <v/>
          </cell>
          <cell r="P1452" t="str">
            <v/>
          </cell>
          <cell r="Q1452" t="str">
            <v/>
          </cell>
          <cell r="R1452" t="str">
            <v/>
          </cell>
          <cell r="S1452" t="str">
            <v/>
          </cell>
          <cell r="T1452" t="str">
            <v>https://panda-windows-and-doors.monday.com/protected_static/21046287/resources/2813230026/Print data.PDF</v>
          </cell>
          <cell r="U1452" t="str">
            <v/>
          </cell>
          <cell r="V1452">
            <v>9030.01</v>
          </cell>
          <cell r="W1452" t="str">
            <v>Annalene Conde May 27, 2026 9:07 AM</v>
          </cell>
          <cell r="X1452" t="str">
            <v/>
          </cell>
          <cell r="Y1452">
            <v>46090</v>
          </cell>
          <cell r="Z1452" t="str">
            <v/>
          </cell>
          <cell r="AA1452">
            <v>46090</v>
          </cell>
          <cell r="AB1452" t="str">
            <v>Annalene Conde Mar 9, 2026 10:07 AM</v>
          </cell>
          <cell r="AC1452">
            <v>46141</v>
          </cell>
          <cell r="AD1452" t="str">
            <v/>
          </cell>
          <cell r="AE1452" t="str">
            <v/>
          </cell>
          <cell r="AF1452">
            <v>46141</v>
          </cell>
          <cell r="AG1452">
            <v>46169</v>
          </cell>
          <cell r="AH1452" t="str">
            <v/>
          </cell>
          <cell r="AI1452" t="str">
            <v/>
          </cell>
        </row>
        <row r="1453">
          <cell r="C1453">
            <v>4500806804</v>
          </cell>
          <cell r="D1453" t="str">
            <v/>
          </cell>
          <cell r="E1453" t="str">
            <v/>
          </cell>
          <cell r="F1453" t="str">
            <v>Windsor Final</v>
          </cell>
          <cell r="G1453" t="str">
            <v>Windsor Collected</v>
          </cell>
          <cell r="H1453" t="str">
            <v>No</v>
          </cell>
          <cell r="I1453" t="str">
            <v/>
          </cell>
          <cell r="J1453" t="str">
            <v/>
          </cell>
          <cell r="K1453" t="str">
            <v/>
          </cell>
          <cell r="L1453" t="str">
            <v/>
          </cell>
          <cell r="M1453" t="str">
            <v>No</v>
          </cell>
          <cell r="N1453" t="str">
            <v>https://panda-windows-and-doors.monday.com/protected_static/21046287/resources/2990664277/4500806804 Deposit Invoice.pdf</v>
          </cell>
          <cell r="O1453" t="str">
            <v/>
          </cell>
          <cell r="P1453" t="str">
            <v/>
          </cell>
          <cell r="Q1453" t="str">
            <v/>
          </cell>
          <cell r="R1453" t="str">
            <v/>
          </cell>
          <cell r="S1453" t="str">
            <v/>
          </cell>
          <cell r="T1453" t="str">
            <v>https://panda-windows-and-doors.monday.com/protected_static/21046287/resources/2990590875/Print data.PDF</v>
          </cell>
          <cell r="U1453" t="str">
            <v/>
          </cell>
          <cell r="V1453">
            <v>465</v>
          </cell>
          <cell r="W1453" t="str">
            <v>Annalene Conde May 28, 2026 1:46 PM</v>
          </cell>
          <cell r="X1453" t="str">
            <v/>
          </cell>
          <cell r="Y1453">
            <v>46154</v>
          </cell>
          <cell r="Z1453" t="str">
            <v/>
          </cell>
          <cell r="AA1453">
            <v>46164</v>
          </cell>
          <cell r="AB1453" t="str">
            <v>Amit Iarochevsky May 12, 2026 10:33 AM</v>
          </cell>
          <cell r="AC1453">
            <v>46164</v>
          </cell>
          <cell r="AD1453" t="str">
            <v/>
          </cell>
          <cell r="AE1453" t="str">
            <v/>
          </cell>
          <cell r="AF1453">
            <v>46164</v>
          </cell>
          <cell r="AG1453">
            <v>46170</v>
          </cell>
          <cell r="AH1453" t="str">
            <v/>
          </cell>
          <cell r="AI1453" t="str">
            <v/>
          </cell>
        </row>
        <row r="1454">
          <cell r="C1454">
            <v>4500789845</v>
          </cell>
          <cell r="D1454" t="str">
            <v/>
          </cell>
          <cell r="E1454" t="str">
            <v/>
          </cell>
          <cell r="F1454" t="str">
            <v>Windsor Final</v>
          </cell>
          <cell r="G1454" t="str">
            <v>Windsor Collected</v>
          </cell>
          <cell r="H1454" t="str">
            <v>No</v>
          </cell>
          <cell r="I1454" t="str">
            <v/>
          </cell>
          <cell r="J1454" t="str">
            <v/>
          </cell>
          <cell r="K1454" t="str">
            <v/>
          </cell>
          <cell r="L1454" t="str">
            <v/>
          </cell>
          <cell r="M1454" t="str">
            <v>No</v>
          </cell>
          <cell r="N1454" t="str">
            <v>https://panda-windows-and-doors.monday.com/protected_static/21046287/resources/2814088088/4500789845 Deposit Invoice.pdf</v>
          </cell>
          <cell r="O1454" t="str">
            <v/>
          </cell>
          <cell r="P1454" t="str">
            <v/>
          </cell>
          <cell r="Q1454" t="str">
            <v/>
          </cell>
          <cell r="R1454" t="str">
            <v/>
          </cell>
          <cell r="S1454" t="str">
            <v/>
          </cell>
          <cell r="T1454" t="str">
            <v>https://panda-windows-and-doors.monday.com/protected_static/21046287/resources/2813219995/Print data.PDF</v>
          </cell>
          <cell r="U1454" t="str">
            <v/>
          </cell>
          <cell r="V1454">
            <v>9176.5499999999993</v>
          </cell>
          <cell r="W1454" t="str">
            <v>Annalene Conde May 29, 2026 11:25 AM</v>
          </cell>
          <cell r="X1454" t="str">
            <v/>
          </cell>
          <cell r="Y1454">
            <v>46090</v>
          </cell>
          <cell r="Z1454" t="str">
            <v/>
          </cell>
          <cell r="AA1454">
            <v>46090</v>
          </cell>
          <cell r="AB1454" t="str">
            <v>Annalene Conde Mar 9, 2026 10:06 AM</v>
          </cell>
          <cell r="AC1454">
            <v>46141</v>
          </cell>
          <cell r="AD1454" t="str">
            <v/>
          </cell>
          <cell r="AE1454" t="str">
            <v/>
          </cell>
          <cell r="AF1454">
            <v>46141</v>
          </cell>
          <cell r="AG1454">
            <v>46171</v>
          </cell>
          <cell r="AH1454" t="str">
            <v/>
          </cell>
          <cell r="AI1454" t="str">
            <v/>
          </cell>
        </row>
        <row r="1455">
          <cell r="C1455">
            <v>4500794014</v>
          </cell>
          <cell r="D1455" t="str">
            <v/>
          </cell>
          <cell r="E1455" t="str">
            <v/>
          </cell>
          <cell r="F1455" t="str">
            <v>Windsor Final</v>
          </cell>
          <cell r="G1455" t="str">
            <v>Windsor Collected</v>
          </cell>
          <cell r="H1455" t="str">
            <v>No</v>
          </cell>
          <cell r="I1455" t="str">
            <v/>
          </cell>
          <cell r="J1455" t="str">
            <v/>
          </cell>
          <cell r="K1455" t="str">
            <v/>
          </cell>
          <cell r="L1455" t="str">
            <v/>
          </cell>
          <cell r="M1455" t="str">
            <v>No</v>
          </cell>
          <cell r="N1455" t="str">
            <v>https://panda-windows-and-doors.monday.com/protected_static/21046287/resources/2861182237/4500794014 Deposit Invoice.pdf</v>
          </cell>
          <cell r="O1455" t="str">
            <v/>
          </cell>
          <cell r="P1455" t="str">
            <v/>
          </cell>
          <cell r="Q1455" t="str">
            <v/>
          </cell>
          <cell r="R1455" t="str">
            <v/>
          </cell>
          <cell r="S1455" t="str">
            <v/>
          </cell>
          <cell r="T1455" t="str">
            <v>https://panda-windows-and-doors.monday.com/protected_static/21046287/resources/2860409222/Print data.PDF</v>
          </cell>
          <cell r="U1455" t="str">
            <v/>
          </cell>
          <cell r="V1455" t="str">
            <v/>
          </cell>
          <cell r="W1455" t="str">
            <v>Annalene Conde Jun 1, 2026 11:41 AM</v>
          </cell>
          <cell r="X1455" t="str">
            <v/>
          </cell>
          <cell r="Y1455">
            <v>46108</v>
          </cell>
          <cell r="Z1455" t="str">
            <v/>
          </cell>
          <cell r="AA1455">
            <v>46108</v>
          </cell>
          <cell r="AB1455" t="str">
            <v>Annalene Conde Mar 27, 2026 9:55 AM</v>
          </cell>
          <cell r="AC1455">
            <v>46147</v>
          </cell>
          <cell r="AD1455">
            <v>46174</v>
          </cell>
          <cell r="AE1455" t="str">
            <v/>
          </cell>
          <cell r="AF1455">
            <v>46147</v>
          </cell>
          <cell r="AG1455">
            <v>46174</v>
          </cell>
          <cell r="AH1455" t="str">
            <v/>
          </cell>
          <cell r="AI1455" t="str">
            <v/>
          </cell>
        </row>
        <row r="1456">
          <cell r="C1456">
            <v>4500793911</v>
          </cell>
          <cell r="D1456" t="str">
            <v/>
          </cell>
          <cell r="E1456" t="str">
            <v/>
          </cell>
          <cell r="F1456" t="str">
            <v>Windsor Final</v>
          </cell>
          <cell r="G1456" t="str">
            <v>Windsor Collected</v>
          </cell>
          <cell r="H1456" t="str">
            <v>No</v>
          </cell>
          <cell r="I1456" t="str">
            <v/>
          </cell>
          <cell r="J1456" t="str">
            <v/>
          </cell>
          <cell r="K1456" t="str">
            <v/>
          </cell>
          <cell r="L1456" t="str">
            <v/>
          </cell>
          <cell r="M1456" t="str">
            <v>No</v>
          </cell>
          <cell r="N1456" t="str">
            <v/>
          </cell>
          <cell r="O1456" t="str">
            <v/>
          </cell>
          <cell r="P1456" t="str">
            <v/>
          </cell>
          <cell r="Q1456" t="str">
            <v/>
          </cell>
          <cell r="R1456" t="str">
            <v/>
          </cell>
          <cell r="S1456" t="str">
            <v/>
          </cell>
          <cell r="T1456" t="str">
            <v>https://panda-windows-and-doors.monday.com/protected_static/21046287/resources/2860393084/Print data.PDF</v>
          </cell>
          <cell r="U1456" t="str">
            <v/>
          </cell>
          <cell r="V1456">
            <v>69005.64</v>
          </cell>
          <cell r="W1456" t="str">
            <v>Annalene Conde Jun 1, 2026 11:46 AM</v>
          </cell>
          <cell r="X1456" t="str">
            <v/>
          </cell>
          <cell r="Y1456">
            <v>46104</v>
          </cell>
          <cell r="Z1456" t="str">
            <v/>
          </cell>
          <cell r="AA1456">
            <v>46108</v>
          </cell>
          <cell r="AB1456" t="str">
            <v>Annalene Conde Mar 23, 2026 10:47 AM</v>
          </cell>
          <cell r="AC1456">
            <v>46154</v>
          </cell>
          <cell r="AD1456" t="str">
            <v/>
          </cell>
          <cell r="AE1456" t="str">
            <v/>
          </cell>
          <cell r="AF1456">
            <v>46154</v>
          </cell>
          <cell r="AG1456">
            <v>46174</v>
          </cell>
          <cell r="AH1456" t="str">
            <v/>
          </cell>
          <cell r="AI1456" t="str">
            <v/>
          </cell>
        </row>
        <row r="1457">
          <cell r="C1457">
            <v>4500793947</v>
          </cell>
          <cell r="D1457" t="str">
            <v/>
          </cell>
          <cell r="E1457" t="str">
            <v/>
          </cell>
          <cell r="F1457" t="str">
            <v>Windsor Final</v>
          </cell>
          <cell r="G1457" t="str">
            <v>Windsor Collected</v>
          </cell>
          <cell r="H1457" t="str">
            <v>No</v>
          </cell>
          <cell r="I1457" t="str">
            <v>Alex</v>
          </cell>
          <cell r="J1457" t="str">
            <v/>
          </cell>
          <cell r="K1457" t="str">
            <v/>
          </cell>
          <cell r="L1457" t="str">
            <v/>
          </cell>
          <cell r="M1457" t="str">
            <v>Yes</v>
          </cell>
          <cell r="N1457" t="str">
            <v>https://panda-windows-and-doors.monday.com/protected_static/21046287/resources/2861137215/4500793947 Deposit Invoice.pdf</v>
          </cell>
          <cell r="O1457" t="str">
            <v/>
          </cell>
          <cell r="P1457" t="str">
            <v/>
          </cell>
          <cell r="Q1457" t="str">
            <v/>
          </cell>
          <cell r="R1457" t="str">
            <v/>
          </cell>
          <cell r="S1457" t="str">
            <v/>
          </cell>
          <cell r="T1457" t="str">
            <v>https://panda-windows-and-doors.monday.com/protected_static/21046287/resources/2860402203/Print data.PDF</v>
          </cell>
          <cell r="U1457" t="str">
            <v/>
          </cell>
          <cell r="V1457">
            <v>28243.89</v>
          </cell>
          <cell r="W1457" t="str">
            <v>George Bails Jun 12, 2026 11:22 AM</v>
          </cell>
          <cell r="X1457" t="str">
            <v/>
          </cell>
          <cell r="Y1457">
            <v>46104</v>
          </cell>
          <cell r="Z1457" t="str">
            <v/>
          </cell>
          <cell r="AA1457">
            <v>46108</v>
          </cell>
          <cell r="AB1457" t="str">
            <v>Annalene Conde Mar 23, 2026 10:47 AM</v>
          </cell>
          <cell r="AC1457">
            <v>46163</v>
          </cell>
          <cell r="AD1457" t="str">
            <v/>
          </cell>
          <cell r="AE1457" t="str">
            <v/>
          </cell>
          <cell r="AF1457">
            <v>46163</v>
          </cell>
          <cell r="AG1457">
            <v>46176</v>
          </cell>
          <cell r="AH1457" t="str">
            <v/>
          </cell>
          <cell r="AI1457" t="str">
            <v/>
          </cell>
        </row>
        <row r="1458">
          <cell r="C1458">
            <v>4500794013</v>
          </cell>
          <cell r="D1458" t="str">
            <v/>
          </cell>
          <cell r="E1458" t="str">
            <v/>
          </cell>
          <cell r="F1458" t="str">
            <v>Windsor Final</v>
          </cell>
          <cell r="G1458" t="str">
            <v>Windsor Collected</v>
          </cell>
          <cell r="H1458" t="str">
            <v>No</v>
          </cell>
          <cell r="I1458" t="str">
            <v/>
          </cell>
          <cell r="J1458" t="str">
            <v/>
          </cell>
          <cell r="K1458" t="str">
            <v/>
          </cell>
          <cell r="L1458" t="str">
            <v/>
          </cell>
          <cell r="M1458" t="str">
            <v>No</v>
          </cell>
          <cell r="N1458" t="str">
            <v>https://panda-windows-and-doors.monday.com/protected_static/21046287/resources/2861165295/4500794013 Deposit Invoice.pdf</v>
          </cell>
          <cell r="O1458" t="str">
            <v/>
          </cell>
          <cell r="P1458" t="str">
            <v/>
          </cell>
          <cell r="Q1458" t="str">
            <v/>
          </cell>
          <cell r="R1458" t="str">
            <v/>
          </cell>
          <cell r="S1458" t="str">
            <v/>
          </cell>
          <cell r="T1458" t="str">
            <v>https://panda-windows-and-doors.monday.com/protected_static/21046287/resources/2860406110/Print data.PDF</v>
          </cell>
          <cell r="U1458" t="str">
            <v/>
          </cell>
          <cell r="V1458" t="str">
            <v/>
          </cell>
          <cell r="W1458" t="str">
            <v>Annalene Conde Jun 3, 2026 11:05 AM</v>
          </cell>
          <cell r="X1458" t="str">
            <v/>
          </cell>
          <cell r="Y1458">
            <v>46108</v>
          </cell>
          <cell r="Z1458" t="str">
            <v/>
          </cell>
          <cell r="AA1458">
            <v>46108</v>
          </cell>
          <cell r="AB1458" t="str">
            <v>Annalene Conde Mar 27, 2026 9:55 AM</v>
          </cell>
          <cell r="AC1458">
            <v>46168</v>
          </cell>
          <cell r="AD1458" t="str">
            <v/>
          </cell>
          <cell r="AE1458" t="str">
            <v/>
          </cell>
          <cell r="AF1458">
            <v>46168</v>
          </cell>
          <cell r="AG1458">
            <v>46176</v>
          </cell>
          <cell r="AH1458" t="str">
            <v/>
          </cell>
          <cell r="AI1458" t="str">
            <v/>
          </cell>
        </row>
        <row r="1459">
          <cell r="C1459">
            <v>4500811570</v>
          </cell>
          <cell r="D1459" t="str">
            <v/>
          </cell>
          <cell r="E1459" t="str">
            <v/>
          </cell>
          <cell r="F1459" t="str">
            <v>Windsor Final</v>
          </cell>
          <cell r="G1459" t="str">
            <v>Windsor Collected</v>
          </cell>
          <cell r="H1459" t="str">
            <v>No</v>
          </cell>
          <cell r="I1459" t="str">
            <v/>
          </cell>
          <cell r="J1459" t="str">
            <v/>
          </cell>
          <cell r="K1459" t="str">
            <v/>
          </cell>
          <cell r="L1459" t="str">
            <v/>
          </cell>
          <cell r="M1459" t="str">
            <v>No</v>
          </cell>
          <cell r="N1459" t="str">
            <v>https://panda-windows-and-doors.monday.com/protected_static/21046287/resources/3015164130/4500811570 - Deposit Invoice.pdf</v>
          </cell>
          <cell r="O1459" t="str">
            <v/>
          </cell>
          <cell r="P1459" t="str">
            <v/>
          </cell>
          <cell r="Q1459" t="str">
            <v/>
          </cell>
          <cell r="R1459" t="str">
            <v/>
          </cell>
          <cell r="S1459" t="str">
            <v/>
          </cell>
          <cell r="T1459" t="str">
            <v>https://panda-windows-and-doors.monday.com/protected_static/21046287/resources/3015137912/Print data.PDF</v>
          </cell>
          <cell r="U1459">
            <v>0</v>
          </cell>
          <cell r="V1459">
            <v>281</v>
          </cell>
          <cell r="W1459" t="str">
            <v>Annalene Conde Jun 4, 2026 11:13 AM</v>
          </cell>
          <cell r="X1459" t="str">
            <v/>
          </cell>
          <cell r="Y1459">
            <v>46168</v>
          </cell>
          <cell r="Z1459" t="str">
            <v/>
          </cell>
          <cell r="AA1459">
            <v>46175</v>
          </cell>
          <cell r="AB1459" t="str">
            <v>Amit Iarochevsky May 26, 2026 10:31 AM</v>
          </cell>
          <cell r="AC1459">
            <v>46175</v>
          </cell>
          <cell r="AD1459" t="str">
            <v/>
          </cell>
          <cell r="AE1459" t="str">
            <v/>
          </cell>
          <cell r="AF1459">
            <v>46175</v>
          </cell>
          <cell r="AG1459">
            <v>46177</v>
          </cell>
          <cell r="AH1459" t="str">
            <v/>
          </cell>
          <cell r="AI1459" t="str">
            <v/>
          </cell>
        </row>
        <row r="1460">
          <cell r="C1460">
            <v>4500810419</v>
          </cell>
          <cell r="D1460" t="str">
            <v/>
          </cell>
          <cell r="E1460" t="str">
            <v/>
          </cell>
          <cell r="F1460" t="str">
            <v>Windsor Final</v>
          </cell>
          <cell r="G1460" t="str">
            <v>Windsor Collected</v>
          </cell>
          <cell r="H1460" t="str">
            <v>No</v>
          </cell>
          <cell r="I1460" t="str">
            <v/>
          </cell>
          <cell r="J1460" t="str">
            <v/>
          </cell>
          <cell r="K1460" t="str">
            <v/>
          </cell>
          <cell r="L1460" t="str">
            <v/>
          </cell>
          <cell r="M1460" t="str">
            <v>No</v>
          </cell>
          <cell r="N1460" t="str">
            <v>https://panda-windows-and-doors.monday.com/protected_static/21046287/resources/3015185476/4500810419 Deposit Invoice.pdf</v>
          </cell>
          <cell r="O1460" t="str">
            <v/>
          </cell>
          <cell r="P1460" t="str">
            <v/>
          </cell>
          <cell r="Q1460" t="str">
            <v/>
          </cell>
          <cell r="R1460" t="str">
            <v/>
          </cell>
          <cell r="S1460" t="str">
            <v/>
          </cell>
          <cell r="T1460" t="str">
            <v>https://panda-windows-and-doors.monday.com/protected_static/21046287/resources/3015156612/Print data.PDF</v>
          </cell>
          <cell r="U1460">
            <v>0</v>
          </cell>
          <cell r="V1460">
            <v>206</v>
          </cell>
          <cell r="W1460" t="str">
            <v>Annalene Conde Jun 4, 2026 11:16 AM</v>
          </cell>
          <cell r="X1460" t="str">
            <v/>
          </cell>
          <cell r="Y1460">
            <v>46162</v>
          </cell>
          <cell r="Z1460" t="str">
            <v/>
          </cell>
          <cell r="AA1460">
            <v>46175</v>
          </cell>
          <cell r="AB1460" t="str">
            <v>Amit Iarochevsky May 20, 2026 4:31 PM</v>
          </cell>
          <cell r="AC1460">
            <v>46175</v>
          </cell>
          <cell r="AD1460" t="str">
            <v/>
          </cell>
          <cell r="AE1460" t="str">
            <v/>
          </cell>
          <cell r="AF1460">
            <v>46175</v>
          </cell>
          <cell r="AG1460">
            <v>46177</v>
          </cell>
          <cell r="AH1460" t="str">
            <v/>
          </cell>
          <cell r="AI1460" t="str">
            <v/>
          </cell>
        </row>
        <row r="1461">
          <cell r="C1461">
            <v>4500805999</v>
          </cell>
          <cell r="D1461" t="str">
            <v/>
          </cell>
          <cell r="E1461" t="str">
            <v/>
          </cell>
          <cell r="F1461" t="str">
            <v>Windsor Final</v>
          </cell>
          <cell r="G1461" t="str">
            <v>Windsor Collected</v>
          </cell>
          <cell r="H1461" t="str">
            <v>No</v>
          </cell>
          <cell r="I1461" t="str">
            <v/>
          </cell>
          <cell r="J1461" t="str">
            <v/>
          </cell>
          <cell r="K1461" t="str">
            <v/>
          </cell>
          <cell r="L1461" t="str">
            <v/>
          </cell>
          <cell r="M1461" t="str">
            <v>No</v>
          </cell>
          <cell r="N1461" t="str">
            <v>https://panda-windows-and-doors.monday.com/protected_static/21046287/resources/3015474763/4500805999 Deposit Invoice.pdf</v>
          </cell>
          <cell r="O1461" t="str">
            <v/>
          </cell>
          <cell r="P1461" t="str">
            <v/>
          </cell>
          <cell r="Q1461" t="str">
            <v/>
          </cell>
          <cell r="R1461" t="str">
            <v/>
          </cell>
          <cell r="S1461" t="str">
            <v/>
          </cell>
          <cell r="T1461" t="str">
            <v>https://panda-windows-and-doors.monday.com/protected_static/21046287/resources/3015169601/Print data.PDF</v>
          </cell>
          <cell r="U1461">
            <v>0</v>
          </cell>
          <cell r="V1461">
            <v>250.03</v>
          </cell>
          <cell r="W1461" t="str">
            <v>Annalene Conde Jun 4, 2026 11:20 AM</v>
          </cell>
          <cell r="X1461" t="str">
            <v/>
          </cell>
          <cell r="Y1461">
            <v>46154</v>
          </cell>
          <cell r="Z1461" t="str">
            <v/>
          </cell>
          <cell r="AA1461">
            <v>46175</v>
          </cell>
          <cell r="AB1461" t="str">
            <v>Amit Iarochevsky May 12, 2026 10:33 AM</v>
          </cell>
          <cell r="AC1461">
            <v>46175</v>
          </cell>
          <cell r="AD1461" t="str">
            <v/>
          </cell>
          <cell r="AE1461" t="str">
            <v/>
          </cell>
          <cell r="AF1461">
            <v>46175</v>
          </cell>
          <cell r="AG1461">
            <v>46177</v>
          </cell>
          <cell r="AH1461" t="str">
            <v/>
          </cell>
          <cell r="AI1461" t="str">
            <v/>
          </cell>
        </row>
        <row r="1462">
          <cell r="C1462">
            <v>4500792850</v>
          </cell>
          <cell r="D1462" t="str">
            <v/>
          </cell>
          <cell r="E1462" t="str">
            <v/>
          </cell>
          <cell r="F1462" t="str">
            <v>Windsor Final</v>
          </cell>
          <cell r="G1462" t="str">
            <v>Windsor Collected</v>
          </cell>
          <cell r="H1462" t="str">
            <v>No</v>
          </cell>
          <cell r="I1462" t="str">
            <v/>
          </cell>
          <cell r="J1462" t="str">
            <v/>
          </cell>
          <cell r="K1462" t="str">
            <v/>
          </cell>
          <cell r="L1462" t="str">
            <v/>
          </cell>
          <cell r="M1462" t="str">
            <v>No</v>
          </cell>
          <cell r="N1462" t="str">
            <v>https://panda-windows-and-doors.monday.com/protected_static/21046287/resources/2842154617/4500792850 Deposit Invoice.pdf</v>
          </cell>
          <cell r="O1462" t="str">
            <v/>
          </cell>
          <cell r="P1462" t="str">
            <v/>
          </cell>
          <cell r="Q1462" t="str">
            <v/>
          </cell>
          <cell r="R1462" t="str">
            <v/>
          </cell>
          <cell r="S1462" t="str">
            <v/>
          </cell>
          <cell r="T1462" t="str">
            <v>https://panda-windows-and-doors.monday.com/protected_static/21046287/resources/2839445269/Print data.PDF.pdf</v>
          </cell>
          <cell r="U1462" t="str">
            <v/>
          </cell>
          <cell r="V1462">
            <v>27424.92</v>
          </cell>
          <cell r="W1462" t="str">
            <v>Annalene Conde Jun 5, 2026 12:15 PM</v>
          </cell>
          <cell r="X1462" t="str">
            <v/>
          </cell>
          <cell r="Y1462">
            <v>46099</v>
          </cell>
          <cell r="Z1462" t="str">
            <v/>
          </cell>
          <cell r="AA1462">
            <v>46099</v>
          </cell>
          <cell r="AB1462" t="str">
            <v>Annalene Conde Mar 18, 2026 3:17 PM</v>
          </cell>
          <cell r="AC1462" t="str">
            <v/>
          </cell>
          <cell r="AD1462" t="str">
            <v/>
          </cell>
          <cell r="AE1462" t="str">
            <v/>
          </cell>
          <cell r="AF1462" t="str">
            <v/>
          </cell>
          <cell r="AG1462">
            <v>46178</v>
          </cell>
          <cell r="AH1462" t="str">
            <v/>
          </cell>
          <cell r="AI1462" t="str">
            <v/>
          </cell>
        </row>
        <row r="1463">
          <cell r="C1463">
            <v>4500793876</v>
          </cell>
          <cell r="D1463" t="str">
            <v/>
          </cell>
          <cell r="E1463" t="str">
            <v/>
          </cell>
          <cell r="F1463" t="str">
            <v>Windsor Final</v>
          </cell>
          <cell r="G1463" t="str">
            <v>Windsor Collected</v>
          </cell>
          <cell r="H1463" t="str">
            <v>No</v>
          </cell>
          <cell r="I1463" t="str">
            <v/>
          </cell>
          <cell r="J1463" t="str">
            <v/>
          </cell>
          <cell r="K1463" t="str">
            <v/>
          </cell>
          <cell r="L1463" t="str">
            <v/>
          </cell>
          <cell r="M1463" t="str">
            <v>No</v>
          </cell>
          <cell r="N1463" t="str">
            <v>https://panda-windows-and-doors.monday.com/protected_static/21046287/resources/2860554115/4500793876 Deposit Invoice.pdf</v>
          </cell>
          <cell r="O1463" t="str">
            <v/>
          </cell>
          <cell r="P1463" t="str">
            <v/>
          </cell>
          <cell r="Q1463" t="str">
            <v/>
          </cell>
          <cell r="R1463" t="str">
            <v/>
          </cell>
          <cell r="S1463" t="str">
            <v/>
          </cell>
          <cell r="T1463" t="str">
            <v>https://panda-windows-and-doors.monday.com/protected_static/21046287/resources/2860388669/Print data.PDF</v>
          </cell>
          <cell r="U1463" t="str">
            <v/>
          </cell>
          <cell r="V1463">
            <v>55138.51</v>
          </cell>
          <cell r="W1463" t="str">
            <v>Annalene Conde Jun 5, 2026 12:18 PM</v>
          </cell>
          <cell r="X1463" t="str">
            <v/>
          </cell>
          <cell r="Y1463">
            <v>46104</v>
          </cell>
          <cell r="Z1463" t="str">
            <v/>
          </cell>
          <cell r="AA1463">
            <v>46108</v>
          </cell>
          <cell r="AB1463" t="str">
            <v>Annalene Conde Mar 23, 2026 10:47 AM</v>
          </cell>
          <cell r="AC1463">
            <v>46163</v>
          </cell>
          <cell r="AD1463" t="str">
            <v/>
          </cell>
          <cell r="AE1463" t="str">
            <v/>
          </cell>
          <cell r="AF1463">
            <v>46163</v>
          </cell>
          <cell r="AG1463">
            <v>46178</v>
          </cell>
          <cell r="AH1463" t="str">
            <v/>
          </cell>
          <cell r="AI1463" t="str">
            <v/>
          </cell>
        </row>
        <row r="1464">
          <cell r="C1464">
            <v>4500790786</v>
          </cell>
          <cell r="D1464" t="str">
            <v/>
          </cell>
          <cell r="E1464" t="str">
            <v/>
          </cell>
          <cell r="F1464" t="str">
            <v>Windsor Final</v>
          </cell>
          <cell r="G1464" t="str">
            <v>Windsor Collected</v>
          </cell>
          <cell r="H1464" t="str">
            <v>No</v>
          </cell>
          <cell r="I1464" t="str">
            <v/>
          </cell>
          <cell r="J1464" t="str">
            <v/>
          </cell>
          <cell r="K1464" t="str">
            <v/>
          </cell>
          <cell r="L1464" t="str">
            <v/>
          </cell>
          <cell r="M1464" t="str">
            <v>No</v>
          </cell>
          <cell r="N1464" t="str">
            <v>https://panda-windows-and-doors.monday.com/protected_static/21046287/resources/2828099014/4500790786 Deposit Invoice.pdf</v>
          </cell>
          <cell r="O1464" t="str">
            <v/>
          </cell>
          <cell r="P1464" t="str">
            <v/>
          </cell>
          <cell r="Q1464" t="str">
            <v/>
          </cell>
          <cell r="R1464" t="str">
            <v/>
          </cell>
          <cell r="S1464" t="str">
            <v/>
          </cell>
          <cell r="T1464" t="str">
            <v>https://panda-windows-and-doors.monday.com/protected_static/21046287/resources/2820268124/Print data.PDF</v>
          </cell>
          <cell r="U1464" t="str">
            <v/>
          </cell>
          <cell r="V1464">
            <v>24873.96</v>
          </cell>
          <cell r="W1464" t="str">
            <v>Annalene Conde Jun 9, 2026 2:42 PM</v>
          </cell>
          <cell r="X1464" t="str">
            <v/>
          </cell>
          <cell r="Y1464">
            <v>46092</v>
          </cell>
          <cell r="Z1464" t="str">
            <v/>
          </cell>
          <cell r="AA1464">
            <v>46092</v>
          </cell>
          <cell r="AB1464" t="str">
            <v>Annalene Conde Mar 11, 2026 8:54 AM</v>
          </cell>
          <cell r="AC1464">
            <v>46163</v>
          </cell>
          <cell r="AD1464" t="str">
            <v/>
          </cell>
          <cell r="AE1464" t="str">
            <v/>
          </cell>
          <cell r="AF1464">
            <v>46163</v>
          </cell>
          <cell r="AG1464">
            <v>46182</v>
          </cell>
          <cell r="AH1464" t="str">
            <v/>
          </cell>
          <cell r="AI1464" t="str">
            <v/>
          </cell>
        </row>
        <row r="1465">
          <cell r="C1465">
            <v>4500801450</v>
          </cell>
          <cell r="D1465" t="str">
            <v/>
          </cell>
          <cell r="E1465" t="str">
            <v/>
          </cell>
          <cell r="F1465" t="str">
            <v>Windsor Final</v>
          </cell>
          <cell r="G1465" t="str">
            <v>Windsor Collected</v>
          </cell>
          <cell r="H1465" t="str">
            <v>No</v>
          </cell>
          <cell r="I1465" t="str">
            <v/>
          </cell>
          <cell r="J1465" t="str">
            <v/>
          </cell>
          <cell r="K1465" t="str">
            <v/>
          </cell>
          <cell r="L1465" t="str">
            <v/>
          </cell>
          <cell r="M1465" t="str">
            <v>No</v>
          </cell>
          <cell r="N1465" t="str">
            <v>https://panda-windows-and-doors.monday.com/protected_static/21046287/resources/2909880828/4500801450 Deposit Invoice.pdf, https://panda-windows-and-doors.monday.com/protected_static/21046287/resources/3015897202/4500801450 final invoice.pdf</v>
          </cell>
          <cell r="O1465" t="str">
            <v/>
          </cell>
          <cell r="P1465" t="str">
            <v/>
          </cell>
          <cell r="Q1465" t="str">
            <v/>
          </cell>
          <cell r="R1465" t="str">
            <v/>
          </cell>
          <cell r="S1465" t="str">
            <v/>
          </cell>
          <cell r="T1465" t="str">
            <v>https://panda-windows-and-doors.monday.com/protected_static/21046287/resources/2909692046/Print data.PDF</v>
          </cell>
          <cell r="U1465">
            <v>0</v>
          </cell>
          <cell r="V1465">
            <v>17500.669999999998</v>
          </cell>
          <cell r="W1465" t="str">
            <v>Annalene Conde Jun 10, 2026 9:52 AM</v>
          </cell>
          <cell r="X1465" t="str">
            <v/>
          </cell>
          <cell r="Y1465">
            <v>46129</v>
          </cell>
          <cell r="Z1465" t="str">
            <v/>
          </cell>
          <cell r="AA1465">
            <v>46129</v>
          </cell>
          <cell r="AB1465" t="str">
            <v>Annalene Conde Apr 17, 2026 1:02 PM</v>
          </cell>
          <cell r="AC1465">
            <v>46175</v>
          </cell>
          <cell r="AD1465" t="str">
            <v/>
          </cell>
          <cell r="AE1465" t="str">
            <v/>
          </cell>
          <cell r="AF1465">
            <v>46175</v>
          </cell>
          <cell r="AG1465">
            <v>46183</v>
          </cell>
          <cell r="AH1465" t="str">
            <v/>
          </cell>
          <cell r="AI1465" t="str">
            <v/>
          </cell>
        </row>
        <row r="1466">
          <cell r="C1466">
            <v>4500793631</v>
          </cell>
          <cell r="D1466" t="str">
            <v/>
          </cell>
          <cell r="E1466" t="str">
            <v/>
          </cell>
          <cell r="F1466" t="str">
            <v>Windsor Final</v>
          </cell>
          <cell r="G1466" t="str">
            <v>Windsor Collected</v>
          </cell>
          <cell r="H1466" t="str">
            <v>No</v>
          </cell>
          <cell r="I1466" t="str">
            <v/>
          </cell>
          <cell r="J1466" t="str">
            <v/>
          </cell>
          <cell r="K1466" t="str">
            <v/>
          </cell>
          <cell r="L1466" t="str">
            <v/>
          </cell>
          <cell r="M1466" t="str">
            <v/>
          </cell>
          <cell r="N1466" t="str">
            <v>https://panda-windows-and-doors.monday.com/protected_static/21046287/resources/2848086559/4500793631 Deposit Invoice.pdf</v>
          </cell>
          <cell r="O1466" t="str">
            <v/>
          </cell>
          <cell r="P1466" t="str">
            <v/>
          </cell>
          <cell r="Q1466" t="str">
            <v/>
          </cell>
          <cell r="R1466" t="str">
            <v/>
          </cell>
          <cell r="S1466" t="str">
            <v/>
          </cell>
          <cell r="T1466" t="str">
            <v>https://panda-windows-and-doors.monday.com/protected_static/21046287/resources/2847952997/Print data.PDF</v>
          </cell>
          <cell r="U1466" t="str">
            <v/>
          </cell>
          <cell r="V1466">
            <v>22694.05</v>
          </cell>
          <cell r="W1466" t="str">
            <v>Annalene Conde Jun 12, 2026 10:19 AM</v>
          </cell>
          <cell r="X1466" t="str">
            <v/>
          </cell>
          <cell r="Y1466">
            <v>46101</v>
          </cell>
          <cell r="Z1466" t="str">
            <v/>
          </cell>
          <cell r="AA1466">
            <v>46104</v>
          </cell>
          <cell r="AB1466" t="str">
            <v>Annalene Conde Mar 20, 2026 2:13 PM</v>
          </cell>
          <cell r="AC1466">
            <v>46163</v>
          </cell>
          <cell r="AD1466" t="str">
            <v/>
          </cell>
          <cell r="AE1466" t="str">
            <v/>
          </cell>
          <cell r="AF1466">
            <v>46163</v>
          </cell>
          <cell r="AG1466">
            <v>46185</v>
          </cell>
          <cell r="AH1466" t="str">
            <v/>
          </cell>
          <cell r="AI1466" t="str">
            <v/>
          </cell>
        </row>
        <row r="1467">
          <cell r="C1467">
            <v>4500815714</v>
          </cell>
          <cell r="D1467" t="str">
            <v/>
          </cell>
          <cell r="E1467" t="str">
            <v/>
          </cell>
          <cell r="F1467" t="str">
            <v>Windsor Final</v>
          </cell>
          <cell r="G1467" t="str">
            <v>Windsor Collected</v>
          </cell>
          <cell r="H1467" t="str">
            <v>No</v>
          </cell>
          <cell r="I1467" t="str">
            <v/>
          </cell>
          <cell r="J1467" t="str">
            <v/>
          </cell>
          <cell r="K1467" t="str">
            <v/>
          </cell>
          <cell r="L1467" t="str">
            <v/>
          </cell>
          <cell r="M1467" t="str">
            <v>No</v>
          </cell>
          <cell r="N1467" t="str">
            <v/>
          </cell>
          <cell r="O1467" t="str">
            <v/>
          </cell>
          <cell r="P1467" t="str">
            <v/>
          </cell>
          <cell r="Q1467" t="str">
            <v/>
          </cell>
          <cell r="R1467" t="str">
            <v/>
          </cell>
          <cell r="S1467" t="str">
            <v/>
          </cell>
          <cell r="T1467" t="str">
            <v>https://panda-windows-and-doors.monday.com/protected_static/21046287/resources/3043002839/Print data.PDF</v>
          </cell>
          <cell r="U1467" t="str">
            <v/>
          </cell>
          <cell r="V1467" t="str">
            <v/>
          </cell>
          <cell r="W1467" t="str">
            <v>Annalene Conde Jun 17, 2026 10:28 AM</v>
          </cell>
          <cell r="X1467" t="str">
            <v/>
          </cell>
          <cell r="Y1467">
            <v>46184</v>
          </cell>
          <cell r="Z1467" t="str">
            <v/>
          </cell>
          <cell r="AA1467">
            <v>46185</v>
          </cell>
          <cell r="AB1467" t="str">
            <v>Amit Iarochevsky Jun 11, 2026 12:08 PM</v>
          </cell>
          <cell r="AC1467">
            <v>46188</v>
          </cell>
          <cell r="AD1467" t="str">
            <v/>
          </cell>
          <cell r="AE1467" t="str">
            <v/>
          </cell>
          <cell r="AF1467">
            <v>46188</v>
          </cell>
          <cell r="AG1467">
            <v>46190</v>
          </cell>
          <cell r="AH1467" t="str">
            <v/>
          </cell>
          <cell r="AI1467" t="str">
            <v/>
          </cell>
        </row>
        <row r="1468">
          <cell r="C1468">
            <v>4500797693</v>
          </cell>
          <cell r="D1468" t="str">
            <v/>
          </cell>
          <cell r="E1468" t="str">
            <v/>
          </cell>
          <cell r="F1468" t="str">
            <v>Windsor Final</v>
          </cell>
          <cell r="G1468" t="str">
            <v>Windsor Collected</v>
          </cell>
          <cell r="H1468" t="str">
            <v>No</v>
          </cell>
          <cell r="I1468" t="str">
            <v/>
          </cell>
          <cell r="J1468" t="str">
            <v/>
          </cell>
          <cell r="K1468" t="str">
            <v/>
          </cell>
          <cell r="L1468" t="str">
            <v/>
          </cell>
          <cell r="M1468" t="str">
            <v>No</v>
          </cell>
          <cell r="N1468" t="str">
            <v>https://panda-windows-and-doors.monday.com/protected_static/21046287/resources/2879818567/4500797693 Deposit Invoice.pdf</v>
          </cell>
          <cell r="O1468" t="str">
            <v/>
          </cell>
          <cell r="P1468" t="str">
            <v/>
          </cell>
          <cell r="Q1468" t="str">
            <v/>
          </cell>
          <cell r="R1468" t="str">
            <v/>
          </cell>
          <cell r="S1468" t="str">
            <v/>
          </cell>
          <cell r="T1468" t="str">
            <v>https://panda-windows-and-doors.monday.com/protected_static/21046287/resources/2879577294/Print data.PDF</v>
          </cell>
          <cell r="U1468" t="str">
            <v/>
          </cell>
          <cell r="V1468">
            <v>9852.51</v>
          </cell>
          <cell r="W1468" t="str">
            <v>Annalene Conde Jun 17, 2026 11:02 AM</v>
          </cell>
          <cell r="X1468" t="str">
            <v/>
          </cell>
          <cell r="Y1468">
            <v>46118</v>
          </cell>
          <cell r="Z1468" t="str">
            <v/>
          </cell>
          <cell r="AA1468">
            <v>46118</v>
          </cell>
          <cell r="AB1468" t="str">
            <v>Annalene Conde Apr 6, 2026 10:40 AM</v>
          </cell>
          <cell r="AC1468">
            <v>46163</v>
          </cell>
          <cell r="AD1468" t="str">
            <v/>
          </cell>
          <cell r="AE1468" t="str">
            <v/>
          </cell>
          <cell r="AF1468">
            <v>46163</v>
          </cell>
          <cell r="AG1468">
            <v>46190</v>
          </cell>
          <cell r="AH1468" t="str">
            <v/>
          </cell>
          <cell r="AI1468" t="str">
            <v/>
          </cell>
        </row>
        <row r="1469">
          <cell r="C1469">
            <v>219347</v>
          </cell>
          <cell r="E1469" t="str">
            <v/>
          </cell>
          <cell r="F1469" t="str">
            <v>All Weather Final</v>
          </cell>
          <cell r="G1469" t="str">
            <v>All Weather Collected</v>
          </cell>
          <cell r="H1469" t="str">
            <v>No</v>
          </cell>
          <cell r="I1469" t="str">
            <v>Alex</v>
          </cell>
          <cell r="J1469" t="str">
            <v/>
          </cell>
          <cell r="K1469" t="str">
            <v/>
          </cell>
          <cell r="L1469" t="str">
            <v/>
          </cell>
          <cell r="M1469" t="str">
            <v/>
          </cell>
          <cell r="N1469" t="str">
            <v>https://panda-windows-and-doors.monday.com/protected_static/21046287/resources/2055756101/219347 Deposit Invoice.pdf</v>
          </cell>
          <cell r="O1469" t="str">
            <v/>
          </cell>
          <cell r="P1469" t="str">
            <v/>
          </cell>
          <cell r="Q1469" t="str">
            <v/>
          </cell>
          <cell r="R1469" t="str">
            <v/>
          </cell>
          <cell r="S1469" t="str">
            <v/>
          </cell>
          <cell r="T1469" t="str">
            <v>https://panda-windows-and-doors.monday.com/protected_static/21046287/resources/2053648834/PO_ 219347 Panda.pdf</v>
          </cell>
          <cell r="U1469">
            <v>0</v>
          </cell>
          <cell r="V1469">
            <v>11713</v>
          </cell>
          <cell r="W1469" t="str">
            <v>Victoria Marrufo Jul 3, 2025 10:34 AM</v>
          </cell>
          <cell r="X1469" t="str">
            <v/>
          </cell>
          <cell r="Y1469">
            <v>45748</v>
          </cell>
          <cell r="Z1469" t="str">
            <v/>
          </cell>
          <cell r="AA1469">
            <v>45783</v>
          </cell>
          <cell r="AB1469" t="str">
            <v>Jayme Truong Apr 1, 2025 11:47 AM</v>
          </cell>
          <cell r="AC1469">
            <v>45784</v>
          </cell>
          <cell r="AD1469" t="str">
            <v/>
          </cell>
          <cell r="AE1469" t="str">
            <v/>
          </cell>
          <cell r="AF1469">
            <v>45784</v>
          </cell>
          <cell r="AG1469">
            <v>45799</v>
          </cell>
          <cell r="AH1469" t="str">
            <v/>
          </cell>
          <cell r="AI1469" t="str">
            <v/>
          </cell>
        </row>
        <row r="1470">
          <cell r="C1470">
            <v>219286</v>
          </cell>
          <cell r="E1470" t="str">
            <v/>
          </cell>
          <cell r="F1470" t="str">
            <v>All Weather Final</v>
          </cell>
          <cell r="G1470" t="str">
            <v>All Weather Collected</v>
          </cell>
          <cell r="H1470" t="str">
            <v>No</v>
          </cell>
          <cell r="I1470" t="str">
            <v>Alex</v>
          </cell>
          <cell r="J1470" t="str">
            <v/>
          </cell>
          <cell r="K1470" t="str">
            <v/>
          </cell>
          <cell r="L1470" t="str">
            <v/>
          </cell>
          <cell r="M1470" t="str">
            <v/>
          </cell>
          <cell r="N1470" t="str">
            <v>https://panda-windows-and-doors.monday.com/protected_static/21046287/resources/2043376323/219286 Deposit Invoice.pdf</v>
          </cell>
          <cell r="O1470" t="str">
            <v/>
          </cell>
          <cell r="P1470" t="str">
            <v/>
          </cell>
          <cell r="Q1470" t="str">
            <v/>
          </cell>
          <cell r="R1470" t="str">
            <v/>
          </cell>
          <cell r="S1470" t="str">
            <v/>
          </cell>
          <cell r="T1470" t="str">
            <v>https://panda-windows-and-doors.monday.com/protected_static/21046287/resources/2037642730/PO_ 219286 Panda WIndows.pdf</v>
          </cell>
          <cell r="U1470">
            <v>0</v>
          </cell>
          <cell r="V1470">
            <v>3661</v>
          </cell>
          <cell r="W1470" t="str">
            <v>Victoria Marrufo Jul 3, 2025 10:35 AM</v>
          </cell>
          <cell r="X1470" t="str">
            <v/>
          </cell>
          <cell r="Y1470">
            <v>45741</v>
          </cell>
          <cell r="Z1470" t="str">
            <v/>
          </cell>
          <cell r="AA1470">
            <v>45776</v>
          </cell>
          <cell r="AB1470" t="str">
            <v>Jayme Truong Mar 25, 2025 10:20 AM</v>
          </cell>
          <cell r="AC1470">
            <v>45776</v>
          </cell>
          <cell r="AD1470" t="str">
            <v/>
          </cell>
          <cell r="AE1470" t="str">
            <v/>
          </cell>
          <cell r="AF1470">
            <v>45776</v>
          </cell>
          <cell r="AG1470">
            <v>45799</v>
          </cell>
          <cell r="AH1470" t="str">
            <v/>
          </cell>
          <cell r="AI1470" t="str">
            <v/>
          </cell>
        </row>
        <row r="1471">
          <cell r="C1471">
            <v>219411</v>
          </cell>
          <cell r="E1471" t="str">
            <v/>
          </cell>
          <cell r="F1471" t="str">
            <v>All Weather Final</v>
          </cell>
          <cell r="G1471" t="str">
            <v>All Weather Collected</v>
          </cell>
          <cell r="H1471" t="str">
            <v>No</v>
          </cell>
          <cell r="I1471" t="str">
            <v>Alex</v>
          </cell>
          <cell r="J1471" t="str">
            <v/>
          </cell>
          <cell r="K1471" t="str">
            <v/>
          </cell>
          <cell r="L1471" t="str">
            <v/>
          </cell>
          <cell r="M1471" t="str">
            <v>Yes</v>
          </cell>
          <cell r="N1471" t="str">
            <v>https://panda-windows-and-doors.monday.com/protected_static/21046287/resources/2083554720/219411 Deposit Invoice.pdf</v>
          </cell>
          <cell r="O1471" t="str">
            <v/>
          </cell>
          <cell r="P1471" t="str">
            <v/>
          </cell>
          <cell r="Q1471" t="str">
            <v/>
          </cell>
          <cell r="R1471" t="str">
            <v/>
          </cell>
          <cell r="S1471" t="str">
            <v/>
          </cell>
          <cell r="T1471" t="str">
            <v>https://panda-windows-and-doors.monday.com/protected_static/21046287/resources/2083103325/219411.pdf</v>
          </cell>
          <cell r="U1471">
            <v>0</v>
          </cell>
          <cell r="V1471">
            <v>6536</v>
          </cell>
          <cell r="W1471" t="str">
            <v>Alex Jul 3, 2025 11:33 AM</v>
          </cell>
          <cell r="X1471" t="str">
            <v/>
          </cell>
          <cell r="Y1471">
            <v>45756</v>
          </cell>
          <cell r="Z1471" t="str">
            <v/>
          </cell>
          <cell r="AA1471">
            <v>45785</v>
          </cell>
          <cell r="AB1471" t="str">
            <v>Jayme Truong Apr 9, 2025 8:07 AM</v>
          </cell>
          <cell r="AC1471">
            <v>45785</v>
          </cell>
          <cell r="AD1471" t="str">
            <v/>
          </cell>
          <cell r="AE1471" t="str">
            <v/>
          </cell>
          <cell r="AF1471">
            <v>45785</v>
          </cell>
          <cell r="AG1471">
            <v>45824</v>
          </cell>
          <cell r="AH1471" t="str">
            <v/>
          </cell>
          <cell r="AI1471" t="str">
            <v/>
          </cell>
        </row>
        <row r="1472">
          <cell r="C1472">
            <v>219500</v>
          </cell>
          <cell r="E1472" t="str">
            <v/>
          </cell>
          <cell r="F1472" t="str">
            <v>All Weather Final</v>
          </cell>
          <cell r="G1472" t="str">
            <v>All Weather Collected</v>
          </cell>
          <cell r="H1472" t="str">
            <v>No</v>
          </cell>
          <cell r="I1472" t="str">
            <v>Alex</v>
          </cell>
          <cell r="J1472" t="str">
            <v/>
          </cell>
          <cell r="K1472" t="str">
            <v/>
          </cell>
          <cell r="L1472" t="str">
            <v/>
          </cell>
          <cell r="M1472" t="str">
            <v>Yes</v>
          </cell>
          <cell r="N1472" t="str">
            <v>https://panda-windows-and-doors.monday.com/protected_static/21046287/resources/2085787997/219500 Deposit Invoice.pdf</v>
          </cell>
          <cell r="O1472" t="str">
            <v/>
          </cell>
          <cell r="P1472" t="str">
            <v/>
          </cell>
          <cell r="Q1472" t="str">
            <v/>
          </cell>
          <cell r="R1472" t="str">
            <v/>
          </cell>
          <cell r="S1472" t="str">
            <v/>
          </cell>
          <cell r="T1472" t="str">
            <v>https://panda-windows-and-doors.monday.com/protected_static/21046287/resources/2085698226/2025-04-15 Purchase order - 219500 - (2025-04-15 33_13 PM).pdf</v>
          </cell>
          <cell r="U1472">
            <v>0</v>
          </cell>
          <cell r="V1472">
            <v>10560.24</v>
          </cell>
          <cell r="W1472" t="str">
            <v>Alex Jul 3, 2025 11:33 AM</v>
          </cell>
          <cell r="X1472" t="str">
            <v/>
          </cell>
          <cell r="Y1472">
            <v>45763</v>
          </cell>
          <cell r="Z1472" t="str">
            <v/>
          </cell>
          <cell r="AA1472">
            <v>45798</v>
          </cell>
          <cell r="AB1472" t="str">
            <v>Jayme Truong Apr 16, 2025 8:51 AM</v>
          </cell>
          <cell r="AC1472">
            <v>45798</v>
          </cell>
          <cell r="AD1472" t="str">
            <v/>
          </cell>
          <cell r="AE1472" t="str">
            <v/>
          </cell>
          <cell r="AF1472">
            <v>45798</v>
          </cell>
          <cell r="AG1472">
            <v>45835</v>
          </cell>
          <cell r="AH1472" t="str">
            <v/>
          </cell>
          <cell r="AI1472" t="str">
            <v/>
          </cell>
        </row>
        <row r="1473">
          <cell r="C1473">
            <v>219642</v>
          </cell>
          <cell r="E1473" t="str">
            <v/>
          </cell>
          <cell r="F1473" t="str">
            <v>All Weather Final</v>
          </cell>
          <cell r="G1473" t="str">
            <v>All Weather Collected</v>
          </cell>
          <cell r="H1473" t="str">
            <v>No</v>
          </cell>
          <cell r="I1473" t="str">
            <v>Alex</v>
          </cell>
          <cell r="J1473" t="str">
            <v/>
          </cell>
          <cell r="K1473" t="str">
            <v/>
          </cell>
          <cell r="L1473" t="str">
            <v/>
          </cell>
          <cell r="M1473" t="str">
            <v>Yes</v>
          </cell>
          <cell r="N1473" t="str">
            <v>https://panda-windows-and-doors.monday.com/protected_static/21046287/resources/2117433940/219642 DEPOSIT INVOICE.pdf</v>
          </cell>
          <cell r="O1473" t="str">
            <v/>
          </cell>
          <cell r="P1473" t="str">
            <v/>
          </cell>
          <cell r="Q1473" t="str">
            <v/>
          </cell>
          <cell r="R1473" t="str">
            <v/>
          </cell>
          <cell r="S1473" t="str">
            <v/>
          </cell>
          <cell r="T1473" t="str">
            <v>https://panda-windows-and-doors.monday.com/protected_static/21046287/resources/2116821407/2025-05-02 Purchase order - 219642 - (2025-05-02 34_48 AM).pdf</v>
          </cell>
          <cell r="U1473" t="str">
            <v/>
          </cell>
          <cell r="V1473">
            <v>2048</v>
          </cell>
          <cell r="W1473" t="str">
            <v>George Bails Jul 24, 2025 10:23 AM</v>
          </cell>
          <cell r="X1473" t="str">
            <v/>
          </cell>
          <cell r="Y1473">
            <v>45779</v>
          </cell>
          <cell r="Z1473" t="str">
            <v/>
          </cell>
          <cell r="AA1473">
            <v>45826</v>
          </cell>
          <cell r="AB1473" t="str">
            <v>Jayme Truong May 2, 2025 11:10 AM</v>
          </cell>
          <cell r="AC1473">
            <v>45826</v>
          </cell>
          <cell r="AD1473" t="str">
            <v/>
          </cell>
          <cell r="AE1473" t="str">
            <v/>
          </cell>
          <cell r="AF1473">
            <v>45826</v>
          </cell>
          <cell r="AG1473">
            <v>45860</v>
          </cell>
          <cell r="AH1473" t="str">
            <v/>
          </cell>
          <cell r="AI1473" t="str">
            <v/>
          </cell>
        </row>
        <row r="1474">
          <cell r="C1474">
            <v>219644</v>
          </cell>
          <cell r="E1474" t="str">
            <v/>
          </cell>
          <cell r="F1474" t="str">
            <v>All Weather Final</v>
          </cell>
          <cell r="G1474" t="str">
            <v>All Weather Collected</v>
          </cell>
          <cell r="H1474" t="str">
            <v>No</v>
          </cell>
          <cell r="I1474" t="str">
            <v>Alex</v>
          </cell>
          <cell r="J1474" t="str">
            <v/>
          </cell>
          <cell r="K1474" t="str">
            <v/>
          </cell>
          <cell r="L1474" t="str">
            <v/>
          </cell>
          <cell r="M1474" t="str">
            <v>Yes</v>
          </cell>
          <cell r="N1474" t="str">
            <v>https://panda-windows-and-doors.monday.com/protected_static/21046287/resources/2125983826/Deposit Invoice 9631.pdf</v>
          </cell>
          <cell r="O1474" t="str">
            <v/>
          </cell>
          <cell r="P1474" t="str">
            <v/>
          </cell>
          <cell r="Q1474" t="str">
            <v/>
          </cell>
          <cell r="R1474" t="str">
            <v/>
          </cell>
          <cell r="S1474" t="str">
            <v/>
          </cell>
          <cell r="T1474" t="str">
            <v>https://panda-windows-and-doors.monday.com/protected_static/21046287/resources/2117005661/2025-05-02 Purchase order - 219644 - (2025-05-02 43_25 AM).pdf</v>
          </cell>
          <cell r="U1474" t="str">
            <v/>
          </cell>
          <cell r="V1474">
            <v>7177</v>
          </cell>
          <cell r="W1474" t="str">
            <v>George Bails Jul 24, 2025 10:29 AM</v>
          </cell>
          <cell r="X1474" t="str">
            <v/>
          </cell>
          <cell r="Y1474">
            <v>45779</v>
          </cell>
          <cell r="Z1474" t="str">
            <v/>
          </cell>
          <cell r="AA1474">
            <v>45828</v>
          </cell>
          <cell r="AB1474" t="str">
            <v>Jayme Truong May 2, 2025 11:50 AM</v>
          </cell>
          <cell r="AC1474">
            <v>45828</v>
          </cell>
          <cell r="AD1474" t="str">
            <v/>
          </cell>
          <cell r="AE1474" t="str">
            <v/>
          </cell>
          <cell r="AF1474">
            <v>45828</v>
          </cell>
          <cell r="AG1474">
            <v>45860</v>
          </cell>
          <cell r="AH1474" t="str">
            <v/>
          </cell>
          <cell r="AI1474" t="str">
            <v/>
          </cell>
        </row>
        <row r="1475">
          <cell r="C1475">
            <v>219643</v>
          </cell>
          <cell r="E1475" t="str">
            <v/>
          </cell>
          <cell r="F1475" t="str">
            <v>All Weather Final</v>
          </cell>
          <cell r="G1475" t="str">
            <v>All Weather Collected</v>
          </cell>
          <cell r="H1475" t="str">
            <v>No</v>
          </cell>
          <cell r="I1475" t="str">
            <v>Alex</v>
          </cell>
          <cell r="J1475" t="str">
            <v/>
          </cell>
          <cell r="K1475" t="str">
            <v/>
          </cell>
          <cell r="L1475" t="str">
            <v/>
          </cell>
          <cell r="M1475" t="str">
            <v>Yes</v>
          </cell>
          <cell r="N1475" t="str">
            <v>https://panda-windows-and-doors.monday.com/protected_static/21046287/resources/2117493601/219643 DEPOSIT INVOICE.pdf</v>
          </cell>
          <cell r="O1475" t="str">
            <v/>
          </cell>
          <cell r="P1475" t="str">
            <v/>
          </cell>
          <cell r="Q1475" t="str">
            <v/>
          </cell>
          <cell r="R1475" t="str">
            <v/>
          </cell>
          <cell r="S1475" t="str">
            <v/>
          </cell>
          <cell r="T1475" t="str">
            <v>https://panda-windows-and-doors.monday.com/protected_static/21046287/resources/2116901423/2025-05-02 Purchase order - 219643 - (2025-05-02 42_46 AM).pdf</v>
          </cell>
          <cell r="U1475" t="str">
            <v/>
          </cell>
          <cell r="V1475">
            <v>9246.2199999999993</v>
          </cell>
          <cell r="W1475" t="str">
            <v>George Bails Jul 24, 2025 10:28 AM</v>
          </cell>
          <cell r="X1475" t="str">
            <v/>
          </cell>
          <cell r="Y1475">
            <v>45779</v>
          </cell>
          <cell r="Z1475" t="str">
            <v/>
          </cell>
          <cell r="AA1475">
            <v>45832</v>
          </cell>
          <cell r="AB1475" t="str">
            <v>Jayme Truong May 2, 2025 11:26 AM</v>
          </cell>
          <cell r="AC1475">
            <v>45832</v>
          </cell>
          <cell r="AD1475" t="str">
            <v/>
          </cell>
          <cell r="AE1475" t="str">
            <v/>
          </cell>
          <cell r="AF1475">
            <v>45832</v>
          </cell>
          <cell r="AG1475">
            <v>45860</v>
          </cell>
          <cell r="AH1475" t="str">
            <v/>
          </cell>
          <cell r="AI1475" t="str">
            <v/>
          </cell>
        </row>
        <row r="1476">
          <cell r="C1476">
            <v>219641</v>
          </cell>
          <cell r="E1476" t="str">
            <v/>
          </cell>
          <cell r="F1476" t="str">
            <v>All Weather Final</v>
          </cell>
          <cell r="G1476" t="str">
            <v>All Weather Collected</v>
          </cell>
          <cell r="H1476" t="str">
            <v>No</v>
          </cell>
          <cell r="I1476" t="str">
            <v>Alex</v>
          </cell>
          <cell r="J1476" t="str">
            <v/>
          </cell>
          <cell r="K1476" t="str">
            <v/>
          </cell>
          <cell r="L1476" t="str">
            <v/>
          </cell>
          <cell r="M1476" t="str">
            <v>Yes</v>
          </cell>
          <cell r="N1476" t="str">
            <v>https://panda-windows-and-doors.monday.com/protected_static/21046287/resources/2117407856/219641 DEPOSIT INVOICE.pdf</v>
          </cell>
          <cell r="O1476" t="str">
            <v/>
          </cell>
          <cell r="P1476" t="str">
            <v/>
          </cell>
          <cell r="Q1476" t="str">
            <v/>
          </cell>
          <cell r="R1476" t="str">
            <v/>
          </cell>
          <cell r="S1476" t="str">
            <v/>
          </cell>
          <cell r="T1476" t="str">
            <v>https://panda-windows-and-doors.monday.com/protected_static/21046287/resources/2116814022/2025-05-02 Purchase order - 219641 - (2025-05-02 02_02 AM).pdf</v>
          </cell>
          <cell r="U1476" t="str">
            <v/>
          </cell>
          <cell r="V1476">
            <v>13284</v>
          </cell>
          <cell r="W1476" t="str">
            <v>George Bails Jul 24, 2025 10:21 AM</v>
          </cell>
          <cell r="X1476" t="str">
            <v/>
          </cell>
          <cell r="Y1476">
            <v>45779</v>
          </cell>
          <cell r="Z1476" t="str">
            <v/>
          </cell>
          <cell r="AA1476">
            <v>45833</v>
          </cell>
          <cell r="AB1476" t="str">
            <v>Jayme Truong May 2, 2025 11:06 AM</v>
          </cell>
          <cell r="AC1476">
            <v>45833</v>
          </cell>
          <cell r="AD1476" t="str">
            <v/>
          </cell>
          <cell r="AE1476" t="str">
            <v/>
          </cell>
          <cell r="AF1476">
            <v>45833</v>
          </cell>
          <cell r="AG1476">
            <v>45860</v>
          </cell>
          <cell r="AH1476" t="str">
            <v/>
          </cell>
          <cell r="AI1476" t="str">
            <v/>
          </cell>
        </row>
        <row r="1477">
          <cell r="C1477">
            <v>219802</v>
          </cell>
          <cell r="E1477" t="str">
            <v/>
          </cell>
          <cell r="F1477" t="str">
            <v>All Weather Final</v>
          </cell>
          <cell r="G1477" t="str">
            <v>All Weather Collected</v>
          </cell>
          <cell r="H1477" t="str">
            <v>No</v>
          </cell>
          <cell r="I1477" t="str">
            <v>Alex</v>
          </cell>
          <cell r="J1477" t="str">
            <v/>
          </cell>
          <cell r="K1477" t="str">
            <v/>
          </cell>
          <cell r="L1477" t="str">
            <v/>
          </cell>
          <cell r="M1477" t="str">
            <v>Yes</v>
          </cell>
          <cell r="N1477" t="str">
            <v>https://panda-windows-and-doors.monday.com/protected_static/21046287/resources/2169432401/219802 deposit invoice.pdf</v>
          </cell>
          <cell r="O1477" t="str">
            <v/>
          </cell>
          <cell r="P1477" t="str">
            <v/>
          </cell>
          <cell r="Q1477" t="str">
            <v/>
          </cell>
          <cell r="R1477" t="str">
            <v/>
          </cell>
          <cell r="S1477" t="str">
            <v/>
          </cell>
          <cell r="T1477" t="str">
            <v>https://panda-windows-and-doors.monday.com/protected_static/21046287/resources/2169050064/2025-05-23 Purchase order - 219802 - (2025-05-28 42_17 AM).pdf</v>
          </cell>
          <cell r="U1477" t="str">
            <v/>
          </cell>
          <cell r="V1477">
            <v>22435.02</v>
          </cell>
          <cell r="W1477" t="str">
            <v>George Bails Jul 24, 2025 10:30 AM</v>
          </cell>
          <cell r="X1477" t="str">
            <v/>
          </cell>
          <cell r="Y1477">
            <v>45805</v>
          </cell>
          <cell r="Z1477" t="str">
            <v/>
          </cell>
          <cell r="AA1477">
            <v>45833</v>
          </cell>
          <cell r="AB1477" t="str">
            <v>Jayme Truong May 28, 2025 11:27 AM</v>
          </cell>
          <cell r="AC1477">
            <v>45834</v>
          </cell>
          <cell r="AD1477" t="str">
            <v/>
          </cell>
          <cell r="AE1477" t="str">
            <v/>
          </cell>
          <cell r="AF1477" t="str">
            <v/>
          </cell>
          <cell r="AG1477">
            <v>45860</v>
          </cell>
          <cell r="AH1477" t="str">
            <v/>
          </cell>
          <cell r="AI1477" t="str">
            <v/>
          </cell>
        </row>
        <row r="1478">
          <cell r="C1478">
            <v>220003</v>
          </cell>
          <cell r="E1478" t="str">
            <v/>
          </cell>
          <cell r="F1478" t="str">
            <v>All Weather Final</v>
          </cell>
          <cell r="G1478" t="str">
            <v>All Weather Collected</v>
          </cell>
          <cell r="H1478" t="str">
            <v>No</v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  <cell r="M1478" t="str">
            <v>No</v>
          </cell>
          <cell r="N1478" t="str">
            <v/>
          </cell>
          <cell r="O1478" t="str">
            <v/>
          </cell>
          <cell r="P1478" t="str">
            <v/>
          </cell>
          <cell r="Q1478" t="str">
            <v/>
          </cell>
          <cell r="R1478" t="str">
            <v/>
          </cell>
          <cell r="S1478" t="str">
            <v/>
          </cell>
          <cell r="T1478" t="str">
            <v>https://panda-windows-and-doors.monday.com/protected_static/21046287/resources/2275942138/2025-06-24 Purchase order - 220003 - (2025-06-24 13_32 AM).pdf</v>
          </cell>
          <cell r="U1478" t="str">
            <v/>
          </cell>
          <cell r="V1478" t="str">
            <v/>
          </cell>
          <cell r="W1478" t="str">
            <v>Jayme Truong Aug 4, 2025 11:00 AM</v>
          </cell>
          <cell r="X1478" t="str">
            <v/>
          </cell>
          <cell r="Y1478">
            <v>45846</v>
          </cell>
          <cell r="Z1478" t="str">
            <v/>
          </cell>
          <cell r="AA1478">
            <v>45846</v>
          </cell>
          <cell r="AB1478" t="str">
            <v>Jayme Truong Jul 8, 2025 1:35 PM</v>
          </cell>
          <cell r="AC1478">
            <v>45846</v>
          </cell>
          <cell r="AD1478" t="str">
            <v/>
          </cell>
          <cell r="AE1478" t="str">
            <v/>
          </cell>
          <cell r="AF1478">
            <v>45846</v>
          </cell>
          <cell r="AG1478">
            <v>45873</v>
          </cell>
          <cell r="AH1478" t="str">
            <v/>
          </cell>
          <cell r="AI1478" t="str">
            <v/>
          </cell>
        </row>
        <row r="1479">
          <cell r="C1479" t="str">
            <v>220321 parts</v>
          </cell>
          <cell r="E1479" t="str">
            <v/>
          </cell>
          <cell r="F1479" t="str">
            <v>All Weather Final</v>
          </cell>
          <cell r="G1479" t="str">
            <v>All Weather Collected</v>
          </cell>
          <cell r="H1479" t="str">
            <v>No</v>
          </cell>
          <cell r="I1479" t="str">
            <v/>
          </cell>
          <cell r="J1479" t="str">
            <v/>
          </cell>
          <cell r="K1479" t="str">
            <v/>
          </cell>
          <cell r="L1479" t="str">
            <v/>
          </cell>
          <cell r="M1479" t="str">
            <v>No</v>
          </cell>
          <cell r="N1479" t="str">
            <v/>
          </cell>
          <cell r="O1479" t="str">
            <v/>
          </cell>
          <cell r="P1479" t="str">
            <v/>
          </cell>
          <cell r="Q1479" t="str">
            <v/>
          </cell>
          <cell r="R1479" t="str">
            <v/>
          </cell>
          <cell r="S1479" t="str">
            <v/>
          </cell>
          <cell r="T1479" t="str">
            <v>https://panda-windows-and-doors.monday.com/protected_static/21046287/resources/2334108732/2025-08-04 Purchase order - 220321 - (2025-08-04 10_48 AM).pdf</v>
          </cell>
          <cell r="U1479" t="str">
            <v/>
          </cell>
          <cell r="V1479" t="str">
            <v/>
          </cell>
          <cell r="W1479" t="str">
            <v>Jayme Truong Sep 2, 2025 2:53 PM</v>
          </cell>
          <cell r="X1479" t="str">
            <v/>
          </cell>
          <cell r="Y1479">
            <v>45873</v>
          </cell>
          <cell r="Z1479" t="str">
            <v/>
          </cell>
          <cell r="AA1479">
            <v>45874</v>
          </cell>
          <cell r="AB1479" t="str">
            <v>Jayme Truong Aug 4, 2025 1:19 PM</v>
          </cell>
          <cell r="AC1479">
            <v>45874</v>
          </cell>
          <cell r="AD1479" t="str">
            <v/>
          </cell>
          <cell r="AE1479" t="str">
            <v/>
          </cell>
          <cell r="AF1479">
            <v>45874</v>
          </cell>
          <cell r="AG1479">
            <v>45902</v>
          </cell>
          <cell r="AH1479" t="str">
            <v/>
          </cell>
          <cell r="AI1479" t="str">
            <v/>
          </cell>
        </row>
        <row r="1480">
          <cell r="C1480">
            <v>219900</v>
          </cell>
          <cell r="E1480" t="str">
            <v/>
          </cell>
          <cell r="F1480" t="str">
            <v>All Weather Final</v>
          </cell>
          <cell r="G1480" t="str">
            <v>All Weather Collected</v>
          </cell>
          <cell r="H1480" t="str">
            <v>No</v>
          </cell>
          <cell r="I1480" t="str">
            <v>Alex</v>
          </cell>
          <cell r="J1480" t="str">
            <v/>
          </cell>
          <cell r="K1480" t="str">
            <v/>
          </cell>
          <cell r="L1480" t="str">
            <v/>
          </cell>
          <cell r="M1480" t="str">
            <v>Yes</v>
          </cell>
          <cell r="N1480" t="str">
            <v>https://panda-windows-and-doors.monday.com/protected_static/21046287/resources/2197068240/219900 deposit Invoice.pdf</v>
          </cell>
          <cell r="O1480" t="str">
            <v/>
          </cell>
          <cell r="P1480" t="str">
            <v/>
          </cell>
          <cell r="Q1480" t="str">
            <v/>
          </cell>
          <cell r="R1480" t="str">
            <v/>
          </cell>
          <cell r="S1480" t="str">
            <v/>
          </cell>
          <cell r="T1480" t="str">
            <v>https://panda-windows-and-doors.monday.com/protected_static/21046287/resources/2196841143/2025-06-10 Purchase order - 219900 - (2025-06-10 11_08 AM).pdf</v>
          </cell>
          <cell r="U1480" t="str">
            <v/>
          </cell>
          <cell r="V1480">
            <v>10893</v>
          </cell>
          <cell r="W1480" t="str">
            <v>George Bails Sep 4, 2025 8:47 AM</v>
          </cell>
          <cell r="X1480" t="str">
            <v/>
          </cell>
          <cell r="Y1480">
            <v>45818</v>
          </cell>
          <cell r="Z1480" t="str">
            <v/>
          </cell>
          <cell r="AA1480">
            <v>45849</v>
          </cell>
          <cell r="AB1480" t="str">
            <v>Jayme Truong Jun 10, 2025 1:09 PM</v>
          </cell>
          <cell r="AC1480">
            <v>45849</v>
          </cell>
          <cell r="AD1480" t="str">
            <v/>
          </cell>
          <cell r="AE1480" t="str">
            <v/>
          </cell>
          <cell r="AF1480">
            <v>45849</v>
          </cell>
          <cell r="AG1480">
            <v>45902</v>
          </cell>
          <cell r="AH1480" t="str">
            <v/>
          </cell>
          <cell r="AI1480" t="str">
            <v/>
          </cell>
        </row>
        <row r="1481">
          <cell r="C1481">
            <v>220165</v>
          </cell>
          <cell r="E1481" t="str">
            <v/>
          </cell>
          <cell r="F1481" t="str">
            <v>All Weather Final</v>
          </cell>
          <cell r="G1481" t="str">
            <v>All Weather Collected</v>
          </cell>
          <cell r="H1481" t="str">
            <v>No</v>
          </cell>
          <cell r="I1481" t="str">
            <v>Alex</v>
          </cell>
          <cell r="J1481" t="str">
            <v/>
          </cell>
          <cell r="K1481" t="str">
            <v/>
          </cell>
          <cell r="L1481" t="str">
            <v/>
          </cell>
          <cell r="M1481" t="str">
            <v>Yes</v>
          </cell>
          <cell r="N1481" t="str">
            <v>https://panda-windows-and-doors.monday.com/protected_static/21046287/resources/2383029861/220165 - Depsoit Invoice.pdf</v>
          </cell>
          <cell r="O1481" t="str">
            <v/>
          </cell>
          <cell r="P1481" t="str">
            <v/>
          </cell>
          <cell r="Q1481" t="str">
            <v/>
          </cell>
          <cell r="R1481" t="str">
            <v/>
          </cell>
          <cell r="S1481" t="str">
            <v/>
          </cell>
          <cell r="T1481" t="str">
            <v>https://panda-windows-and-doors.monday.com/protected_static/21046287/resources/2291961519/2025-07-15 Purchase order - 220165 - (2025-07-15 46_14 PM).pdf</v>
          </cell>
          <cell r="U1481" t="str">
            <v/>
          </cell>
          <cell r="V1481">
            <v>5984</v>
          </cell>
          <cell r="W1481" t="str">
            <v>George Bails Sep 11, 2025 4:17 PM</v>
          </cell>
          <cell r="X1481" t="str">
            <v/>
          </cell>
          <cell r="Y1481">
            <v>45854</v>
          </cell>
          <cell r="Z1481" t="str">
            <v/>
          </cell>
          <cell r="AA1481">
            <v>45854</v>
          </cell>
          <cell r="AB1481" t="str">
            <v>Jayme Truong Jul 16, 2025 8:34 AM</v>
          </cell>
          <cell r="AC1481">
            <v>45897</v>
          </cell>
          <cell r="AD1481" t="str">
            <v/>
          </cell>
          <cell r="AE1481">
            <v>45897</v>
          </cell>
          <cell r="AF1481">
            <v>45897</v>
          </cell>
          <cell r="AG1481">
            <v>45911</v>
          </cell>
          <cell r="AH1481" t="str">
            <v/>
          </cell>
          <cell r="AI1481" t="str">
            <v/>
          </cell>
        </row>
        <row r="1482">
          <cell r="C1482">
            <v>220163</v>
          </cell>
          <cell r="E1482" t="str">
            <v/>
          </cell>
          <cell r="F1482" t="str">
            <v>All Weather Final</v>
          </cell>
          <cell r="G1482" t="str">
            <v>All Weather Collected</v>
          </cell>
          <cell r="H1482" t="str">
            <v>No</v>
          </cell>
          <cell r="I1482" t="str">
            <v>Alex</v>
          </cell>
          <cell r="J1482" t="str">
            <v/>
          </cell>
          <cell r="K1482" t="str">
            <v/>
          </cell>
          <cell r="L1482" t="str">
            <v/>
          </cell>
          <cell r="M1482" t="str">
            <v>Yes</v>
          </cell>
          <cell r="N1482" t="str">
            <v>https://panda-windows-and-doors.monday.com/protected_static/21046287/resources/2290575771/220163 - Deposit Invoice.pdf</v>
          </cell>
          <cell r="O1482" t="str">
            <v/>
          </cell>
          <cell r="P1482" t="str">
            <v/>
          </cell>
          <cell r="Q1482" t="str">
            <v/>
          </cell>
          <cell r="R1482" t="str">
            <v/>
          </cell>
          <cell r="S1482" t="str">
            <v/>
          </cell>
          <cell r="T1482" t="str">
            <v>https://panda-windows-and-doors.monday.com/protected_static/21046287/resources/2290552710/2025-07-15 Purchase order - 220163 - (2025-07-15 26_23 PM).pdf</v>
          </cell>
          <cell r="U1482" t="str">
            <v/>
          </cell>
          <cell r="V1482">
            <v>10560.01</v>
          </cell>
          <cell r="W1482" t="str">
            <v>George Bails Sep 11, 2025 4:10 PM</v>
          </cell>
          <cell r="X1482" t="str">
            <v/>
          </cell>
          <cell r="Y1482">
            <v>45853</v>
          </cell>
          <cell r="Z1482" t="str">
            <v/>
          </cell>
          <cell r="AA1482">
            <v>45853</v>
          </cell>
          <cell r="AB1482" t="str">
            <v>Jayme Truong Jul 15, 2025 4:20 PM</v>
          </cell>
          <cell r="AC1482">
            <v>45897</v>
          </cell>
          <cell r="AD1482" t="str">
            <v/>
          </cell>
          <cell r="AE1482">
            <v>45897</v>
          </cell>
          <cell r="AF1482">
            <v>45897</v>
          </cell>
          <cell r="AG1482">
            <v>45911</v>
          </cell>
          <cell r="AH1482" t="str">
            <v/>
          </cell>
          <cell r="AI1482" t="str">
            <v/>
          </cell>
        </row>
        <row r="1483">
          <cell r="C1483">
            <v>220162</v>
          </cell>
          <cell r="E1483" t="str">
            <v/>
          </cell>
          <cell r="F1483" t="str">
            <v>All Weather Final</v>
          </cell>
          <cell r="G1483" t="str">
            <v>All Weather Collected</v>
          </cell>
          <cell r="H1483" t="str">
            <v>No</v>
          </cell>
          <cell r="I1483" t="str">
            <v>Alex</v>
          </cell>
          <cell r="J1483" t="str">
            <v/>
          </cell>
          <cell r="K1483" t="str">
            <v/>
          </cell>
          <cell r="L1483" t="str">
            <v/>
          </cell>
          <cell r="M1483" t="str">
            <v>Yes</v>
          </cell>
          <cell r="N1483" t="str">
            <v>https://panda-windows-and-doors.monday.com/protected_static/21046287/resources/2290567137/220162 - Deposit Invoice.pdf</v>
          </cell>
          <cell r="O1483" t="str">
            <v/>
          </cell>
          <cell r="P1483" t="str">
            <v/>
          </cell>
          <cell r="Q1483" t="str">
            <v/>
          </cell>
          <cell r="R1483" t="str">
            <v/>
          </cell>
          <cell r="S1483" t="str">
            <v/>
          </cell>
          <cell r="T1483" t="str">
            <v>https://panda-windows-and-doors.monday.com/protected_static/21046287/resources/2290543382/2025-07-15 Purchase order - 220162 - (2025-07-15 38_10 PM).pdf</v>
          </cell>
          <cell r="U1483" t="str">
            <v/>
          </cell>
          <cell r="V1483">
            <v>20249.009999999998</v>
          </cell>
          <cell r="W1483" t="str">
            <v>George Bails Sep 11, 2025 3:54 PM</v>
          </cell>
          <cell r="X1483" t="str">
            <v/>
          </cell>
          <cell r="Y1483">
            <v>45853</v>
          </cell>
          <cell r="Z1483" t="str">
            <v/>
          </cell>
          <cell r="AA1483">
            <v>45853</v>
          </cell>
          <cell r="AB1483" t="str">
            <v>Jayme Truong Jul 15, 2025 4:15 PM</v>
          </cell>
          <cell r="AC1483">
            <v>45897</v>
          </cell>
          <cell r="AD1483" t="str">
            <v/>
          </cell>
          <cell r="AE1483">
            <v>45897</v>
          </cell>
          <cell r="AF1483">
            <v>45897</v>
          </cell>
          <cell r="AG1483">
            <v>45911</v>
          </cell>
          <cell r="AH1483" t="str">
            <v/>
          </cell>
          <cell r="AI1483" t="str">
            <v/>
          </cell>
        </row>
        <row r="1484">
          <cell r="C1484">
            <v>220048</v>
          </cell>
          <cell r="E1484" t="str">
            <v/>
          </cell>
          <cell r="F1484" t="str">
            <v>All Weather Final</v>
          </cell>
          <cell r="G1484" t="str">
            <v>All Weather Collected</v>
          </cell>
          <cell r="H1484" t="str">
            <v>No</v>
          </cell>
          <cell r="I1484" t="str">
            <v>Alex</v>
          </cell>
          <cell r="J1484" t="str">
            <v/>
          </cell>
          <cell r="K1484" t="str">
            <v/>
          </cell>
          <cell r="L1484" t="str">
            <v/>
          </cell>
          <cell r="M1484" t="str">
            <v>Yes</v>
          </cell>
          <cell r="N1484" t="str">
            <v>https://panda-windows-and-doors.monday.com/protected_static/21046287/resources/2268068984/220048 DEPOSIT INVOICE.pdf</v>
          </cell>
          <cell r="O1484" t="str">
            <v/>
          </cell>
          <cell r="P1484" t="str">
            <v/>
          </cell>
          <cell r="Q1484" t="str">
            <v/>
          </cell>
          <cell r="R1484" t="str">
            <v/>
          </cell>
          <cell r="S1484" t="str">
            <v/>
          </cell>
          <cell r="T1484" t="str">
            <v>https://panda-windows-and-doors.monday.com/protected_static/21046287/resources/2267853583/2025-07-02 Purchase order - 220048 - (2025-07-03 58_38 AM).pdf</v>
          </cell>
          <cell r="U1484">
            <v>0</v>
          </cell>
          <cell r="V1484">
            <v>9706</v>
          </cell>
          <cell r="W1484" t="str">
            <v>Annalene Conde Nov 3, 2025 1:53 PM</v>
          </cell>
          <cell r="X1484" t="str">
            <v/>
          </cell>
          <cell r="Y1484">
            <v>45841</v>
          </cell>
          <cell r="Z1484" t="str">
            <v/>
          </cell>
          <cell r="AA1484">
            <v>45887</v>
          </cell>
          <cell r="AB1484" t="str">
            <v>Jayme Truong Jul 3, 2025 10:30 AM</v>
          </cell>
          <cell r="AC1484">
            <v>45887</v>
          </cell>
          <cell r="AD1484" t="str">
            <v/>
          </cell>
          <cell r="AE1484" t="str">
            <v/>
          </cell>
          <cell r="AF1484">
            <v>45887</v>
          </cell>
          <cell r="AG1484">
            <v>45911</v>
          </cell>
          <cell r="AH1484" t="str">
            <v/>
          </cell>
          <cell r="AI1484" t="str">
            <v/>
          </cell>
        </row>
        <row r="1485">
          <cell r="C1485">
            <v>220098</v>
          </cell>
          <cell r="E1485" t="str">
            <v/>
          </cell>
          <cell r="F1485" t="str">
            <v>All Weather Final</v>
          </cell>
          <cell r="G1485" t="str">
            <v>All Weather Collected</v>
          </cell>
          <cell r="H1485" t="str">
            <v>No</v>
          </cell>
          <cell r="I1485" t="str">
            <v>Alex</v>
          </cell>
          <cell r="J1485" t="str">
            <v/>
          </cell>
          <cell r="K1485" t="str">
            <v/>
          </cell>
          <cell r="L1485" t="str">
            <v/>
          </cell>
          <cell r="M1485" t="str">
            <v>Yes</v>
          </cell>
          <cell r="N1485" t="str">
            <v>https://panda-windows-and-doors.monday.com/protected_static/21046287/resources/2283148257/220098 Deposit Invoice.pdf</v>
          </cell>
          <cell r="O1485" t="str">
            <v/>
          </cell>
          <cell r="P1485" t="str">
            <v/>
          </cell>
          <cell r="Q1485" t="str">
            <v/>
          </cell>
          <cell r="R1485" t="str">
            <v/>
          </cell>
          <cell r="S1485" t="str">
            <v/>
          </cell>
          <cell r="T1485" t="str">
            <v>https://panda-windows-and-doors.monday.com/protected_static/21046287/resources/2283079408/2025-07-09 Purchase order - 220098 - (2025-07-10 37_03 PM).pdf</v>
          </cell>
          <cell r="U1485" t="str">
            <v/>
          </cell>
          <cell r="V1485">
            <v>11383</v>
          </cell>
          <cell r="W1485" t="str">
            <v>Annalene Conde Nov 3, 2025 1:52 PM</v>
          </cell>
          <cell r="X1485" t="str">
            <v/>
          </cell>
          <cell r="Y1485">
            <v>45849</v>
          </cell>
          <cell r="Z1485" t="str">
            <v/>
          </cell>
          <cell r="AA1485">
            <v>45887</v>
          </cell>
          <cell r="AB1485" t="str">
            <v>Jayme Truong Jul 11, 2025 9:43 AM</v>
          </cell>
          <cell r="AC1485">
            <v>45887</v>
          </cell>
          <cell r="AD1485" t="str">
            <v/>
          </cell>
          <cell r="AE1485" t="str">
            <v/>
          </cell>
          <cell r="AF1485">
            <v>45887</v>
          </cell>
          <cell r="AG1485">
            <v>45911</v>
          </cell>
          <cell r="AH1485" t="str">
            <v/>
          </cell>
          <cell r="AI1485" t="str">
            <v/>
          </cell>
        </row>
        <row r="1486">
          <cell r="C1486">
            <v>220131</v>
          </cell>
          <cell r="E1486" t="str">
            <v/>
          </cell>
          <cell r="F1486" t="str">
            <v>All Weather Final</v>
          </cell>
          <cell r="G1486" t="str">
            <v>All Weather Collected</v>
          </cell>
          <cell r="H1486" t="str">
            <v>No</v>
          </cell>
          <cell r="I1486" t="str">
            <v>Alex</v>
          </cell>
          <cell r="J1486" t="str">
            <v/>
          </cell>
          <cell r="K1486" t="str">
            <v/>
          </cell>
          <cell r="L1486" t="str">
            <v/>
          </cell>
          <cell r="M1486" t="str">
            <v>Yes</v>
          </cell>
          <cell r="N1486" t="str">
            <v>https://panda-windows-and-doors.monday.com/protected_static/21046287/resources/2283155984/220131 Deposit Invoice.pdf</v>
          </cell>
          <cell r="O1486" t="str">
            <v/>
          </cell>
          <cell r="P1486" t="str">
            <v/>
          </cell>
          <cell r="Q1486" t="str">
            <v/>
          </cell>
          <cell r="R1486" t="str">
            <v/>
          </cell>
          <cell r="S1486" t="str">
            <v/>
          </cell>
          <cell r="T1486" t="str">
            <v>https://panda-windows-and-doors.monday.com/protected_static/21046287/resources/2282898567/2025-07-10 Purchase order - 220131 - (2025-07-10 04_39 PM).pdf</v>
          </cell>
          <cell r="U1486" t="str">
            <v/>
          </cell>
          <cell r="V1486">
            <v>8322</v>
          </cell>
          <cell r="W1486" t="str">
            <v>Annalene Conde Nov 3, 2025 1:52 PM</v>
          </cell>
          <cell r="X1486" t="str">
            <v/>
          </cell>
          <cell r="Y1486">
            <v>45849</v>
          </cell>
          <cell r="Z1486" t="str">
            <v/>
          </cell>
          <cell r="AA1486">
            <v>45849</v>
          </cell>
          <cell r="AB1486" t="str">
            <v>Jayme Truong Jul 11, 2025 8:30 AM</v>
          </cell>
          <cell r="AC1486">
            <v>45903</v>
          </cell>
          <cell r="AD1486" t="str">
            <v/>
          </cell>
          <cell r="AE1486" t="str">
            <v/>
          </cell>
          <cell r="AF1486">
            <v>45903</v>
          </cell>
          <cell r="AG1486">
            <v>45922</v>
          </cell>
          <cell r="AH1486" t="str">
            <v/>
          </cell>
          <cell r="AI1486" t="str">
            <v/>
          </cell>
        </row>
        <row r="1487">
          <cell r="C1487">
            <v>220333</v>
          </cell>
          <cell r="E1487" t="str">
            <v/>
          </cell>
          <cell r="F1487" t="str">
            <v>All Weather Final</v>
          </cell>
          <cell r="G1487" t="str">
            <v>All Weather Collected</v>
          </cell>
          <cell r="H1487" t="str">
            <v>No</v>
          </cell>
          <cell r="I1487" t="str">
            <v>Alex</v>
          </cell>
          <cell r="J1487" t="str">
            <v/>
          </cell>
          <cell r="K1487" t="str">
            <v/>
          </cell>
          <cell r="L1487" t="str">
            <v/>
          </cell>
          <cell r="M1487" t="str">
            <v>Yes</v>
          </cell>
          <cell r="N1487" t="str">
            <v>https://panda-windows-and-doors.monday.com/protected_static/21046287/resources/2336198140/220333 Deposit Invoice.pdf</v>
          </cell>
          <cell r="O1487" t="str">
            <v/>
          </cell>
          <cell r="P1487" t="str">
            <v/>
          </cell>
          <cell r="Q1487" t="str">
            <v/>
          </cell>
          <cell r="R1487" t="str">
            <v/>
          </cell>
          <cell r="S1487" t="str">
            <v/>
          </cell>
          <cell r="T1487" t="str">
            <v>https://panda-windows-and-doors.monday.com/protected_static/21046287/resources/2334408734/2025-08-05 Purchase order - 220333 - (2025-08-05 47_59 AM).pdf, https://panda-windows-and-doors.monday.com/protected_static/21046287/resources/2335874386/2025-08-05 Purchase order - 220333 - (2025-08-05 47_59 AM).pdf</v>
          </cell>
          <cell r="U1487" t="str">
            <v/>
          </cell>
          <cell r="V1487">
            <v>14405.01</v>
          </cell>
          <cell r="W1487" t="str">
            <v>Sean Lopez Mar 17, 2026 8:28 AM</v>
          </cell>
          <cell r="X1487" t="str">
            <v/>
          </cell>
          <cell r="Y1487">
            <v>45874</v>
          </cell>
          <cell r="Z1487" t="str">
            <v/>
          </cell>
          <cell r="AA1487">
            <v>45875</v>
          </cell>
          <cell r="AB1487" t="str">
            <v>Jayme Truong Aug 5, 2025 3:50 PM</v>
          </cell>
          <cell r="AC1487">
            <v>45911</v>
          </cell>
          <cell r="AD1487" t="str">
            <v/>
          </cell>
          <cell r="AE1487" t="str">
            <v/>
          </cell>
          <cell r="AF1487">
            <v>45911</v>
          </cell>
          <cell r="AG1487">
            <v>45933</v>
          </cell>
          <cell r="AH1487" t="str">
            <v/>
          </cell>
          <cell r="AI1487" t="str">
            <v/>
          </cell>
        </row>
        <row r="1488">
          <cell r="C1488">
            <v>220438</v>
          </cell>
          <cell r="E1488" t="str">
            <v/>
          </cell>
          <cell r="F1488" t="str">
            <v>All Weather Final</v>
          </cell>
          <cell r="G1488" t="str">
            <v>All Weather Collected</v>
          </cell>
          <cell r="H1488" t="str">
            <v>No</v>
          </cell>
          <cell r="I1488" t="str">
            <v>Alex</v>
          </cell>
          <cell r="J1488" t="str">
            <v/>
          </cell>
          <cell r="K1488" t="str">
            <v/>
          </cell>
          <cell r="L1488" t="str">
            <v/>
          </cell>
          <cell r="M1488" t="str">
            <v>Yes</v>
          </cell>
          <cell r="N1488" t="str">
            <v>https://panda-windows-and-doors.monday.com/protected_static/21046287/resources/2363473090/220438 Deposit Invoice.pdf</v>
          </cell>
          <cell r="O1488" t="str">
            <v/>
          </cell>
          <cell r="P1488" t="str">
            <v/>
          </cell>
          <cell r="Q1488" t="str">
            <v/>
          </cell>
          <cell r="R1488" t="str">
            <v/>
          </cell>
          <cell r="S1488" t="str">
            <v/>
          </cell>
          <cell r="T1488" t="str">
            <v>https://panda-windows-and-doors.monday.com/protected_static/21046287/resources/2363227171/2025-08-19 Purchase order - 220438 - (2025-08-19 52_26 PM).pdf</v>
          </cell>
          <cell r="U1488" t="str">
            <v/>
          </cell>
          <cell r="V1488">
            <v>21615</v>
          </cell>
          <cell r="W1488" t="str">
            <v>Annalene Conde Nov 3, 2025 1:52 PM</v>
          </cell>
          <cell r="X1488" t="str">
            <v/>
          </cell>
          <cell r="Y1488">
            <v>45888</v>
          </cell>
          <cell r="Z1488" t="str">
            <v/>
          </cell>
          <cell r="AA1488">
            <v>45888</v>
          </cell>
          <cell r="AB1488" t="str">
            <v>Jayme Truong Aug 19, 2025 2:45 PM</v>
          </cell>
          <cell r="AC1488">
            <v>45925</v>
          </cell>
          <cell r="AD1488" t="str">
            <v/>
          </cell>
          <cell r="AE1488" t="str">
            <v/>
          </cell>
          <cell r="AF1488">
            <v>45925</v>
          </cell>
          <cell r="AG1488">
            <v>45933</v>
          </cell>
          <cell r="AH1488" t="str">
            <v/>
          </cell>
          <cell r="AI1488" t="str">
            <v/>
          </cell>
        </row>
        <row r="1489">
          <cell r="C1489">
            <v>220591</v>
          </cell>
          <cell r="E1489" t="str">
            <v/>
          </cell>
          <cell r="F1489" t="str">
            <v>All Weather Final</v>
          </cell>
          <cell r="G1489" t="str">
            <v>All Weather Collected</v>
          </cell>
          <cell r="H1489" t="str">
            <v>No</v>
          </cell>
          <cell r="I1489" t="str">
            <v>Alex</v>
          </cell>
          <cell r="J1489" t="str">
            <v/>
          </cell>
          <cell r="K1489" t="str">
            <v/>
          </cell>
          <cell r="L1489" t="str">
            <v/>
          </cell>
          <cell r="M1489" t="str">
            <v>Yes</v>
          </cell>
          <cell r="N1489" t="str">
            <v>https://panda-windows-and-doors.monday.com/protected_static/21046287/resources/2414642219/220591 Deposit Invoice.pdf</v>
          </cell>
          <cell r="O1489" t="str">
            <v/>
          </cell>
          <cell r="P1489" t="str">
            <v/>
          </cell>
          <cell r="Q1489" t="str">
            <v/>
          </cell>
          <cell r="R1489" t="str">
            <v/>
          </cell>
          <cell r="S1489" t="str">
            <v/>
          </cell>
          <cell r="T1489" t="str">
            <v>https://panda-windows-and-doors.monday.com/protected_static/21046287/resources/2411704843/2025-09-10 Purchase order - 220591 - (2025-09-10 31_50 PM).pdf, https://panda-windows-and-doors.monday.com/protected_static/21046287/resources/2488835465/2025-09-10 Purchase order - 220591 - (2025-09-10 31_50 PM).pdf</v>
          </cell>
          <cell r="U1489" t="str">
            <v/>
          </cell>
          <cell r="V1489">
            <v>3470</v>
          </cell>
          <cell r="W1489" t="str">
            <v>George Bails Nov 4, 2025 2:04 PM</v>
          </cell>
          <cell r="X1489" t="str">
            <v/>
          </cell>
          <cell r="Y1489">
            <v>45910</v>
          </cell>
          <cell r="Z1489" t="str">
            <v/>
          </cell>
          <cell r="AA1489">
            <v>45910</v>
          </cell>
          <cell r="AB1489" t="str">
            <v>Jayme Truong Sep 10, 2025 4:08 PM</v>
          </cell>
          <cell r="AC1489">
            <v>45946</v>
          </cell>
          <cell r="AD1489" t="str">
            <v/>
          </cell>
          <cell r="AE1489" t="str">
            <v/>
          </cell>
          <cell r="AF1489">
            <v>45946</v>
          </cell>
          <cell r="AG1489">
            <v>45964</v>
          </cell>
          <cell r="AH1489" t="str">
            <v/>
          </cell>
          <cell r="AI1489" t="str">
            <v/>
          </cell>
        </row>
        <row r="1490">
          <cell r="C1490">
            <v>220439</v>
          </cell>
          <cell r="E1490" t="str">
            <v/>
          </cell>
          <cell r="F1490" t="str">
            <v>All Weather Final</v>
          </cell>
          <cell r="G1490" t="str">
            <v>All Weather Collected</v>
          </cell>
          <cell r="H1490" t="str">
            <v>No</v>
          </cell>
          <cell r="I1490" t="str">
            <v>Alex</v>
          </cell>
          <cell r="J1490" t="str">
            <v/>
          </cell>
          <cell r="K1490" t="str">
            <v/>
          </cell>
          <cell r="L1490" t="str">
            <v/>
          </cell>
          <cell r="M1490" t="str">
            <v>Yes</v>
          </cell>
          <cell r="N1490" t="str">
            <v>https://panda-windows-and-doors.monday.com/protected_static/21046287/resources/2368565354/220439 Deposit Invoice.pdf</v>
          </cell>
          <cell r="O1490" t="str">
            <v/>
          </cell>
          <cell r="P1490" t="str">
            <v/>
          </cell>
          <cell r="Q1490" t="str">
            <v/>
          </cell>
          <cell r="R1490" t="str">
            <v/>
          </cell>
          <cell r="S1490" t="str">
            <v/>
          </cell>
          <cell r="T1490" t="str">
            <v>https://panda-windows-and-doors.monday.com/protected_static/21046287/resources/2368132529/2025-08-19 Purchase order - 220439 - (2025-08-21 52_14 AM).pdf, https://panda-windows-and-doors.monday.com/protected_static/21046287/resources/2368372247/2025-08-19 Purchase order - 220439 - (2025-08-21 52_14 AM).pdf, https://panda-windows-and-doors.monday.com/protected_static/21046287/resources/2462665990/2025-08-19 Purchase order - 220439 - (2025-08-21 52_14 AM).pdf_2025-08-19 Purchase order - 220439 - (2025-08-21 52_14 AM).pdf</v>
          </cell>
          <cell r="U1490" t="str">
            <v/>
          </cell>
          <cell r="V1490">
            <v>18094</v>
          </cell>
          <cell r="W1490" t="str">
            <v>George Bails Nov 4, 2025 2:05 PM</v>
          </cell>
          <cell r="X1490" t="str">
            <v/>
          </cell>
          <cell r="Y1490">
            <v>45888</v>
          </cell>
          <cell r="Z1490" t="str">
            <v/>
          </cell>
          <cell r="AA1490">
            <v>45890</v>
          </cell>
          <cell r="AB1490" t="str">
            <v>Jayme Truong Aug 19, 2025 3:14 PM</v>
          </cell>
          <cell r="AC1490">
            <v>45933</v>
          </cell>
          <cell r="AD1490" t="str">
            <v/>
          </cell>
          <cell r="AE1490" t="str">
            <v/>
          </cell>
          <cell r="AF1490">
            <v>45933</v>
          </cell>
          <cell r="AG1490">
            <v>45964</v>
          </cell>
          <cell r="AH1490" t="str">
            <v/>
          </cell>
          <cell r="AI1490" t="str">
            <v/>
          </cell>
        </row>
        <row r="1491">
          <cell r="C1491" t="str">
            <v>220965 parts</v>
          </cell>
          <cell r="E1491" t="str">
            <v/>
          </cell>
          <cell r="F1491" t="str">
            <v>All Weather Final</v>
          </cell>
          <cell r="G1491" t="str">
            <v>All Weather Collected</v>
          </cell>
          <cell r="H1491" t="str">
            <v>No</v>
          </cell>
          <cell r="I1491" t="str">
            <v/>
          </cell>
          <cell r="J1491" t="str">
            <v/>
          </cell>
          <cell r="K1491" t="str">
            <v/>
          </cell>
          <cell r="L1491" t="str">
            <v/>
          </cell>
          <cell r="M1491" t="str">
            <v>No</v>
          </cell>
          <cell r="N1491" t="str">
            <v/>
          </cell>
          <cell r="O1491" t="str">
            <v/>
          </cell>
          <cell r="P1491" t="str">
            <v/>
          </cell>
          <cell r="Q1491" t="str">
            <v/>
          </cell>
          <cell r="R1491" t="str">
            <v/>
          </cell>
          <cell r="S1491" t="str">
            <v/>
          </cell>
          <cell r="T1491" t="str">
            <v>https://panda-windows-and-doors.monday.com/protected_static/21046287/resources/2499746988/2025-10-16 Purchase order - 220965 - (2025-10-16 16_39 AM).pdf</v>
          </cell>
          <cell r="U1491" t="str">
            <v/>
          </cell>
          <cell r="V1491" t="str">
            <v/>
          </cell>
          <cell r="W1491" t="str">
            <v>Annalene Conde Nov 3, 2025 1:48 PM</v>
          </cell>
          <cell r="X1491" t="str">
            <v/>
          </cell>
          <cell r="Y1491">
            <v>45950</v>
          </cell>
          <cell r="Z1491" t="str">
            <v/>
          </cell>
          <cell r="AA1491">
            <v>45951</v>
          </cell>
          <cell r="AB1491" t="str">
            <v>Annalene Conde Oct 20, 2025 2:44 PM</v>
          </cell>
          <cell r="AC1491">
            <v>45951</v>
          </cell>
          <cell r="AD1491" t="str">
            <v/>
          </cell>
          <cell r="AE1491" t="str">
            <v/>
          </cell>
          <cell r="AF1491">
            <v>45951</v>
          </cell>
          <cell r="AG1491">
            <v>45964</v>
          </cell>
          <cell r="AH1491" t="str">
            <v/>
          </cell>
          <cell r="AI1491" t="str">
            <v/>
          </cell>
        </row>
        <row r="1492">
          <cell r="C1492">
            <v>221108</v>
          </cell>
          <cell r="E1492" t="str">
            <v/>
          </cell>
          <cell r="F1492" t="str">
            <v>All Weather Final</v>
          </cell>
          <cell r="G1492" t="str">
            <v>All Weather Collected</v>
          </cell>
          <cell r="H1492" t="str">
            <v>No</v>
          </cell>
          <cell r="I1492" t="str">
            <v>Alex</v>
          </cell>
          <cell r="J1492" t="str">
            <v/>
          </cell>
          <cell r="K1492" t="str">
            <v/>
          </cell>
          <cell r="L1492" t="str">
            <v/>
          </cell>
          <cell r="M1492" t="str">
            <v>Yes</v>
          </cell>
          <cell r="N1492" t="str">
            <v>https://panda-windows-and-doors.monday.com/protected_static/21046287/resources/2524652120/221108 Deposit Invoice.pdf</v>
          </cell>
          <cell r="O1492" t="str">
            <v/>
          </cell>
          <cell r="P1492" t="str">
            <v/>
          </cell>
          <cell r="Q1492" t="str">
            <v/>
          </cell>
          <cell r="R1492" t="str">
            <v/>
          </cell>
          <cell r="S1492" t="str">
            <v/>
          </cell>
          <cell r="T1492" t="str">
            <v>https://panda-windows-and-doors.monday.com/protected_static/21046287/resources/2524098864/221108 - 21403.pdf, https://panda-windows-and-doors.monday.com/protected_static/21046287/resources/2524623436/221108 - 21403.pdf, https://panda-windows-and-doors.monday.com/protected_static/21046287/resources/2524634852/10312025_Purchase Order_ 221108.pdf, https://panda-windows-and-doors.monday.com/protected_static/21046287/resources/2571848153/221108 - 21403.pdf_221108 - 21403.pdf_10312025_Purchase Order_ 221108.pdf</v>
          </cell>
          <cell r="U1492" t="str">
            <v/>
          </cell>
          <cell r="V1492">
            <v>9212</v>
          </cell>
          <cell r="W1492" t="str">
            <v>George Bails Dec 15, 2025 8:20 AM</v>
          </cell>
          <cell r="X1492" t="str">
            <v/>
          </cell>
          <cell r="Y1492">
            <v>45961</v>
          </cell>
          <cell r="Z1492" t="str">
            <v/>
          </cell>
          <cell r="AA1492">
            <v>45961</v>
          </cell>
          <cell r="AB1492" t="str">
            <v>Annalene Conde Oct 31, 2025 8:41 AM</v>
          </cell>
          <cell r="AC1492">
            <v>45982</v>
          </cell>
          <cell r="AD1492" t="str">
            <v/>
          </cell>
          <cell r="AE1492" t="str">
            <v/>
          </cell>
          <cell r="AF1492">
            <v>45982</v>
          </cell>
          <cell r="AG1492">
            <v>46003</v>
          </cell>
          <cell r="AH1492" t="str">
            <v/>
          </cell>
          <cell r="AI1492" t="str">
            <v/>
          </cell>
        </row>
        <row r="1493">
          <cell r="C1493" t="str">
            <v>221168-S</v>
          </cell>
          <cell r="E1493" t="str">
            <v/>
          </cell>
          <cell r="F1493" t="str">
            <v>All Weather Final</v>
          </cell>
          <cell r="G1493" t="str">
            <v>All Weather Collected</v>
          </cell>
          <cell r="H1493" t="str">
            <v>No</v>
          </cell>
          <cell r="I1493" t="str">
            <v/>
          </cell>
          <cell r="J1493" t="str">
            <v/>
          </cell>
          <cell r="K1493" t="str">
            <v/>
          </cell>
          <cell r="L1493" t="str">
            <v/>
          </cell>
          <cell r="M1493" t="str">
            <v>No</v>
          </cell>
          <cell r="N1493" t="str">
            <v>https://panda-windows-and-doors.monday.com/protected_static/21046287/resources/2562684284/221168 Deposit Invoice.pdf</v>
          </cell>
          <cell r="O1493" t="str">
            <v/>
          </cell>
          <cell r="P1493" t="str">
            <v/>
          </cell>
          <cell r="Q1493" t="str">
            <v/>
          </cell>
          <cell r="R1493" t="str">
            <v/>
          </cell>
          <cell r="S1493" t="str">
            <v/>
          </cell>
          <cell r="T1493" t="str">
            <v>https://panda-windows-and-doors.monday.com/protected_static/21046287/resources/2560021273/2025-11-07 Purchase order - 221168 - (2025-11-07 54_53 AM).pdf</v>
          </cell>
          <cell r="U1493" t="str">
            <v/>
          </cell>
          <cell r="V1493">
            <v>983</v>
          </cell>
          <cell r="W1493" t="str">
            <v>Jayme Truong Dec 12, 2025 10:25 AM</v>
          </cell>
          <cell r="X1493" t="str">
            <v/>
          </cell>
          <cell r="Y1493">
            <v>45968</v>
          </cell>
          <cell r="Z1493" t="str">
            <v/>
          </cell>
          <cell r="AA1493">
            <v>45978</v>
          </cell>
          <cell r="AB1493" t="str">
            <v>Annalene Conde Nov 7, 2025 1:51 PM</v>
          </cell>
          <cell r="AC1493">
            <v>45979</v>
          </cell>
          <cell r="AD1493" t="str">
            <v/>
          </cell>
          <cell r="AE1493" t="str">
            <v/>
          </cell>
          <cell r="AF1493">
            <v>45979</v>
          </cell>
          <cell r="AG1493">
            <v>46003</v>
          </cell>
          <cell r="AH1493" t="str">
            <v/>
          </cell>
          <cell r="AI1493" t="str">
            <v/>
          </cell>
        </row>
        <row r="1494">
          <cell r="C1494" t="str">
            <v>221243 - parts</v>
          </cell>
          <cell r="E1494" t="str">
            <v/>
          </cell>
          <cell r="F1494" t="str">
            <v>All Weather Final</v>
          </cell>
          <cell r="G1494" t="str">
            <v>All Weather Collected</v>
          </cell>
          <cell r="H1494" t="str">
            <v>No</v>
          </cell>
          <cell r="I1494" t="str">
            <v/>
          </cell>
          <cell r="J1494" t="str">
            <v/>
          </cell>
          <cell r="K1494" t="str">
            <v/>
          </cell>
          <cell r="L1494" t="str">
            <v/>
          </cell>
          <cell r="M1494" t="str">
            <v>No</v>
          </cell>
          <cell r="N1494" t="str">
            <v>https://panda-windows-and-doors.monday.com/protected_static/21046287/resources/2569387952/221243 Deposit Invoice.pdf</v>
          </cell>
          <cell r="O1494" t="str">
            <v/>
          </cell>
          <cell r="P1494" t="str">
            <v/>
          </cell>
          <cell r="Q1494" t="str">
            <v/>
          </cell>
          <cell r="R1494" t="str">
            <v/>
          </cell>
          <cell r="S1494" t="str">
            <v/>
          </cell>
          <cell r="T1494" t="str">
            <v>https://panda-windows-and-doors.monday.com/protected_static/21046287/resources/2569017093/2025-11-19 Purchase order - 221243 - (2025-11-19 30_09 AM).pdf, https://panda-windows-and-doors.monday.com/protected_static/21046287/resources/2569271005/2025-11-19 Purchase order - 221243 - (2025-11-19 30_09 AM).pdf</v>
          </cell>
          <cell r="U1494" t="str">
            <v/>
          </cell>
          <cell r="V1494">
            <v>874</v>
          </cell>
          <cell r="W1494" t="str">
            <v>Jayme Truong Dec 12, 2025 10:27 AM</v>
          </cell>
          <cell r="X1494" t="str">
            <v/>
          </cell>
          <cell r="Y1494">
            <v>45981</v>
          </cell>
          <cell r="Z1494" t="str">
            <v/>
          </cell>
          <cell r="AA1494">
            <v>45981</v>
          </cell>
          <cell r="AB1494" t="str">
            <v>Annalene Conde Nov 20, 2025 12:18 PM</v>
          </cell>
          <cell r="AC1494">
            <v>45981</v>
          </cell>
          <cell r="AD1494" t="str">
            <v/>
          </cell>
          <cell r="AE1494" t="str">
            <v/>
          </cell>
          <cell r="AF1494">
            <v>45981</v>
          </cell>
          <cell r="AG1494">
            <v>46003</v>
          </cell>
          <cell r="AH1494" t="str">
            <v/>
          </cell>
          <cell r="AI1494" t="str">
            <v/>
          </cell>
        </row>
        <row r="1495">
          <cell r="C1495">
            <v>220964</v>
          </cell>
          <cell r="E1495" t="str">
            <v/>
          </cell>
          <cell r="F1495" t="str">
            <v>All Weather Final</v>
          </cell>
          <cell r="G1495" t="str">
            <v>All Weather Collected</v>
          </cell>
          <cell r="H1495" t="str">
            <v>No</v>
          </cell>
          <cell r="I1495" t="str">
            <v>Alex</v>
          </cell>
          <cell r="J1495" t="str">
            <v/>
          </cell>
          <cell r="K1495" t="str">
            <v/>
          </cell>
          <cell r="L1495" t="str">
            <v/>
          </cell>
          <cell r="M1495" t="str">
            <v>Yes</v>
          </cell>
          <cell r="N1495" t="str">
            <v>https://panda-windows-and-doors.monday.com/protected_static/21046287/resources/2493620783/220964 Deposit Invoice.pdf</v>
          </cell>
          <cell r="O1495" t="str">
            <v/>
          </cell>
          <cell r="P1495" t="str">
            <v/>
          </cell>
          <cell r="Q1495" t="str">
            <v/>
          </cell>
          <cell r="R1495" t="str">
            <v/>
          </cell>
          <cell r="S1495" t="str">
            <v/>
          </cell>
          <cell r="T1495" t="str">
            <v>https://panda-windows-and-doors.monday.com/protected_static/21046287/resources/2491074489/2025-10-16 Purchase order - 220964 - (2025-10-16 57_12 AM).pdf, https://panda-windows-and-doors.monday.com/protected_static/21046287/resources/2493568971/2025-10-16 Purchase order - 220964 - (2025-10-16 57_12 AM).pdf, https://panda-windows-and-doors.monday.com/protected_static/21046287/resources/2556581272/2025-10-16 Purchase order - 220964 - (2025-10-16 57_12 AM).pdf_2025-10-16 Purchase order - 220964 - (2025-10-16 57_12 AM).pdf</v>
          </cell>
          <cell r="U1495" t="str">
            <v/>
          </cell>
          <cell r="V1495">
            <v>9082</v>
          </cell>
          <cell r="W1495" t="str">
            <v>George Bails Dec 15, 2025 8:21 AM</v>
          </cell>
          <cell r="X1495" t="str">
            <v/>
          </cell>
          <cell r="Y1495">
            <v>45946</v>
          </cell>
          <cell r="Z1495" t="str">
            <v/>
          </cell>
          <cell r="AA1495">
            <v>45946</v>
          </cell>
          <cell r="AB1495" t="str">
            <v>Annalene Conde Oct 16, 2025 11:28 AM</v>
          </cell>
          <cell r="AC1495">
            <v>45975</v>
          </cell>
          <cell r="AD1495" t="str">
            <v/>
          </cell>
          <cell r="AE1495" t="str">
            <v/>
          </cell>
          <cell r="AF1495">
            <v>45950</v>
          </cell>
          <cell r="AG1495">
            <v>46003</v>
          </cell>
          <cell r="AH1495" t="str">
            <v/>
          </cell>
          <cell r="AI1495" t="str">
            <v/>
          </cell>
        </row>
        <row r="1496">
          <cell r="C1496" t="str">
            <v>220966 parts</v>
          </cell>
          <cell r="E1496" t="str">
            <v/>
          </cell>
          <cell r="F1496" t="str">
            <v>All Weather Final</v>
          </cell>
          <cell r="G1496" t="str">
            <v>All Weather Collected</v>
          </cell>
          <cell r="H1496" t="str">
            <v>No</v>
          </cell>
          <cell r="I1496" t="str">
            <v/>
          </cell>
          <cell r="J1496" t="str">
            <v/>
          </cell>
          <cell r="K1496" t="str">
            <v/>
          </cell>
          <cell r="L1496" t="str">
            <v/>
          </cell>
          <cell r="M1496" t="str">
            <v/>
          </cell>
          <cell r="N1496" t="str">
            <v/>
          </cell>
          <cell r="O1496" t="str">
            <v/>
          </cell>
          <cell r="P1496" t="str">
            <v/>
          </cell>
          <cell r="Q1496" t="str">
            <v/>
          </cell>
          <cell r="R1496" t="str">
            <v/>
          </cell>
          <cell r="S1496" t="str">
            <v/>
          </cell>
          <cell r="T1496" t="str">
            <v>https://panda-windows-and-doors.monday.com/protected_static/21046287/resources/2505664261/2025-10-16 Purchase order - 220966 - (2025-10-16 34_44 AM).pdf</v>
          </cell>
          <cell r="U1496" t="str">
            <v/>
          </cell>
          <cell r="V1496">
            <v>600</v>
          </cell>
          <cell r="W1496" t="str">
            <v>Annalene Conde Feb 24, 2026 9:46 AM</v>
          </cell>
          <cell r="X1496" t="str">
            <v/>
          </cell>
          <cell r="Y1496">
            <v>45953</v>
          </cell>
          <cell r="Z1496" t="str">
            <v/>
          </cell>
          <cell r="AA1496">
            <v>45953</v>
          </cell>
          <cell r="AB1496" t="str">
            <v>Annalene Conde Oct 23, 2025 8:58 AM</v>
          </cell>
          <cell r="AC1496">
            <v>45953</v>
          </cell>
          <cell r="AD1496" t="str">
            <v/>
          </cell>
          <cell r="AE1496" t="str">
            <v/>
          </cell>
          <cell r="AF1496">
            <v>45953</v>
          </cell>
          <cell r="AG1496">
            <v>46077</v>
          </cell>
          <cell r="AH1496" t="str">
            <v/>
          </cell>
          <cell r="AI1496" t="str">
            <v/>
          </cell>
        </row>
        <row r="1497">
          <cell r="C1497">
            <v>220745</v>
          </cell>
          <cell r="E1497" t="str">
            <v/>
          </cell>
          <cell r="F1497" t="str">
            <v>All Weather Final</v>
          </cell>
          <cell r="G1497" t="str">
            <v>All Weather Collected</v>
          </cell>
          <cell r="H1497" t="str">
            <v>No</v>
          </cell>
          <cell r="I1497" t="str">
            <v>Alex</v>
          </cell>
          <cell r="J1497" t="str">
            <v/>
          </cell>
          <cell r="K1497" t="str">
            <v/>
          </cell>
          <cell r="L1497" t="str">
            <v/>
          </cell>
          <cell r="M1497" t="str">
            <v>Yes</v>
          </cell>
          <cell r="N1497" t="str">
            <v>https://panda-windows-and-doors.monday.com/protected_static/21046287/resources/2446188526/220745 deposit invoice.pdf</v>
          </cell>
          <cell r="O1497" t="str">
            <v/>
          </cell>
          <cell r="P1497" t="str">
            <v/>
          </cell>
          <cell r="Q1497" t="str">
            <v/>
          </cell>
          <cell r="R1497" t="str">
            <v/>
          </cell>
          <cell r="S1497" t="str">
            <v/>
          </cell>
          <cell r="T1497" t="str">
            <v>https://panda-windows-and-doors.monday.com/protected_static/21046287/resources/2445950284/2025-09-25 Purchase order - 220745 - (2025-09-25 32_30 PM).pdf, https://panda-windows-and-doors.monday.com/protected_static/21046287/resources/2550795514/2025-09-25 Purchase order - 220745 - (2025-09-25 32_30 PM).pdf</v>
          </cell>
          <cell r="U1497" t="str">
            <v/>
          </cell>
          <cell r="V1497">
            <v>12914</v>
          </cell>
          <cell r="W1497" t="str">
            <v>Annalene Conde Feb 24, 2026 9:46 AM</v>
          </cell>
          <cell r="X1497" t="str">
            <v/>
          </cell>
          <cell r="Y1497">
            <v>45926</v>
          </cell>
          <cell r="Z1497" t="str">
            <v/>
          </cell>
          <cell r="AA1497">
            <v>45926</v>
          </cell>
          <cell r="AB1497" t="str">
            <v>Jayme Truong Sep 26, 2025 9:28 AM</v>
          </cell>
          <cell r="AC1497">
            <v>45973</v>
          </cell>
          <cell r="AD1497" t="str">
            <v/>
          </cell>
          <cell r="AE1497" t="str">
            <v/>
          </cell>
          <cell r="AF1497">
            <v>45973</v>
          </cell>
          <cell r="AG1497">
            <v>46077</v>
          </cell>
          <cell r="AH1497" t="str">
            <v/>
          </cell>
          <cell r="AI1497" t="str">
            <v/>
          </cell>
        </row>
        <row r="1498">
          <cell r="C1498">
            <v>220710</v>
          </cell>
          <cell r="E1498" t="str">
            <v/>
          </cell>
          <cell r="F1498" t="str">
            <v>All Weather Final</v>
          </cell>
          <cell r="G1498" t="str">
            <v>All Weather Collected</v>
          </cell>
          <cell r="H1498" t="str">
            <v>No</v>
          </cell>
          <cell r="I1498" t="str">
            <v>Alex</v>
          </cell>
          <cell r="J1498" t="str">
            <v/>
          </cell>
          <cell r="K1498" t="str">
            <v/>
          </cell>
          <cell r="L1498" t="str">
            <v/>
          </cell>
          <cell r="M1498" t="str">
            <v>Yes</v>
          </cell>
          <cell r="N1498" t="str">
            <v>https://panda-windows-and-doors.monday.com/protected_static/21046287/resources/2438152520/220710 deposit invoice.pdf</v>
          </cell>
          <cell r="O1498" t="str">
            <v/>
          </cell>
          <cell r="P1498" t="str">
            <v/>
          </cell>
          <cell r="Q1498" t="str">
            <v/>
          </cell>
          <cell r="R1498" t="str">
            <v/>
          </cell>
          <cell r="S1498" t="str">
            <v/>
          </cell>
          <cell r="T1498" t="str">
            <v>https://panda-windows-and-doors.monday.com/protected_static/21046287/resources/2437842824/2025-09-23 Purchase order - 220710 - (2025-09-23 46_56 AM).pdf, https://panda-windows-and-doors.monday.com/protected_static/21046287/resources/2547340496/2025-09-23 Purchase order - 220710 - (2025-09-23 46_56 AM).pdf</v>
          </cell>
          <cell r="U1498" t="str">
            <v/>
          </cell>
          <cell r="V1498">
            <v>33998</v>
          </cell>
          <cell r="W1498" t="str">
            <v>Annalene Conde Feb 24, 2026 9:46 AM</v>
          </cell>
          <cell r="X1498" t="str">
            <v/>
          </cell>
          <cell r="Y1498">
            <v>45923</v>
          </cell>
          <cell r="Z1498" t="str">
            <v/>
          </cell>
          <cell r="AA1498">
            <v>45923</v>
          </cell>
          <cell r="AB1498" t="str">
            <v>Jayme Truong Sep 23, 2025 10:14 AM</v>
          </cell>
          <cell r="AC1498">
            <v>45972</v>
          </cell>
          <cell r="AD1498" t="str">
            <v/>
          </cell>
          <cell r="AE1498" t="str">
            <v/>
          </cell>
          <cell r="AF1498">
            <v>45972</v>
          </cell>
          <cell r="AG1498">
            <v>46077</v>
          </cell>
          <cell r="AH1498" t="str">
            <v/>
          </cell>
          <cell r="AI1498" t="str">
            <v/>
          </cell>
        </row>
        <row r="1499">
          <cell r="C1499">
            <v>220526</v>
          </cell>
          <cell r="E1499" t="str">
            <v/>
          </cell>
          <cell r="F1499" t="str">
            <v>All Weather Final</v>
          </cell>
          <cell r="G1499" t="str">
            <v>All Weather Collected</v>
          </cell>
          <cell r="H1499" t="str">
            <v>No</v>
          </cell>
          <cell r="I1499" t="str">
            <v>Alex</v>
          </cell>
          <cell r="J1499" t="str">
            <v/>
          </cell>
          <cell r="K1499" t="str">
            <v/>
          </cell>
          <cell r="L1499" t="str">
            <v/>
          </cell>
          <cell r="M1499" t="str">
            <v>Yes</v>
          </cell>
          <cell r="N1499" t="str">
            <v>https://panda-windows-and-doors.monday.com/protected_static/21046287/resources/2396046965/220526 Depsoit Invoice.pdf</v>
          </cell>
          <cell r="O1499" t="str">
            <v/>
          </cell>
          <cell r="P1499" t="str">
            <v/>
          </cell>
          <cell r="Q1499" t="str">
            <v/>
          </cell>
          <cell r="R1499" t="str">
            <v/>
          </cell>
          <cell r="S1499" t="str">
            <v/>
          </cell>
          <cell r="T1499" t="str">
            <v>https://panda-windows-and-doors.monday.com/protected_static/21046287/resources/2394771911/2025-09-02 Purchase order - 220526 - (2025-09-02 10_18 AM).pdf, https://panda-windows-and-doors.monday.com/protected_static/21046287/resources/2550404705/2025-09-02 Purchase order - 220526 - (2025-09-02 10_18 AM).pdf</v>
          </cell>
          <cell r="U1499" t="str">
            <v/>
          </cell>
          <cell r="V1499">
            <v>11153</v>
          </cell>
          <cell r="W1499" t="str">
            <v>Annalene Conde Feb 24, 2026 9:46 AM</v>
          </cell>
          <cell r="X1499" t="str">
            <v/>
          </cell>
          <cell r="Y1499">
            <v>45903</v>
          </cell>
          <cell r="Z1499" t="str">
            <v/>
          </cell>
          <cell r="AA1499">
            <v>45903</v>
          </cell>
          <cell r="AB1499" t="str">
            <v>Jayme Truong Sep 3, 2025 9:57 AM</v>
          </cell>
          <cell r="AC1499">
            <v>45973</v>
          </cell>
          <cell r="AD1499" t="str">
            <v/>
          </cell>
          <cell r="AE1499" t="str">
            <v/>
          </cell>
          <cell r="AF1499">
            <v>45973</v>
          </cell>
          <cell r="AG1499">
            <v>46077</v>
          </cell>
          <cell r="AH1499" t="str">
            <v/>
          </cell>
          <cell r="AI1499" t="str">
            <v/>
          </cell>
        </row>
        <row r="1500">
          <cell r="C1500">
            <v>220709</v>
          </cell>
          <cell r="E1500" t="str">
            <v/>
          </cell>
          <cell r="F1500" t="str">
            <v>All Weather Final</v>
          </cell>
          <cell r="G1500" t="str">
            <v>All Weather Collected</v>
          </cell>
          <cell r="H1500" t="str">
            <v>No</v>
          </cell>
          <cell r="I1500" t="str">
            <v>Alex</v>
          </cell>
          <cell r="J1500" t="str">
            <v/>
          </cell>
          <cell r="K1500" t="str">
            <v/>
          </cell>
          <cell r="L1500" t="str">
            <v/>
          </cell>
          <cell r="M1500" t="str">
            <v>Yes</v>
          </cell>
          <cell r="N1500" t="str">
            <v>https://panda-windows-and-doors.monday.com/protected_static/21046287/resources/2438134388/220709 Deposit Invoice.pdf</v>
          </cell>
          <cell r="O1500" t="str">
            <v/>
          </cell>
          <cell r="P1500" t="str">
            <v/>
          </cell>
          <cell r="Q1500" t="str">
            <v/>
          </cell>
          <cell r="R1500" t="str">
            <v/>
          </cell>
          <cell r="S1500" t="str">
            <v/>
          </cell>
          <cell r="T1500" t="str">
            <v>https://panda-windows-and-doors.monday.com/protected_static/21046287/resources/2437830586/2025-09-23 Purchase order - 220709 - (2025-09-23 39_57 AM).pdf, https://panda-windows-and-doors.monday.com/protected_static/21046287/resources/2538447213/2025-09-23 Purchase order - 220709 - (2025-09-23 39_57 AM).pdf</v>
          </cell>
          <cell r="U1500" t="str">
            <v/>
          </cell>
          <cell r="V1500">
            <v>4292</v>
          </cell>
          <cell r="W1500" t="str">
            <v>Annalene Conde Feb 24, 2026 9:46 AM</v>
          </cell>
          <cell r="X1500" t="str">
            <v/>
          </cell>
          <cell r="Y1500">
            <v>45923</v>
          </cell>
          <cell r="Z1500" t="str">
            <v/>
          </cell>
          <cell r="AA1500">
            <v>45923</v>
          </cell>
          <cell r="AB1500" t="str">
            <v>Jayme Truong Sep 23, 2025 9:51 AM</v>
          </cell>
          <cell r="AC1500">
            <v>45967</v>
          </cell>
          <cell r="AD1500" t="str">
            <v/>
          </cell>
          <cell r="AE1500" t="str">
            <v/>
          </cell>
          <cell r="AF1500">
            <v>45967</v>
          </cell>
          <cell r="AG1500">
            <v>46077</v>
          </cell>
          <cell r="AH1500" t="str">
            <v/>
          </cell>
          <cell r="AI1500" t="str">
            <v/>
          </cell>
        </row>
        <row r="1501">
          <cell r="C1501">
            <v>221026</v>
          </cell>
          <cell r="E1501" t="str">
            <v/>
          </cell>
          <cell r="F1501" t="str">
            <v>All Weather Final</v>
          </cell>
          <cell r="G1501" t="str">
            <v>All Weather Collected</v>
          </cell>
          <cell r="H1501" t="str">
            <v>No</v>
          </cell>
          <cell r="I1501" t="str">
            <v>Alex</v>
          </cell>
          <cell r="J1501" t="str">
            <v/>
          </cell>
          <cell r="K1501" t="str">
            <v/>
          </cell>
          <cell r="L1501" t="str">
            <v/>
          </cell>
          <cell r="M1501" t="str">
            <v>Yes</v>
          </cell>
          <cell r="N1501" t="str">
            <v>https://panda-windows-and-doors.monday.com/protected_static/21046287/resources/2553671703/221026 deposit invoice.pdf</v>
          </cell>
          <cell r="O1501" t="str">
            <v/>
          </cell>
          <cell r="P1501" t="str">
            <v/>
          </cell>
          <cell r="Q1501" t="str">
            <v/>
          </cell>
          <cell r="R1501" t="str">
            <v/>
          </cell>
          <cell r="S1501" t="str">
            <v/>
          </cell>
          <cell r="T1501" t="str">
            <v>https://panda-windows-and-doors.monday.com/protected_static/21046287/resources/2500728866/2025-10-21 Purchase order - 221026 - (2025-10-21 18_12 AM).pdf, https://panda-windows-and-doors.monday.com/protected_static/21046287/resources/2553368858/2025-10-21 Purchase order - 221026 - (2025-10-21 18_12 AM).pdf</v>
          </cell>
          <cell r="U1501" t="str">
            <v/>
          </cell>
          <cell r="V1501">
            <v>2334</v>
          </cell>
          <cell r="W1501" t="str">
            <v>Annalene Conde Feb 24, 2026 9:47 AM</v>
          </cell>
          <cell r="X1501" t="str">
            <v/>
          </cell>
          <cell r="Y1501">
            <v>45951</v>
          </cell>
          <cell r="Z1501" t="str">
            <v/>
          </cell>
          <cell r="AA1501">
            <v>45951</v>
          </cell>
          <cell r="AB1501" t="str">
            <v>Annalene Conde Oct 21, 2025 1:08 PM</v>
          </cell>
          <cell r="AC1501">
            <v>45974</v>
          </cell>
          <cell r="AD1501" t="str">
            <v/>
          </cell>
          <cell r="AE1501" t="str">
            <v/>
          </cell>
          <cell r="AF1501">
            <v>45974</v>
          </cell>
          <cell r="AG1501">
            <v>46077</v>
          </cell>
          <cell r="AH1501" t="str">
            <v/>
          </cell>
          <cell r="AI1501" t="str">
            <v/>
          </cell>
        </row>
        <row r="1502">
          <cell r="C1502">
            <v>220437</v>
          </cell>
          <cell r="E1502" t="str">
            <v/>
          </cell>
          <cell r="F1502" t="str">
            <v>All Weather Final</v>
          </cell>
          <cell r="G1502" t="str">
            <v>All Weather Collected</v>
          </cell>
          <cell r="H1502" t="str">
            <v>No</v>
          </cell>
          <cell r="I1502" t="str">
            <v>Alex</v>
          </cell>
          <cell r="J1502" t="str">
            <v/>
          </cell>
          <cell r="K1502" t="str">
            <v/>
          </cell>
          <cell r="L1502" t="str">
            <v/>
          </cell>
          <cell r="M1502" t="str">
            <v>Yes</v>
          </cell>
          <cell r="N1502" t="str">
            <v>https://panda-windows-and-doors.monday.com/protected_static/21046287/resources/2363462973/220437 - Deposit Invoice.pdf</v>
          </cell>
          <cell r="O1502" t="str">
            <v/>
          </cell>
          <cell r="P1502" t="str">
            <v/>
          </cell>
          <cell r="Q1502" t="str">
            <v/>
          </cell>
          <cell r="R1502" t="str">
            <v/>
          </cell>
          <cell r="S1502" t="str">
            <v/>
          </cell>
          <cell r="T1502" t="str">
            <v>https://panda-windows-and-doors.monday.com/protected_static/21046287/resources/2363075780/2025-08-19 Purchase order - 220437 - (2025-08-19 37_49 PM).pdf, https://panda-windows-and-doors.monday.com/protected_static/21046287/resources/2454407886/2025-08-19 Purchase order - 220437 - (2025-08-19 37_49 PM).pdf, https://panda-windows-and-doors.monday.com/protected_static/21046287/resources/2454409630/2025-08-19 Purchase order - 220437 - (2025-08-19 37_49 PM).pdf</v>
          </cell>
          <cell r="U1502" t="str">
            <v/>
          </cell>
          <cell r="V1502">
            <v>14916</v>
          </cell>
          <cell r="W1502" t="str">
            <v>Annalene Conde Feb 24, 2026 9:59 AM</v>
          </cell>
          <cell r="X1502" t="str">
            <v/>
          </cell>
          <cell r="Y1502">
            <v>45888</v>
          </cell>
          <cell r="Z1502" t="str">
            <v/>
          </cell>
          <cell r="AA1502">
            <v>45888</v>
          </cell>
          <cell r="AB1502" t="str">
            <v>Jayme Truong Aug 19, 2025 1:53 PM</v>
          </cell>
          <cell r="AC1502">
            <v>45930</v>
          </cell>
          <cell r="AD1502" t="str">
            <v/>
          </cell>
          <cell r="AE1502" t="str">
            <v/>
          </cell>
          <cell r="AF1502">
            <v>45930</v>
          </cell>
          <cell r="AG1502">
            <v>46077</v>
          </cell>
          <cell r="AH1502" t="str">
            <v/>
          </cell>
          <cell r="AI1502" t="str">
            <v/>
          </cell>
        </row>
        <row r="1503">
          <cell r="C1503">
            <v>221431</v>
          </cell>
          <cell r="E1503" t="str">
            <v/>
          </cell>
          <cell r="F1503" t="str">
            <v>All Weather Final</v>
          </cell>
          <cell r="G1503" t="str">
            <v>All Weather Collected</v>
          </cell>
          <cell r="H1503" t="str">
            <v>No</v>
          </cell>
          <cell r="I1503" t="str">
            <v>Alex</v>
          </cell>
          <cell r="J1503" t="str">
            <v/>
          </cell>
          <cell r="K1503" t="str">
            <v/>
          </cell>
          <cell r="L1503" t="str">
            <v/>
          </cell>
          <cell r="M1503" t="str">
            <v>Yes</v>
          </cell>
          <cell r="N1503" t="str">
            <v>https://panda-windows-and-doors.monday.com/protected_static/21046287/resources/2641231669/221431 Deposit Invoice.pdf</v>
          </cell>
          <cell r="O1503" t="str">
            <v/>
          </cell>
          <cell r="P1503" t="str">
            <v/>
          </cell>
          <cell r="Q1503" t="str">
            <v/>
          </cell>
          <cell r="R1503" t="str">
            <v/>
          </cell>
          <cell r="S1503" t="str">
            <v/>
          </cell>
          <cell r="T1503" t="str">
            <v>https://panda-windows-and-doors.monday.com/protected_static/21046287/resources/2640423365/2025-12-17 Purchase order - 221431 - (2025-12-17 37_21 AM).pdf</v>
          </cell>
          <cell r="U1503" t="str">
            <v/>
          </cell>
          <cell r="V1503">
            <v>9803.6</v>
          </cell>
          <cell r="W1503" t="str">
            <v>George Bails Mar 3, 2026 5:25 PM</v>
          </cell>
          <cell r="X1503" t="str">
            <v/>
          </cell>
          <cell r="Y1503">
            <v>46009</v>
          </cell>
          <cell r="Z1503" t="str">
            <v/>
          </cell>
          <cell r="AA1503">
            <v>46015</v>
          </cell>
          <cell r="AB1503" t="str">
            <v>Annalene Conde Dec 18, 2025 11:38 AM</v>
          </cell>
          <cell r="AC1503">
            <v>46035</v>
          </cell>
          <cell r="AD1503" t="str">
            <v/>
          </cell>
          <cell r="AE1503" t="str">
            <v/>
          </cell>
          <cell r="AF1503" t="str">
            <v/>
          </cell>
          <cell r="AG1503">
            <v>46084</v>
          </cell>
          <cell r="AH1503" t="str">
            <v/>
          </cell>
          <cell r="AI1503" t="str">
            <v/>
          </cell>
        </row>
        <row r="1504">
          <cell r="C1504">
            <v>221432</v>
          </cell>
          <cell r="E1504" t="str">
            <v/>
          </cell>
          <cell r="F1504" t="str">
            <v>All Weather Final</v>
          </cell>
          <cell r="G1504" t="str">
            <v>All Weather Collected</v>
          </cell>
          <cell r="H1504" t="str">
            <v>No</v>
          </cell>
          <cell r="I1504" t="str">
            <v>Alex</v>
          </cell>
          <cell r="J1504" t="str">
            <v/>
          </cell>
          <cell r="K1504" t="str">
            <v/>
          </cell>
          <cell r="L1504" t="str">
            <v/>
          </cell>
          <cell r="M1504" t="str">
            <v>Yes</v>
          </cell>
          <cell r="N1504" t="str">
            <v>https://panda-windows-and-doors.monday.com/protected_static/21046287/resources/2641147082/221432 Deposit Invoice.pdf</v>
          </cell>
          <cell r="O1504" t="str">
            <v/>
          </cell>
          <cell r="P1504" t="str">
            <v/>
          </cell>
          <cell r="Q1504" t="str">
            <v/>
          </cell>
          <cell r="R1504" t="str">
            <v/>
          </cell>
          <cell r="S1504" t="str">
            <v/>
          </cell>
          <cell r="T1504" t="str">
            <v>https://panda-windows-and-doors.monday.com/protected_static/21046287/resources/2640420793/2025-12-17 Purchase order - 221432 - (2025-12-18 53_39 AM).pdf</v>
          </cell>
          <cell r="U1504" t="str">
            <v/>
          </cell>
          <cell r="V1504">
            <v>4619.97</v>
          </cell>
          <cell r="W1504" t="str">
            <v>George Bails Mar 3, 2026 5:24 PM</v>
          </cell>
          <cell r="X1504" t="str">
            <v/>
          </cell>
          <cell r="Y1504">
            <v>46014</v>
          </cell>
          <cell r="Z1504" t="str">
            <v/>
          </cell>
          <cell r="AA1504">
            <v>46015</v>
          </cell>
          <cell r="AB1504" t="str">
            <v>Annalene Conde Dec 23, 2025 8:30 AM</v>
          </cell>
          <cell r="AC1504">
            <v>46035</v>
          </cell>
          <cell r="AD1504" t="str">
            <v/>
          </cell>
          <cell r="AE1504" t="str">
            <v/>
          </cell>
          <cell r="AF1504" t="str">
            <v/>
          </cell>
          <cell r="AG1504">
            <v>46084</v>
          </cell>
          <cell r="AH1504" t="str">
            <v/>
          </cell>
          <cell r="AI1504" t="str">
            <v/>
          </cell>
        </row>
        <row r="1505">
          <cell r="C1505" t="str">
            <v>221569 - parts</v>
          </cell>
          <cell r="E1505" t="str">
            <v/>
          </cell>
          <cell r="F1505" t="str">
            <v>All Weather Final</v>
          </cell>
          <cell r="G1505" t="str">
            <v>All Weather Collected</v>
          </cell>
          <cell r="H1505" t="str">
            <v>No</v>
          </cell>
          <cell r="I1505" t="str">
            <v/>
          </cell>
          <cell r="J1505" t="str">
            <v/>
          </cell>
          <cell r="K1505" t="str">
            <v/>
          </cell>
          <cell r="L1505" t="str">
            <v/>
          </cell>
          <cell r="M1505" t="str">
            <v>Yes</v>
          </cell>
          <cell r="N1505" t="str">
            <v>https://panda-windows-and-doors.monday.com/protected_static/21046287/resources/2686499196/221569 Deposit Invoice.pdf</v>
          </cell>
          <cell r="O1505" t="str">
            <v/>
          </cell>
          <cell r="P1505" t="str">
            <v/>
          </cell>
          <cell r="Q1505" t="str">
            <v/>
          </cell>
          <cell r="R1505" t="str">
            <v/>
          </cell>
          <cell r="S1505" t="str">
            <v/>
          </cell>
          <cell r="T1505" t="str">
            <v>https://panda-windows-and-doors.monday.com/protected_static/21046287/resources/2686469956/2026-01-07 Purchase order - 221569 - (2026-01-07 38_58 AM).pdf</v>
          </cell>
          <cell r="U1505" t="str">
            <v/>
          </cell>
          <cell r="V1505">
            <v>983</v>
          </cell>
          <cell r="W1505" t="str">
            <v>Annalene Conde Mar 3, 2026 11:47 AM</v>
          </cell>
          <cell r="X1505" t="str">
            <v/>
          </cell>
          <cell r="Y1505">
            <v>46037</v>
          </cell>
          <cell r="Z1505" t="str">
            <v/>
          </cell>
          <cell r="AA1505">
            <v>46030</v>
          </cell>
          <cell r="AB1505" t="str">
            <v>Annalene Conde Jan 8, 2026 10:52 AM</v>
          </cell>
          <cell r="AC1505">
            <v>46037</v>
          </cell>
          <cell r="AD1505" t="str">
            <v/>
          </cell>
          <cell r="AE1505" t="str">
            <v/>
          </cell>
          <cell r="AF1505" t="str">
            <v/>
          </cell>
          <cell r="AG1505">
            <v>46084</v>
          </cell>
          <cell r="AH1505" t="str">
            <v/>
          </cell>
          <cell r="AI1505" t="str">
            <v/>
          </cell>
        </row>
        <row r="1506">
          <cell r="C1506">
            <v>221541</v>
          </cell>
          <cell r="E1506" t="str">
            <v/>
          </cell>
          <cell r="F1506" t="str">
            <v>All Weather Final</v>
          </cell>
          <cell r="G1506" t="str">
            <v>All Weather Collected</v>
          </cell>
          <cell r="H1506" t="str">
            <v>No</v>
          </cell>
          <cell r="I1506" t="str">
            <v>Alex</v>
          </cell>
          <cell r="J1506" t="str">
            <v/>
          </cell>
          <cell r="K1506" t="str">
            <v/>
          </cell>
          <cell r="L1506" t="str">
            <v/>
          </cell>
          <cell r="M1506" t="str">
            <v>Yes</v>
          </cell>
          <cell r="N1506" t="str">
            <v>https://panda-windows-and-doors.monday.com/protected_static/21046287/resources/2658322760/221541 - Deposit Invoice.pdf</v>
          </cell>
          <cell r="O1506" t="str">
            <v/>
          </cell>
          <cell r="P1506" t="str">
            <v/>
          </cell>
          <cell r="Q1506" t="str">
            <v/>
          </cell>
          <cell r="R1506" t="str">
            <v/>
          </cell>
          <cell r="S1506" t="str">
            <v/>
          </cell>
          <cell r="T1506" t="str">
            <v>https://panda-windows-and-doors.monday.com/protected_static/21046287/resources/2651825066/2025-12-31 Purchase order - 221541 - (2025-12-31 12_49 AM).pdf</v>
          </cell>
          <cell r="U1506" t="str">
            <v/>
          </cell>
          <cell r="V1506">
            <v>14897</v>
          </cell>
          <cell r="W1506" t="str">
            <v>George Bails Mar 24, 2026 10:04 AM</v>
          </cell>
          <cell r="X1506" t="str">
            <v/>
          </cell>
          <cell r="Y1506">
            <v>46058</v>
          </cell>
          <cell r="Z1506" t="str">
            <v/>
          </cell>
          <cell r="AA1506">
            <v>46024</v>
          </cell>
          <cell r="AB1506" t="str">
            <v>Annalene Conde Dec 31, 2025 1:50 PM</v>
          </cell>
          <cell r="AC1506">
            <v>46091</v>
          </cell>
          <cell r="AD1506" t="str">
            <v/>
          </cell>
          <cell r="AE1506" t="str">
            <v/>
          </cell>
          <cell r="AF1506" t="str">
            <v/>
          </cell>
          <cell r="AG1506">
            <v>46093</v>
          </cell>
          <cell r="AH1506" t="str">
            <v/>
          </cell>
          <cell r="AI1506" t="str">
            <v/>
          </cell>
        </row>
        <row r="1507">
          <cell r="C1507">
            <v>221542</v>
          </cell>
          <cell r="E1507" t="str">
            <v/>
          </cell>
          <cell r="F1507" t="str">
            <v>All Weather Final</v>
          </cell>
          <cell r="G1507" t="str">
            <v>All Weather Collected</v>
          </cell>
          <cell r="H1507" t="str">
            <v>No</v>
          </cell>
          <cell r="I1507" t="str">
            <v>Alex</v>
          </cell>
          <cell r="J1507" t="str">
            <v/>
          </cell>
          <cell r="K1507" t="str">
            <v/>
          </cell>
          <cell r="L1507" t="str">
            <v/>
          </cell>
          <cell r="M1507" t="str">
            <v>Yes</v>
          </cell>
          <cell r="N1507" t="str">
            <v>https://panda-windows-and-doors.monday.com/protected_static/21046287/resources/2658334235/221542 Deposit Invoice.pdf</v>
          </cell>
          <cell r="O1507" t="str">
            <v/>
          </cell>
          <cell r="P1507" t="str">
            <v/>
          </cell>
          <cell r="Q1507" t="str">
            <v/>
          </cell>
          <cell r="R1507" t="str">
            <v/>
          </cell>
          <cell r="S1507" t="str">
            <v/>
          </cell>
          <cell r="T1507" t="str">
            <v>https://panda-windows-and-doors.monday.com/protected_static/21046287/resources/2651828173/2025-12-31 Purchase order - 221542 - (2025-12-31 18_31 AM).pdf</v>
          </cell>
          <cell r="U1507" t="str">
            <v/>
          </cell>
          <cell r="V1507">
            <v>11181.99</v>
          </cell>
          <cell r="W1507" t="str">
            <v>George Bails Mar 24, 2026 10:04 AM</v>
          </cell>
          <cell r="X1507" t="str">
            <v/>
          </cell>
          <cell r="Y1507">
            <v>46058</v>
          </cell>
          <cell r="Z1507" t="str">
            <v/>
          </cell>
          <cell r="AA1507">
            <v>46024</v>
          </cell>
          <cell r="AB1507" t="str">
            <v>Annalene Conde Dec 31, 2025 1:51 PM</v>
          </cell>
          <cell r="AC1507">
            <v>46091</v>
          </cell>
          <cell r="AD1507" t="str">
            <v/>
          </cell>
          <cell r="AE1507" t="str">
            <v/>
          </cell>
          <cell r="AF1507" t="str">
            <v/>
          </cell>
          <cell r="AG1507">
            <v>46093</v>
          </cell>
          <cell r="AH1507" t="str">
            <v/>
          </cell>
          <cell r="AI1507" t="str">
            <v/>
          </cell>
        </row>
        <row r="1508">
          <cell r="C1508">
            <v>221544</v>
          </cell>
          <cell r="E1508" t="str">
            <v/>
          </cell>
          <cell r="F1508" t="str">
            <v>All Weather Final</v>
          </cell>
          <cell r="G1508" t="str">
            <v>All Weather Collected</v>
          </cell>
          <cell r="H1508" t="str">
            <v>No</v>
          </cell>
          <cell r="I1508" t="str">
            <v>Alex</v>
          </cell>
          <cell r="J1508" t="str">
            <v/>
          </cell>
          <cell r="K1508" t="str">
            <v/>
          </cell>
          <cell r="L1508" t="str">
            <v/>
          </cell>
          <cell r="M1508" t="str">
            <v>Yes</v>
          </cell>
          <cell r="N1508" t="str">
            <v>https://panda-windows-and-doors.monday.com/protected_static/21046287/resources/2658349526/221544 Deposit Invoice.pdf</v>
          </cell>
          <cell r="O1508" t="str">
            <v/>
          </cell>
          <cell r="P1508" t="str">
            <v/>
          </cell>
          <cell r="Q1508" t="str">
            <v/>
          </cell>
          <cell r="R1508" t="str">
            <v/>
          </cell>
          <cell r="S1508" t="str">
            <v/>
          </cell>
          <cell r="T1508" t="str">
            <v>https://panda-windows-and-doors.monday.com/protected_static/21046287/resources/2651833711/2025-12-31 Purchase order - 221544 - (2025-12-31 45_55 AM).pdf</v>
          </cell>
          <cell r="U1508" t="str">
            <v/>
          </cell>
          <cell r="V1508">
            <v>9807</v>
          </cell>
          <cell r="W1508" t="str">
            <v>George Bails Mar 24, 2026 10:05 AM</v>
          </cell>
          <cell r="X1508" t="str">
            <v/>
          </cell>
          <cell r="Y1508">
            <v>46058</v>
          </cell>
          <cell r="Z1508" t="str">
            <v/>
          </cell>
          <cell r="AA1508">
            <v>46024</v>
          </cell>
          <cell r="AB1508" t="str">
            <v>Annalene Conde Dec 31, 2025 1:57 PM</v>
          </cell>
          <cell r="AC1508">
            <v>46091</v>
          </cell>
          <cell r="AD1508" t="str">
            <v/>
          </cell>
          <cell r="AE1508" t="str">
            <v/>
          </cell>
          <cell r="AF1508" t="str">
            <v/>
          </cell>
          <cell r="AG1508">
            <v>46093</v>
          </cell>
          <cell r="AH1508" t="str">
            <v/>
          </cell>
          <cell r="AI1508" t="str">
            <v/>
          </cell>
        </row>
        <row r="1509">
          <cell r="C1509" t="str">
            <v>221710 - parts</v>
          </cell>
          <cell r="E1509" t="str">
            <v/>
          </cell>
          <cell r="F1509" t="str">
            <v>All Weather Final</v>
          </cell>
          <cell r="G1509" t="str">
            <v>All Weather Collected</v>
          </cell>
          <cell r="H1509" t="str">
            <v>No</v>
          </cell>
          <cell r="I1509" t="str">
            <v/>
          </cell>
          <cell r="J1509" t="str">
            <v/>
          </cell>
          <cell r="K1509" t="str">
            <v/>
          </cell>
          <cell r="L1509" t="str">
            <v/>
          </cell>
          <cell r="M1509" t="str">
            <v>No</v>
          </cell>
          <cell r="N1509" t="str">
            <v>https://panda-windows-and-doors.monday.com/protected_static/21046287/resources/2750729902/221710 Deposit Invoice.pdf</v>
          </cell>
          <cell r="O1509" t="str">
            <v/>
          </cell>
          <cell r="P1509" t="str">
            <v/>
          </cell>
          <cell r="Q1509" t="str">
            <v/>
          </cell>
          <cell r="R1509" t="str">
            <v/>
          </cell>
          <cell r="S1509" t="str">
            <v/>
          </cell>
          <cell r="T1509" t="str">
            <v>https://panda-windows-and-doors.monday.com/protected_static/21046287/resources/2750527320/2026-01-29 Purchase order - 221710 - (2026-01-29 26_20 PM).pdf</v>
          </cell>
          <cell r="U1509" t="str">
            <v/>
          </cell>
          <cell r="V1509">
            <v>1320</v>
          </cell>
          <cell r="W1509" t="str">
            <v>Annalene Conde Mar 12, 2026 1:20 PM</v>
          </cell>
          <cell r="X1509" t="str">
            <v/>
          </cell>
          <cell r="Y1509">
            <v>46052</v>
          </cell>
          <cell r="Z1509" t="str">
            <v/>
          </cell>
          <cell r="AA1509">
            <v>46063</v>
          </cell>
          <cell r="AB1509" t="str">
            <v>Annalene Conde Jan 30, 2026 3:16 PM</v>
          </cell>
          <cell r="AC1509">
            <v>46063</v>
          </cell>
          <cell r="AD1509" t="str">
            <v/>
          </cell>
          <cell r="AE1509" t="str">
            <v/>
          </cell>
          <cell r="AF1509" t="str">
            <v/>
          </cell>
          <cell r="AG1509">
            <v>46093</v>
          </cell>
          <cell r="AH1509" t="str">
            <v/>
          </cell>
          <cell r="AI1509" t="str">
            <v/>
          </cell>
        </row>
        <row r="1510">
          <cell r="C1510">
            <v>221746</v>
          </cell>
          <cell r="E1510" t="str">
            <v/>
          </cell>
          <cell r="F1510" t="str">
            <v>All Weather Final</v>
          </cell>
          <cell r="G1510" t="str">
            <v>All Weather Collected</v>
          </cell>
          <cell r="H1510" t="str">
            <v>No</v>
          </cell>
          <cell r="I1510" t="str">
            <v>Alex</v>
          </cell>
          <cell r="J1510" t="str">
            <v/>
          </cell>
          <cell r="K1510" t="str">
            <v/>
          </cell>
          <cell r="L1510" t="str">
            <v/>
          </cell>
          <cell r="M1510" t="str">
            <v>Yes</v>
          </cell>
          <cell r="N1510" t="str">
            <v>https://panda-windows-and-doors.monday.com/protected_static/21046287/resources/2746187567/221746 Deposit Invoice.pdf</v>
          </cell>
          <cell r="O1510" t="str">
            <v/>
          </cell>
          <cell r="P1510" t="str">
            <v/>
          </cell>
          <cell r="Q1510" t="str">
            <v/>
          </cell>
          <cell r="R1510" t="str">
            <v/>
          </cell>
          <cell r="S1510" t="str">
            <v/>
          </cell>
          <cell r="T1510" t="str">
            <v>https://panda-windows-and-doors.monday.com/protected_static/21046287/resources/2745949309/2026-02-05 Purchase order - 221746 - (2026-02-05 10_26 AM).pdf</v>
          </cell>
          <cell r="U1510" t="str">
            <v/>
          </cell>
          <cell r="V1510">
            <v>4961</v>
          </cell>
          <cell r="W1510" t="str">
            <v>Annalene Conde Mar 24, 2026 2:20 PM</v>
          </cell>
          <cell r="X1510" t="str">
            <v/>
          </cell>
          <cell r="Y1510">
            <v>46059</v>
          </cell>
          <cell r="Z1510" t="str">
            <v/>
          </cell>
          <cell r="AA1510">
            <v>46062</v>
          </cell>
          <cell r="AB1510" t="str">
            <v>Annalene Conde Feb 6, 2026 11:07 AM</v>
          </cell>
          <cell r="AC1510">
            <v>46080</v>
          </cell>
          <cell r="AD1510" t="str">
            <v/>
          </cell>
          <cell r="AE1510" t="str">
            <v/>
          </cell>
          <cell r="AF1510" t="str">
            <v/>
          </cell>
          <cell r="AG1510">
            <v>46105</v>
          </cell>
          <cell r="AH1510" t="str">
            <v/>
          </cell>
          <cell r="AI1510" t="str">
            <v/>
          </cell>
        </row>
        <row r="1511">
          <cell r="C1511">
            <v>221652</v>
          </cell>
          <cell r="E1511" t="str">
            <v/>
          </cell>
          <cell r="F1511" t="str">
            <v>All Weather Final</v>
          </cell>
          <cell r="G1511" t="str">
            <v>All Weather Collected</v>
          </cell>
          <cell r="H1511" t="str">
            <v>No</v>
          </cell>
          <cell r="I1511" t="str">
            <v>Alex</v>
          </cell>
          <cell r="J1511" t="str">
            <v/>
          </cell>
          <cell r="K1511" t="str">
            <v/>
          </cell>
          <cell r="L1511" t="str">
            <v/>
          </cell>
          <cell r="M1511" t="str">
            <v>Yes</v>
          </cell>
          <cell r="N1511" t="str">
            <v>https://panda-windows-and-doors.monday.com/protected_static/21046287/resources/2720329436/221652 Deposit Invoice.pdf</v>
          </cell>
          <cell r="O1511" t="str">
            <v/>
          </cell>
          <cell r="P1511" t="str">
            <v/>
          </cell>
          <cell r="Q1511" t="str">
            <v/>
          </cell>
          <cell r="R1511" t="str">
            <v/>
          </cell>
          <cell r="S1511" t="str">
            <v/>
          </cell>
          <cell r="T1511" t="str">
            <v>https://panda-windows-and-doors.monday.com/protected_static/21046287/resources/2720164144/2026-01-22 Purchase order - 221652 - (2026-01-22 40_41 AM).pdf</v>
          </cell>
          <cell r="U1511" t="str">
            <v/>
          </cell>
          <cell r="V1511">
            <v>7926</v>
          </cell>
          <cell r="W1511" t="str">
            <v>George Bails Apr 6, 2026 8:24 AM</v>
          </cell>
          <cell r="X1511" t="str">
            <v/>
          </cell>
          <cell r="Y1511">
            <v>46049</v>
          </cell>
          <cell r="Z1511" t="str">
            <v/>
          </cell>
          <cell r="AA1511">
            <v>46048</v>
          </cell>
          <cell r="AB1511" t="str">
            <v>Annalene Conde Jan 23, 2026 9:48 AM</v>
          </cell>
          <cell r="AC1511">
            <v>46072</v>
          </cell>
          <cell r="AD1511" t="str">
            <v/>
          </cell>
          <cell r="AE1511" t="str">
            <v/>
          </cell>
          <cell r="AF1511" t="str">
            <v/>
          </cell>
          <cell r="AG1511">
            <v>46105</v>
          </cell>
          <cell r="AH1511" t="str">
            <v/>
          </cell>
          <cell r="AI1511" t="str">
            <v/>
          </cell>
        </row>
        <row r="1512">
          <cell r="C1512">
            <v>221786</v>
          </cell>
          <cell r="E1512" t="str">
            <v/>
          </cell>
          <cell r="F1512" t="str">
            <v>All Weather Final</v>
          </cell>
          <cell r="G1512" t="str">
            <v>All Weather Collected</v>
          </cell>
          <cell r="H1512" t="str">
            <v>No</v>
          </cell>
          <cell r="I1512" t="str">
            <v>Alex</v>
          </cell>
          <cell r="J1512" t="str">
            <v/>
          </cell>
          <cell r="K1512" t="str">
            <v/>
          </cell>
          <cell r="L1512" t="str">
            <v/>
          </cell>
          <cell r="M1512" t="str">
            <v>Yes</v>
          </cell>
          <cell r="N1512" t="str">
            <v>https://panda-windows-and-doors.monday.com/protected_static/21046287/resources/2754025684/221786 Deposit Invoice.pdf</v>
          </cell>
          <cell r="O1512" t="str">
            <v/>
          </cell>
          <cell r="P1512" t="str">
            <v/>
          </cell>
          <cell r="Q1512" t="str">
            <v/>
          </cell>
          <cell r="R1512" t="str">
            <v/>
          </cell>
          <cell r="S1512" t="str">
            <v/>
          </cell>
          <cell r="T1512" t="str">
            <v>https://panda-windows-and-doors.monday.com/protected_static/21046287/resources/2754010070/2026-02-11 Purchase order - 221786 - (2026-02-11 04_06 PM).pdf</v>
          </cell>
          <cell r="U1512">
            <v>0</v>
          </cell>
          <cell r="V1512">
            <v>21967.99</v>
          </cell>
          <cell r="W1512" t="str">
            <v>George Bails Apr 14, 2026 10:47 AM</v>
          </cell>
          <cell r="X1512" t="str">
            <v/>
          </cell>
          <cell r="Y1512">
            <v>46064</v>
          </cell>
          <cell r="Z1512" t="str">
            <v/>
          </cell>
          <cell r="AA1512">
            <v>46064</v>
          </cell>
          <cell r="AB1512" t="str">
            <v>Annalene Conde Feb 11, 2026 3:43 PM</v>
          </cell>
          <cell r="AC1512">
            <v>46097</v>
          </cell>
          <cell r="AD1512" t="str">
            <v/>
          </cell>
          <cell r="AE1512" t="str">
            <v/>
          </cell>
          <cell r="AF1512" t="str">
            <v/>
          </cell>
          <cell r="AG1512">
            <v>46126</v>
          </cell>
          <cell r="AH1512" t="str">
            <v/>
          </cell>
          <cell r="AI1512" t="str">
            <v/>
          </cell>
        </row>
        <row r="1513">
          <cell r="C1513">
            <v>221948</v>
          </cell>
          <cell r="E1513" t="str">
            <v/>
          </cell>
          <cell r="F1513" t="str">
            <v>All Weather Final</v>
          </cell>
          <cell r="G1513" t="str">
            <v>All Weather Collected</v>
          </cell>
          <cell r="H1513" t="str">
            <v>No</v>
          </cell>
          <cell r="I1513" t="str">
            <v/>
          </cell>
          <cell r="J1513" t="str">
            <v/>
          </cell>
          <cell r="K1513" t="str">
            <v/>
          </cell>
          <cell r="L1513" t="str">
            <v/>
          </cell>
          <cell r="M1513" t="str">
            <v>No</v>
          </cell>
          <cell r="N1513" t="str">
            <v/>
          </cell>
          <cell r="O1513" t="str">
            <v/>
          </cell>
          <cell r="P1513" t="str">
            <v/>
          </cell>
          <cell r="Q1513" t="str">
            <v/>
          </cell>
          <cell r="R1513" t="str">
            <v/>
          </cell>
          <cell r="S1513" t="str">
            <v/>
          </cell>
          <cell r="T1513" t="str">
            <v>https://panda-windows-and-doors.monday.com/protected_static/21046287/resources/2838493433/2026-03-06 Purchase order - 221948 - (2026-03-06 40_39 AM).pdf</v>
          </cell>
          <cell r="U1513" t="str">
            <v/>
          </cell>
          <cell r="V1513">
            <v>143</v>
          </cell>
          <cell r="W1513" t="str">
            <v>Annalene Conde Apr 14, 2026 9:04 AM</v>
          </cell>
          <cell r="X1513" t="str">
            <v/>
          </cell>
          <cell r="Y1513">
            <v>46090</v>
          </cell>
          <cell r="Z1513" t="str">
            <v/>
          </cell>
          <cell r="AA1513">
            <v>46099</v>
          </cell>
          <cell r="AB1513" t="str">
            <v>Annalene Conde Mar 9, 2026 12:30 PM</v>
          </cell>
          <cell r="AC1513">
            <v>46100</v>
          </cell>
          <cell r="AD1513" t="str">
            <v/>
          </cell>
          <cell r="AE1513" t="str">
            <v/>
          </cell>
          <cell r="AF1513" t="str">
            <v/>
          </cell>
          <cell r="AG1513">
            <v>46126</v>
          </cell>
          <cell r="AH1513" t="str">
            <v/>
          </cell>
          <cell r="AI1513" t="str">
            <v/>
          </cell>
        </row>
        <row r="1514">
          <cell r="C1514">
            <v>221726</v>
          </cell>
          <cell r="E1514" t="str">
            <v/>
          </cell>
          <cell r="F1514" t="str">
            <v>All Weather Final</v>
          </cell>
          <cell r="G1514" t="str">
            <v>All Weather Collected</v>
          </cell>
          <cell r="H1514" t="str">
            <v>No</v>
          </cell>
          <cell r="I1514" t="str">
            <v>Alex</v>
          </cell>
          <cell r="J1514" t="str">
            <v/>
          </cell>
          <cell r="K1514" t="str">
            <v/>
          </cell>
          <cell r="L1514" t="str">
            <v/>
          </cell>
          <cell r="M1514" t="str">
            <v>Yes</v>
          </cell>
          <cell r="N1514" t="str">
            <v>https://panda-windows-and-doors.monday.com/protected_static/21046287/resources/2732989473/221726 Deposit Invoice.pdf</v>
          </cell>
          <cell r="O1514" t="str">
            <v/>
          </cell>
          <cell r="P1514" t="str">
            <v/>
          </cell>
          <cell r="Q1514" t="str">
            <v/>
          </cell>
          <cell r="R1514" t="str">
            <v/>
          </cell>
          <cell r="S1514" t="str">
            <v/>
          </cell>
          <cell r="T1514" t="str">
            <v>https://panda-windows-and-doors.monday.com/protected_static/21046287/resources/2731894215/2026-02-03 Purchase order - 221726 - (2026-02-03 53_23 AM).pdf</v>
          </cell>
          <cell r="U1514">
            <v>0</v>
          </cell>
          <cell r="V1514">
            <v>10183</v>
          </cell>
          <cell r="W1514" t="str">
            <v>George Bails Apr 14, 2026 10:44 AM</v>
          </cell>
          <cell r="X1514" t="str">
            <v/>
          </cell>
          <cell r="Y1514">
            <v>46056</v>
          </cell>
          <cell r="Z1514" t="str">
            <v/>
          </cell>
          <cell r="AA1514">
            <v>46056</v>
          </cell>
          <cell r="AB1514" t="str">
            <v>Annalene Conde Feb 3, 2026 11:08 AM</v>
          </cell>
          <cell r="AC1514">
            <v>46080</v>
          </cell>
          <cell r="AD1514" t="str">
            <v/>
          </cell>
          <cell r="AE1514" t="str">
            <v/>
          </cell>
          <cell r="AF1514" t="str">
            <v/>
          </cell>
          <cell r="AG1514">
            <v>46126</v>
          </cell>
          <cell r="AH1514" t="str">
            <v/>
          </cell>
          <cell r="AI1514" t="str">
            <v/>
          </cell>
        </row>
        <row r="1515">
          <cell r="C1515" t="str">
            <v>221891-S</v>
          </cell>
          <cell r="E1515" t="str">
            <v/>
          </cell>
          <cell r="F1515" t="str">
            <v>All Weather Final</v>
          </cell>
          <cell r="G1515" t="str">
            <v>All Weather Collected</v>
          </cell>
          <cell r="H1515" t="str">
            <v>No</v>
          </cell>
          <cell r="I1515" t="str">
            <v/>
          </cell>
          <cell r="J1515" t="str">
            <v/>
          </cell>
          <cell r="K1515" t="str">
            <v/>
          </cell>
          <cell r="L1515" t="str">
            <v/>
          </cell>
          <cell r="M1515" t="str">
            <v>No</v>
          </cell>
          <cell r="N1515" t="str">
            <v>https://panda-windows-and-doors.monday.com/protected_static/21046287/resources/2804025630/221891 Deposit Invoice.pdf, https://panda-windows-and-doors.monday.com/protected_static/21046287/resources/2805515299/221891 Deposit Invoice (Updated SO).pdf</v>
          </cell>
          <cell r="O1515" t="str">
            <v/>
          </cell>
          <cell r="P1515" t="str">
            <v/>
          </cell>
          <cell r="Q1515" t="str">
            <v/>
          </cell>
          <cell r="R1515" t="str">
            <v/>
          </cell>
          <cell r="S1515" t="str">
            <v/>
          </cell>
          <cell r="T1515" t="str">
            <v>https://panda-windows-and-doors.monday.com/protected_static/21046287/resources/2803998494/2026-02-26 Purchase order - 221891 - (2026-02-26 10_25 AM).pdf</v>
          </cell>
          <cell r="U1515">
            <v>0</v>
          </cell>
          <cell r="V1515">
            <v>200</v>
          </cell>
          <cell r="W1515" t="str">
            <v>Annalene Conde Apr 14, 2026 9:07 AM</v>
          </cell>
          <cell r="X1515" t="str">
            <v/>
          </cell>
          <cell r="Y1515">
            <v>46083</v>
          </cell>
          <cell r="Z1515" t="str">
            <v/>
          </cell>
          <cell r="AA1515">
            <v>46085</v>
          </cell>
          <cell r="AB1515" t="str">
            <v>Annalene Conde Mar 2, 2026 2:32 PM</v>
          </cell>
          <cell r="AC1515">
            <v>46085</v>
          </cell>
          <cell r="AD1515" t="str">
            <v/>
          </cell>
          <cell r="AE1515" t="str">
            <v/>
          </cell>
          <cell r="AF1515" t="str">
            <v/>
          </cell>
          <cell r="AG1515">
            <v>46126</v>
          </cell>
          <cell r="AH1515" t="str">
            <v/>
          </cell>
          <cell r="AI1515" t="str">
            <v/>
          </cell>
        </row>
        <row r="1516">
          <cell r="C1516">
            <v>221946</v>
          </cell>
          <cell r="E1516" t="str">
            <v/>
          </cell>
          <cell r="F1516" t="str">
            <v>All Weather Final</v>
          </cell>
          <cell r="G1516" t="str">
            <v>All Weather Collected</v>
          </cell>
          <cell r="H1516" t="str">
            <v>No</v>
          </cell>
          <cell r="I1516" t="str">
            <v>Alex</v>
          </cell>
          <cell r="J1516" t="str">
            <v/>
          </cell>
          <cell r="K1516" t="str">
            <v/>
          </cell>
          <cell r="L1516" t="str">
            <v/>
          </cell>
          <cell r="M1516" t="str">
            <v>Yes</v>
          </cell>
          <cell r="N1516" t="str">
            <v>https://panda-windows-and-doors.monday.com/protected_static/21046287/resources/2814105915/221946 Deposit Invoice.pdf</v>
          </cell>
          <cell r="O1516" t="str">
            <v/>
          </cell>
          <cell r="P1516" t="str">
            <v/>
          </cell>
          <cell r="Q1516" t="str">
            <v/>
          </cell>
          <cell r="R1516" t="str">
            <v/>
          </cell>
          <cell r="S1516" t="str">
            <v/>
          </cell>
          <cell r="T1516" t="str">
            <v>https://panda-windows-and-doors.monday.com/protected_static/21046287/resources/2814097796/2026-03-06 Purchase order - 221946 - (2026-03-06 24_26 AM).pdf</v>
          </cell>
          <cell r="U1516">
            <v>0</v>
          </cell>
          <cell r="V1516">
            <v>4352.01</v>
          </cell>
          <cell r="W1516" t="str">
            <v>George Bails May 2, 2026 7:43 AM</v>
          </cell>
          <cell r="X1516" t="str">
            <v/>
          </cell>
          <cell r="Y1516">
            <v>46087</v>
          </cell>
          <cell r="Z1516" t="str">
            <v/>
          </cell>
          <cell r="AA1516">
            <v>46090</v>
          </cell>
          <cell r="AB1516" t="str">
            <v>Annalene Conde Mar 6, 2026 4:25 PM</v>
          </cell>
          <cell r="AC1516">
            <v>46129</v>
          </cell>
          <cell r="AD1516" t="str">
            <v/>
          </cell>
          <cell r="AE1516" t="str">
            <v/>
          </cell>
          <cell r="AF1516" t="str">
            <v/>
          </cell>
          <cell r="AG1516">
            <v>46143</v>
          </cell>
          <cell r="AH1516" t="str">
            <v/>
          </cell>
          <cell r="AI1516" t="str">
            <v/>
          </cell>
        </row>
        <row r="1517">
          <cell r="C1517">
            <v>222025</v>
          </cell>
          <cell r="E1517" t="str">
            <v/>
          </cell>
          <cell r="F1517" t="str">
            <v>All Weather Final</v>
          </cell>
          <cell r="G1517" t="str">
            <v>All Weather Collected</v>
          </cell>
          <cell r="H1517" t="str">
            <v>No</v>
          </cell>
          <cell r="I1517" t="str">
            <v>Alex</v>
          </cell>
          <cell r="J1517" t="str">
            <v/>
          </cell>
          <cell r="K1517" t="str">
            <v/>
          </cell>
          <cell r="L1517" t="str">
            <v/>
          </cell>
          <cell r="M1517" t="str">
            <v>Yes</v>
          </cell>
          <cell r="N1517" t="str">
            <v>https://panda-windows-and-doors.monday.com/protected_static/21046287/resources/2837832100/222025 Deposit Invoice.pdf</v>
          </cell>
          <cell r="O1517" t="str">
            <v/>
          </cell>
          <cell r="P1517" t="str">
            <v/>
          </cell>
          <cell r="Q1517" t="str">
            <v/>
          </cell>
          <cell r="R1517" t="str">
            <v/>
          </cell>
          <cell r="S1517" t="str">
            <v/>
          </cell>
          <cell r="T1517" t="str">
            <v>https://panda-windows-and-doors.monday.com/protected_static/21046287/resources/2835159125/2026-03-17 Purchase order - 222025 - (2026-03-17 02_30 AM).pdf</v>
          </cell>
          <cell r="U1517">
            <v>0</v>
          </cell>
          <cell r="V1517">
            <v>10211.99</v>
          </cell>
          <cell r="W1517" t="str">
            <v>George Bails May 2, 2026 7:45 AM</v>
          </cell>
          <cell r="X1517" t="str">
            <v/>
          </cell>
          <cell r="Y1517">
            <v>46098</v>
          </cell>
          <cell r="Z1517" t="str">
            <v/>
          </cell>
          <cell r="AA1517">
            <v>46098</v>
          </cell>
          <cell r="AB1517" t="str">
            <v>Annalene Conde Mar 17, 2026 10:14 AM</v>
          </cell>
          <cell r="AC1517">
            <v>46121</v>
          </cell>
          <cell r="AD1517" t="str">
            <v/>
          </cell>
          <cell r="AE1517" t="str">
            <v/>
          </cell>
          <cell r="AF1517" t="str">
            <v/>
          </cell>
          <cell r="AG1517">
            <v>46143</v>
          </cell>
          <cell r="AH1517" t="str">
            <v/>
          </cell>
          <cell r="AI1517" t="str">
            <v/>
          </cell>
        </row>
        <row r="1518">
          <cell r="C1518">
            <v>221947</v>
          </cell>
          <cell r="E1518" t="str">
            <v/>
          </cell>
          <cell r="F1518" t="str">
            <v>All Weather Final</v>
          </cell>
          <cell r="G1518" t="str">
            <v>All Weather Collected</v>
          </cell>
          <cell r="H1518" t="str">
            <v>No</v>
          </cell>
          <cell r="I1518" t="str">
            <v>Alex</v>
          </cell>
          <cell r="J1518" t="str">
            <v/>
          </cell>
          <cell r="K1518" t="str">
            <v/>
          </cell>
          <cell r="L1518" t="str">
            <v/>
          </cell>
          <cell r="M1518" t="str">
            <v>Yes</v>
          </cell>
          <cell r="N1518" t="str">
            <v>https://panda-windows-and-doors.monday.com/protected_static/21046287/resources/2809994095/221947 Deposit Invoice.pdf</v>
          </cell>
          <cell r="O1518" t="str">
            <v/>
          </cell>
          <cell r="P1518" t="str">
            <v/>
          </cell>
          <cell r="Q1518" t="str">
            <v/>
          </cell>
          <cell r="R1518" t="str">
            <v/>
          </cell>
          <cell r="S1518" t="str">
            <v/>
          </cell>
          <cell r="T1518" t="str">
            <v>https://panda-windows-and-doors.monday.com/protected_static/21046287/resources/2809827424/2026-03-06 Purchase order - 221947 - (2026-03-06 34_37 AM).pdf</v>
          </cell>
          <cell r="U1518">
            <v>0</v>
          </cell>
          <cell r="V1518">
            <v>27375</v>
          </cell>
          <cell r="W1518" t="str">
            <v>George Bails May 2, 2026 7:48 AM</v>
          </cell>
          <cell r="X1518" t="str">
            <v/>
          </cell>
          <cell r="Y1518">
            <v>46087</v>
          </cell>
          <cell r="Z1518" t="str">
            <v/>
          </cell>
          <cell r="AA1518">
            <v>46087</v>
          </cell>
          <cell r="AB1518" t="str">
            <v>Annalene Conde Mar 6, 2026 11:32 AM</v>
          </cell>
          <cell r="AC1518">
            <v>46115</v>
          </cell>
          <cell r="AD1518" t="str">
            <v/>
          </cell>
          <cell r="AE1518" t="str">
            <v/>
          </cell>
          <cell r="AF1518" t="str">
            <v/>
          </cell>
          <cell r="AG1518">
            <v>46143</v>
          </cell>
          <cell r="AH1518" t="str">
            <v/>
          </cell>
          <cell r="AI1518" t="str">
            <v/>
          </cell>
        </row>
        <row r="1519">
          <cell r="C1519">
            <v>222129</v>
          </cell>
          <cell r="E1519" t="str">
            <v/>
          </cell>
          <cell r="F1519" t="str">
            <v>All Weather Final</v>
          </cell>
          <cell r="G1519" t="str">
            <v>All Weather Collected</v>
          </cell>
          <cell r="H1519" t="str">
            <v>No</v>
          </cell>
          <cell r="I1519" t="str">
            <v>Alex</v>
          </cell>
          <cell r="J1519" t="str">
            <v/>
          </cell>
          <cell r="K1519" t="str">
            <v/>
          </cell>
          <cell r="L1519" t="str">
            <v/>
          </cell>
          <cell r="M1519" t="str">
            <v>Yes</v>
          </cell>
          <cell r="N1519" t="str">
            <v>https://panda-windows-and-doors.monday.com/protected_static/21046287/resources/2871844767/222129 Deposit Invoice.pdf</v>
          </cell>
          <cell r="O1519" t="str">
            <v/>
          </cell>
          <cell r="P1519" t="str">
            <v/>
          </cell>
          <cell r="Q1519" t="str">
            <v/>
          </cell>
          <cell r="R1519" t="str">
            <v/>
          </cell>
          <cell r="S1519" t="str">
            <v/>
          </cell>
          <cell r="T1519" t="str">
            <v>https://panda-windows-and-doors.monday.com/protected_static/21046287/resources/2869324642/2026-03-31 Purchase order - 222129 - (2026-03-31 18_18 PM).pdf</v>
          </cell>
          <cell r="U1519" t="str">
            <v/>
          </cell>
          <cell r="V1519">
            <v>7766</v>
          </cell>
          <cell r="W1519" t="str">
            <v>George Bails May 22, 2026 2:41 PM</v>
          </cell>
          <cell r="X1519" t="str">
            <v/>
          </cell>
          <cell r="Y1519">
            <v>46112</v>
          </cell>
          <cell r="Z1519" t="str">
            <v/>
          </cell>
          <cell r="AA1519">
            <v>46112</v>
          </cell>
          <cell r="AB1519" t="str">
            <v>Annalene Conde Mar 31, 2026 2:34 PM</v>
          </cell>
          <cell r="AC1519">
            <v>46142</v>
          </cell>
          <cell r="AD1519" t="str">
            <v/>
          </cell>
          <cell r="AE1519" t="str">
            <v/>
          </cell>
          <cell r="AF1519" t="str">
            <v/>
          </cell>
          <cell r="AG1519">
            <v>46164</v>
          </cell>
          <cell r="AH1519" t="str">
            <v/>
          </cell>
          <cell r="AI1519" t="str">
            <v/>
          </cell>
        </row>
        <row r="1520">
          <cell r="C1520">
            <v>222228</v>
          </cell>
          <cell r="E1520" t="str">
            <v/>
          </cell>
          <cell r="F1520" t="str">
            <v>All Weather Final</v>
          </cell>
          <cell r="G1520" t="str">
            <v>All Weather Collected</v>
          </cell>
          <cell r="H1520" t="str">
            <v>No</v>
          </cell>
          <cell r="I1520" t="str">
            <v>Alex</v>
          </cell>
          <cell r="J1520" t="str">
            <v/>
          </cell>
          <cell r="K1520" t="str">
            <v/>
          </cell>
          <cell r="L1520" t="str">
            <v/>
          </cell>
          <cell r="M1520" t="str">
            <v>Yes</v>
          </cell>
          <cell r="N1520" t="str">
            <v>https://panda-windows-and-doors.monday.com/protected_static/21046287/resources/2900411110/222228 Deposit Invoice.pdf</v>
          </cell>
          <cell r="O1520" t="str">
            <v/>
          </cell>
          <cell r="P1520" t="str">
            <v/>
          </cell>
          <cell r="Q1520" t="str">
            <v/>
          </cell>
          <cell r="R1520" t="str">
            <v/>
          </cell>
          <cell r="S1520" t="str">
            <v/>
          </cell>
          <cell r="T1520" t="str">
            <v>https://panda-windows-and-doors.monday.com/protected_static/21046287/resources/2899685095/2026-04-13 Purchase order - 222228 - (2026-04-13 54_08 PM).pdf</v>
          </cell>
          <cell r="U1520">
            <v>0</v>
          </cell>
          <cell r="V1520">
            <v>9790</v>
          </cell>
          <cell r="W1520" t="str">
            <v>George Bails May 22, 2026 2:42 PM</v>
          </cell>
          <cell r="X1520" t="str">
            <v/>
          </cell>
          <cell r="Y1520">
            <v>46126</v>
          </cell>
          <cell r="Z1520" t="str">
            <v/>
          </cell>
          <cell r="AA1520">
            <v>46126</v>
          </cell>
          <cell r="AB1520" t="str">
            <v>Annalene Conde Apr 14, 2026 8:15 AM</v>
          </cell>
          <cell r="AC1520">
            <v>46155</v>
          </cell>
          <cell r="AD1520" t="str">
            <v/>
          </cell>
          <cell r="AE1520" t="str">
            <v/>
          </cell>
          <cell r="AF1520" t="str">
            <v/>
          </cell>
          <cell r="AG1520">
            <v>46164</v>
          </cell>
          <cell r="AH1520" t="str">
            <v/>
          </cell>
          <cell r="AI1520" t="str">
            <v/>
          </cell>
        </row>
        <row r="1521">
          <cell r="C1521" t="str">
            <v/>
          </cell>
          <cell r="E1521" t="str">
            <v/>
          </cell>
          <cell r="F1521" t="str">
            <v/>
          </cell>
          <cell r="G1521" t="str">
            <v/>
          </cell>
          <cell r="H1521" t="str">
            <v/>
          </cell>
          <cell r="I1521" t="str">
            <v/>
          </cell>
          <cell r="J1521" t="str">
            <v/>
          </cell>
          <cell r="K1521" t="str">
            <v/>
          </cell>
          <cell r="L1521" t="str">
            <v/>
          </cell>
          <cell r="M1521" t="str">
            <v/>
          </cell>
          <cell r="N1521" t="str">
            <v/>
          </cell>
          <cell r="O1521" t="str">
            <v/>
          </cell>
          <cell r="P1521" t="str">
            <v/>
          </cell>
          <cell r="Q1521" t="str">
            <v/>
          </cell>
          <cell r="R1521" t="str">
            <v/>
          </cell>
          <cell r="S1521" t="str">
            <v/>
          </cell>
          <cell r="T1521" t="str">
            <v/>
          </cell>
          <cell r="U1521">
            <v>0</v>
          </cell>
          <cell r="V1521">
            <v>479188.06</v>
          </cell>
          <cell r="W1521" t="str">
            <v/>
          </cell>
          <cell r="X1521" t="str">
            <v/>
          </cell>
          <cell r="Y1521" t="str">
            <v>2025-03-25 to 2026-04-14</v>
          </cell>
          <cell r="Z1521" t="str">
            <v/>
          </cell>
          <cell r="AA1521" t="str">
            <v>2025-04-29 to 2026-04-14</v>
          </cell>
          <cell r="AB1521" t="str">
            <v/>
          </cell>
          <cell r="AC1521" t="str">
            <v>2025-04-29 to 2026-05-13</v>
          </cell>
          <cell r="AD1521" t="str">
            <v/>
          </cell>
          <cell r="AE1521" t="str">
            <v>2025-08-28</v>
          </cell>
          <cell r="AF1521" t="str">
            <v>2025-04-29 to 2025-11-21</v>
          </cell>
          <cell r="AG1521" t="str">
            <v>2025-05-22 to 2026-05-22</v>
          </cell>
          <cell r="AH1521" t="str">
            <v/>
          </cell>
          <cell r="AI1521" t="str">
            <v/>
          </cell>
        </row>
        <row r="1524">
          <cell r="C1524" t="str">
            <v>Q#</v>
          </cell>
          <cell r="E1524" t="str">
            <v>QQ# (Paradigm)</v>
          </cell>
          <cell r="F1524" t="str">
            <v>Type</v>
          </cell>
          <cell r="G1524" t="str">
            <v>Status</v>
          </cell>
          <cell r="H1524" t="str">
            <v>Expedited</v>
          </cell>
          <cell r="I1524" t="str">
            <v>RSM</v>
          </cell>
          <cell r="J1524" t="str">
            <v>Assigned</v>
          </cell>
          <cell r="K1524" t="str">
            <v>*Signed SO 1</v>
          </cell>
          <cell r="L1524" t="str">
            <v>*Signed Backer 1</v>
          </cell>
          <cell r="M1524" t="str">
            <v>Alex? Yes or No</v>
          </cell>
          <cell r="N1524" t="str">
            <v>Deposit Invoice PDF</v>
          </cell>
          <cell r="O1524" t="str">
            <v>Opportunities</v>
          </cell>
          <cell r="P1524" t="str">
            <v>Service Invoice PDF</v>
          </cell>
          <cell r="Q1524" t="str">
            <v>Service Req</v>
          </cell>
          <cell r="R1524" t="str">
            <v>Existing Client Documents</v>
          </cell>
          <cell r="S1524" t="str">
            <v>PM Status</v>
          </cell>
          <cell r="T1524" t="str">
            <v>Private Label PO</v>
          </cell>
          <cell r="U1524" t="str">
            <v>Deposit Amount</v>
          </cell>
          <cell r="V1524" t="str">
            <v>Final Amount</v>
          </cell>
          <cell r="W1524" t="str">
            <v>Last Updated</v>
          </cell>
          <cell r="X1524" t="str">
            <v>Qualified Date</v>
          </cell>
          <cell r="Y1524" t="str">
            <v>⏳Waiting on RSM</v>
          </cell>
          <cell r="Z1524" t="str">
            <v>Taxable?</v>
          </cell>
          <cell r="AA1524" t="str">
            <v>⚪Deposit Requested</v>
          </cell>
          <cell r="AB1524" t="str">
            <v>Creation Log</v>
          </cell>
          <cell r="AC1524" t="str">
            <v>🔵Deposit Sent</v>
          </cell>
          <cell r="AD1524" t="str">
            <v>🟡Deposit Collected</v>
          </cell>
          <cell r="AE1524" t="str">
            <v>♦️ Final Invoice Requested</v>
          </cell>
          <cell r="AF1524" t="str">
            <v>🟣Final Invoice Sent</v>
          </cell>
          <cell r="AG1524" t="str">
            <v>🟢Final Invoice Collected</v>
          </cell>
          <cell r="AH1524" t="str">
            <v>*Opportunities</v>
          </cell>
          <cell r="AI1524" t="str">
            <v>⭕ CO Request</v>
          </cell>
        </row>
        <row r="1525">
          <cell r="C1525">
            <v>500016</v>
          </cell>
          <cell r="E1525" t="str">
            <v/>
          </cell>
          <cell r="F1525" t="str">
            <v>Redstone Final</v>
          </cell>
          <cell r="G1525" t="str">
            <v>Redstone Collected</v>
          </cell>
          <cell r="H1525" t="str">
            <v>No</v>
          </cell>
          <cell r="I1525" t="str">
            <v>Alex</v>
          </cell>
          <cell r="J1525" t="str">
            <v/>
          </cell>
          <cell r="K1525" t="str">
            <v/>
          </cell>
          <cell r="L1525" t="str">
            <v/>
          </cell>
          <cell r="M1525" t="str">
            <v/>
          </cell>
          <cell r="N1525" t="str">
            <v>https://panda-windows-and-doors.monday.com/protected_static/21046287/resources/2077969750/500016 deposit invoice.pdf</v>
          </cell>
          <cell r="O1525" t="str">
            <v/>
          </cell>
          <cell r="P1525" t="str">
            <v/>
          </cell>
          <cell r="Q1525" t="str">
            <v/>
          </cell>
          <cell r="R1525" t="str">
            <v/>
          </cell>
          <cell r="S1525" t="str">
            <v/>
          </cell>
          <cell r="T1525" t="str">
            <v>https://panda-windows-and-doors.monday.com/protected_static/21046287/resources/2077779702/PO 500016.pdf</v>
          </cell>
          <cell r="U1525">
            <v>0</v>
          </cell>
          <cell r="V1525">
            <v>11530</v>
          </cell>
          <cell r="W1525" t="str">
            <v>Annalene Conde Nov 4, 2025 4:08 PM</v>
          </cell>
          <cell r="X1525" t="str">
            <v/>
          </cell>
          <cell r="Y1525">
            <v>45758</v>
          </cell>
          <cell r="Z1525" t="str">
            <v/>
          </cell>
          <cell r="AA1525">
            <v>45807</v>
          </cell>
          <cell r="AB1525" t="str">
            <v>Jayme Truong Apr 11, 2025 2:34 PM</v>
          </cell>
          <cell r="AC1525">
            <v>45807</v>
          </cell>
          <cell r="AD1525" t="str">
            <v/>
          </cell>
          <cell r="AE1525">
            <v>45807</v>
          </cell>
          <cell r="AF1525">
            <v>45807</v>
          </cell>
          <cell r="AG1525">
            <v>45897</v>
          </cell>
          <cell r="AH1525" t="str">
            <v/>
          </cell>
          <cell r="AI1525" t="str">
            <v/>
          </cell>
        </row>
        <row r="1526">
          <cell r="C1526">
            <v>500015</v>
          </cell>
          <cell r="E1526" t="str">
            <v/>
          </cell>
          <cell r="F1526" t="str">
            <v>Redstone Final</v>
          </cell>
          <cell r="G1526" t="str">
            <v>Redstone Collected</v>
          </cell>
          <cell r="H1526" t="str">
            <v>No</v>
          </cell>
          <cell r="I1526" t="str">
            <v>Alex</v>
          </cell>
          <cell r="J1526" t="str">
            <v/>
          </cell>
          <cell r="K1526" t="str">
            <v/>
          </cell>
          <cell r="L1526" t="str">
            <v/>
          </cell>
          <cell r="M1526" t="str">
            <v/>
          </cell>
          <cell r="N1526" t="str">
            <v>https://panda-windows-and-doors.monday.com/protected_static/21046287/resources/2008333827/Wood Grain Sales Order 500015.pdf</v>
          </cell>
          <cell r="O1526" t="str">
            <v/>
          </cell>
          <cell r="P1526" t="str">
            <v/>
          </cell>
          <cell r="Q1526" t="str">
            <v/>
          </cell>
          <cell r="R1526" t="str">
            <v/>
          </cell>
          <cell r="S1526" t="str">
            <v/>
          </cell>
          <cell r="T1526" t="str">
            <v>https://panda-windows-and-doors.monday.com/protected_static/21046287/resources/2008250407/500015 Purchase Order.pdf</v>
          </cell>
          <cell r="U1526">
            <v>0</v>
          </cell>
          <cell r="V1526">
            <v>25227</v>
          </cell>
          <cell r="W1526" t="str">
            <v>Annalene Conde Nov 4, 2025 4:08 PM</v>
          </cell>
          <cell r="X1526" t="str">
            <v/>
          </cell>
          <cell r="Y1526">
            <v>45726</v>
          </cell>
          <cell r="Z1526" t="str">
            <v/>
          </cell>
          <cell r="AA1526">
            <v>45812</v>
          </cell>
          <cell r="AB1526" t="str">
            <v>Jayme Truong Mar 10, 2025 11:18 AM</v>
          </cell>
          <cell r="AC1526">
            <v>45812</v>
          </cell>
          <cell r="AD1526" t="str">
            <v/>
          </cell>
          <cell r="AE1526">
            <v>45812</v>
          </cell>
          <cell r="AF1526">
            <v>45812</v>
          </cell>
          <cell r="AG1526">
            <v>45821</v>
          </cell>
          <cell r="AH1526" t="str">
            <v/>
          </cell>
          <cell r="AI1526" t="str">
            <v/>
          </cell>
        </row>
        <row r="1527">
          <cell r="C1527">
            <v>500017</v>
          </cell>
          <cell r="E1527" t="str">
            <v/>
          </cell>
          <cell r="F1527" t="str">
            <v>Redstone Final</v>
          </cell>
          <cell r="G1527" t="str">
            <v>Redstone Collected</v>
          </cell>
          <cell r="H1527" t="str">
            <v>No</v>
          </cell>
          <cell r="I1527" t="str">
            <v>Alex</v>
          </cell>
          <cell r="J1527" t="str">
            <v/>
          </cell>
          <cell r="K1527" t="str">
            <v/>
          </cell>
          <cell r="L1527" t="str">
            <v/>
          </cell>
          <cell r="M1527" t="str">
            <v>Yes</v>
          </cell>
          <cell r="N1527" t="str">
            <v>https://panda-windows-and-doors.monday.com/protected_static/21046287/resources/2295864674/500017 Deposit Invoice.pdf</v>
          </cell>
          <cell r="O1527" t="str">
            <v/>
          </cell>
          <cell r="P1527" t="str">
            <v/>
          </cell>
          <cell r="Q1527" t="str">
            <v/>
          </cell>
          <cell r="R1527" t="str">
            <v/>
          </cell>
          <cell r="S1527" t="str">
            <v/>
          </cell>
          <cell r="T1527" t="str">
            <v>https://panda-windows-and-doors.monday.com/protected_static/21046287/resources/2295557214/PO 500017.pdf</v>
          </cell>
          <cell r="U1527" t="str">
            <v/>
          </cell>
          <cell r="V1527">
            <v>17344</v>
          </cell>
          <cell r="W1527" t="str">
            <v>Annalene Conde Nov 4, 2025 4:08 PM</v>
          </cell>
          <cell r="X1527" t="str">
            <v/>
          </cell>
          <cell r="Y1527">
            <v>45855</v>
          </cell>
          <cell r="Z1527" t="str">
            <v/>
          </cell>
          <cell r="AA1527">
            <v>45855</v>
          </cell>
          <cell r="AB1527" t="str">
            <v>Jayme Truong Jul 17, 2025 2:07 PM</v>
          </cell>
          <cell r="AC1527">
            <v>45897</v>
          </cell>
          <cell r="AD1527" t="str">
            <v/>
          </cell>
          <cell r="AE1527">
            <v>45897</v>
          </cell>
          <cell r="AF1527">
            <v>45897</v>
          </cell>
          <cell r="AG1527">
            <v>45911</v>
          </cell>
          <cell r="AH1527" t="str">
            <v/>
          </cell>
          <cell r="AI1527" t="str">
            <v/>
          </cell>
        </row>
        <row r="1528">
          <cell r="C1528">
            <v>500018</v>
          </cell>
          <cell r="E1528" t="str">
            <v/>
          </cell>
          <cell r="F1528" t="str">
            <v>Redstone Final</v>
          </cell>
          <cell r="G1528" t="str">
            <v>Redstone Collected</v>
          </cell>
          <cell r="H1528" t="str">
            <v>No</v>
          </cell>
          <cell r="I1528" t="str">
            <v>Alex</v>
          </cell>
          <cell r="J1528" t="str">
            <v/>
          </cell>
          <cell r="K1528" t="str">
            <v/>
          </cell>
          <cell r="L1528" t="str">
            <v/>
          </cell>
          <cell r="M1528" t="str">
            <v>Yes</v>
          </cell>
          <cell r="N1528" t="str">
            <v/>
          </cell>
          <cell r="O1528" t="str">
            <v/>
          </cell>
          <cell r="P1528" t="str">
            <v/>
          </cell>
          <cell r="Q1528" t="str">
            <v/>
          </cell>
          <cell r="R1528" t="str">
            <v/>
          </cell>
          <cell r="S1528" t="str">
            <v/>
          </cell>
          <cell r="T1528" t="str">
            <v>https://panda-windows-and-doors.monday.com/protected_static/21046287/resources/2453876648/PO 500018.pdf, https://panda-windows-and-doors.monday.com/protected_static/21046287/resources/2544896023/PO 500018.pdf</v>
          </cell>
          <cell r="U1528" t="str">
            <v/>
          </cell>
          <cell r="V1528">
            <v>4998</v>
          </cell>
          <cell r="W1528" t="str">
            <v>Annalene Conde Feb 24, 2026 9:46 AM</v>
          </cell>
          <cell r="X1528" t="str">
            <v/>
          </cell>
          <cell r="Y1528">
            <v>45930</v>
          </cell>
          <cell r="Z1528" t="str">
            <v/>
          </cell>
          <cell r="AA1528">
            <v>45930</v>
          </cell>
          <cell r="AB1528" t="str">
            <v>Jayme Truong Sep 30, 2025 11:56 AM</v>
          </cell>
          <cell r="AC1528">
            <v>45971</v>
          </cell>
          <cell r="AD1528" t="str">
            <v/>
          </cell>
          <cell r="AE1528" t="str">
            <v/>
          </cell>
          <cell r="AF1528">
            <v>45971</v>
          </cell>
          <cell r="AG1528">
            <v>46077</v>
          </cell>
          <cell r="AH1528" t="str">
            <v/>
          </cell>
          <cell r="AI1528" t="str">
            <v/>
          </cell>
        </row>
        <row r="1529">
          <cell r="C1529">
            <v>500019</v>
          </cell>
          <cell r="E1529" t="str">
            <v/>
          </cell>
          <cell r="F1529" t="str">
            <v>Redstone Final</v>
          </cell>
          <cell r="G1529" t="str">
            <v>Redstone Collected</v>
          </cell>
          <cell r="H1529" t="str">
            <v>No</v>
          </cell>
          <cell r="I1529" t="str">
            <v/>
          </cell>
          <cell r="J1529" t="str">
            <v/>
          </cell>
          <cell r="K1529" t="str">
            <v/>
          </cell>
          <cell r="L1529" t="str">
            <v/>
          </cell>
          <cell r="M1529" t="str">
            <v>No</v>
          </cell>
          <cell r="N1529" t="str">
            <v>https://panda-windows-and-doors.monday.com/protected_static/21046287/resources/2766157712/500019 Deposit Invoice.pdf</v>
          </cell>
          <cell r="O1529" t="str">
            <v/>
          </cell>
          <cell r="P1529" t="str">
            <v/>
          </cell>
          <cell r="Q1529" t="str">
            <v/>
          </cell>
          <cell r="R1529" t="str">
            <v/>
          </cell>
          <cell r="S1529" t="str">
            <v/>
          </cell>
          <cell r="T1529" t="str">
            <v>https://panda-windows-and-doors.monday.com/protected_static/21046287/resources/2759358522/500019.docx, https://panda-windows-and-doors.monday.com/protected_static/21046287/resources/2760362808/4500694384_TS31 Service Ticket.pdf, https://panda-windows-and-doors.monday.com/protected_static/21046287/resources/2766125570/02172026_Sean^^ogM.pdf</v>
          </cell>
          <cell r="U1529" t="str">
            <v/>
          </cell>
          <cell r="V1529">
            <v>6390</v>
          </cell>
          <cell r="W1529" t="str">
            <v>Annalene Conde Mar 12, 2026 10:18 AM</v>
          </cell>
          <cell r="X1529" t="str">
            <v/>
          </cell>
          <cell r="Y1529">
            <v>46037</v>
          </cell>
          <cell r="Z1529" t="str">
            <v/>
          </cell>
          <cell r="AA1529">
            <v>46066</v>
          </cell>
          <cell r="AB1529" t="str">
            <v>Annalene Conde Jan 15, 2026 4:25 PM</v>
          </cell>
          <cell r="AC1529">
            <v>46069</v>
          </cell>
          <cell r="AD1529">
            <v>46093</v>
          </cell>
          <cell r="AE1529" t="str">
            <v/>
          </cell>
          <cell r="AF1529">
            <v>46069</v>
          </cell>
          <cell r="AG1529">
            <v>46093</v>
          </cell>
          <cell r="AH1529" t="str">
            <v/>
          </cell>
          <cell r="AI1529" t="str">
            <v/>
          </cell>
        </row>
        <row r="1530">
          <cell r="C1530" t="str">
            <v>4500788569-S</v>
          </cell>
          <cell r="E1530" t="str">
            <v/>
          </cell>
          <cell r="F1530" t="str">
            <v>Redstone Final</v>
          </cell>
          <cell r="G1530" t="str">
            <v>Redstone Collected</v>
          </cell>
          <cell r="H1530" t="str">
            <v>No</v>
          </cell>
          <cell r="I1530" t="str">
            <v/>
          </cell>
          <cell r="J1530" t="str">
            <v/>
          </cell>
          <cell r="K1530" t="str">
            <v/>
          </cell>
          <cell r="L1530" t="str">
            <v/>
          </cell>
          <cell r="M1530" t="str">
            <v>No</v>
          </cell>
          <cell r="N1530" t="str">
            <v>https://panda-windows-and-doors.monday.com/protected_static/21046287/resources/2818138738/4500788569 Deposit Invoice.pdf</v>
          </cell>
          <cell r="O1530" t="str">
            <v/>
          </cell>
          <cell r="P1530" t="str">
            <v/>
          </cell>
          <cell r="Q1530" t="str">
            <v/>
          </cell>
          <cell r="R1530" t="str">
            <v/>
          </cell>
          <cell r="S1530" t="str">
            <v/>
          </cell>
          <cell r="T1530" t="str">
            <v>https://panda-windows-and-doors.monday.com/protected_static/21046287/resources/2818009284/Print data.PDF</v>
          </cell>
          <cell r="U1530" t="str">
            <v/>
          </cell>
          <cell r="V1530">
            <v>80</v>
          </cell>
          <cell r="W1530" t="str">
            <v>Annalene Conde Mar 13, 2026 12:52 PM</v>
          </cell>
          <cell r="X1530" t="str">
            <v/>
          </cell>
          <cell r="Y1530">
            <v>46091</v>
          </cell>
          <cell r="Z1530" t="str">
            <v/>
          </cell>
          <cell r="AA1530">
            <v>46091</v>
          </cell>
          <cell r="AB1530" t="str">
            <v>Annalene Conde Mar 10, 2026 2:03 PM</v>
          </cell>
          <cell r="AC1530">
            <v>46091</v>
          </cell>
          <cell r="AD1530" t="str">
            <v/>
          </cell>
          <cell r="AE1530" t="str">
            <v/>
          </cell>
          <cell r="AF1530">
            <v>46091</v>
          </cell>
          <cell r="AG1530">
            <v>46094</v>
          </cell>
          <cell r="AH1530" t="str">
            <v/>
          </cell>
          <cell r="AI1530" t="str">
            <v/>
          </cell>
        </row>
        <row r="1531">
          <cell r="C1531">
            <v>500020</v>
          </cell>
          <cell r="E1531" t="str">
            <v/>
          </cell>
          <cell r="F1531" t="str">
            <v>Redstone Final</v>
          </cell>
          <cell r="G1531" t="str">
            <v>Redstone Collected</v>
          </cell>
          <cell r="H1531" t="str">
            <v>No</v>
          </cell>
          <cell r="I1531" t="str">
            <v>Alex</v>
          </cell>
          <cell r="J1531" t="str">
            <v/>
          </cell>
          <cell r="K1531" t="str">
            <v/>
          </cell>
          <cell r="L1531" t="str">
            <v/>
          </cell>
          <cell r="M1531" t="str">
            <v>Yes</v>
          </cell>
          <cell r="N1531" t="str">
            <v>https://panda-windows-and-doors.monday.com/protected_static/21046287/resources/2702622343/500020 Deposit Invoice.pdf</v>
          </cell>
          <cell r="O1531" t="str">
            <v/>
          </cell>
          <cell r="P1531" t="str">
            <v/>
          </cell>
          <cell r="Q1531" t="str">
            <v/>
          </cell>
          <cell r="R1531" t="str">
            <v/>
          </cell>
          <cell r="S1531" t="str">
            <v/>
          </cell>
          <cell r="T1531" t="str">
            <v>https://panda-windows-and-doors.monday.com/protected_static/21046287/resources/2700725052/500020.pdf</v>
          </cell>
          <cell r="U1531" t="str">
            <v/>
          </cell>
          <cell r="V1531">
            <v>24638</v>
          </cell>
          <cell r="W1531" t="str">
            <v>George Bails Apr 15, 2026 12:08 PM</v>
          </cell>
          <cell r="X1531" t="str">
            <v/>
          </cell>
          <cell r="Y1531">
            <v>46042</v>
          </cell>
          <cell r="Z1531" t="str">
            <v/>
          </cell>
          <cell r="AA1531">
            <v>46043</v>
          </cell>
          <cell r="AB1531" t="str">
            <v>Annalene Conde Jan 20, 2026 4:09 PM</v>
          </cell>
          <cell r="AC1531">
            <v>46076</v>
          </cell>
          <cell r="AD1531" t="str">
            <v/>
          </cell>
          <cell r="AE1531" t="str">
            <v/>
          </cell>
          <cell r="AF1531">
            <v>46076</v>
          </cell>
          <cell r="AG1531">
            <v>46121</v>
          </cell>
          <cell r="AH1531" t="str">
            <v/>
          </cell>
          <cell r="AI1531" t="str">
            <v/>
          </cell>
        </row>
        <row r="1532">
          <cell r="C1532">
            <v>500021</v>
          </cell>
          <cell r="E1532" t="str">
            <v/>
          </cell>
          <cell r="F1532" t="str">
            <v>Redstone Final</v>
          </cell>
          <cell r="G1532" t="str">
            <v>Redstone Collected</v>
          </cell>
          <cell r="H1532" t="str">
            <v>No</v>
          </cell>
          <cell r="I1532" t="str">
            <v>Alex</v>
          </cell>
          <cell r="J1532" t="str">
            <v/>
          </cell>
          <cell r="K1532" t="str">
            <v/>
          </cell>
          <cell r="L1532" t="str">
            <v/>
          </cell>
          <cell r="M1532" t="str">
            <v>Yes</v>
          </cell>
          <cell r="N1532" t="str">
            <v>https://panda-windows-and-doors.monday.com/protected_static/21046287/resources/2832808834/500021 Deposit Invoice.pdf</v>
          </cell>
          <cell r="O1532" t="str">
            <v/>
          </cell>
          <cell r="P1532" t="str">
            <v/>
          </cell>
          <cell r="Q1532" t="str">
            <v/>
          </cell>
          <cell r="R1532" t="str">
            <v/>
          </cell>
          <cell r="S1532" t="str">
            <v/>
          </cell>
          <cell r="T1532" t="str">
            <v>https://panda-windows-and-doors.monday.com/protected_static/21046287/resources/2828602231/PO 500021.pdf</v>
          </cell>
          <cell r="U1532">
            <v>0</v>
          </cell>
          <cell r="V1532">
            <v>28089</v>
          </cell>
          <cell r="W1532" t="str">
            <v>George Bails Apr 30, 2026 4:02 PM</v>
          </cell>
          <cell r="X1532" t="str">
            <v/>
          </cell>
          <cell r="Y1532">
            <v>46094</v>
          </cell>
          <cell r="Z1532" t="str">
            <v/>
          </cell>
          <cell r="AA1532">
            <v>46094</v>
          </cell>
          <cell r="AB1532" t="str">
            <v>Annalene Conde Mar 13, 2026 3:43 PM</v>
          </cell>
          <cell r="AC1532">
            <v>46136</v>
          </cell>
          <cell r="AD1532" t="str">
            <v/>
          </cell>
          <cell r="AE1532" t="str">
            <v/>
          </cell>
          <cell r="AF1532">
            <v>46136</v>
          </cell>
          <cell r="AG1532">
            <v>46142</v>
          </cell>
          <cell r="AH1532" t="str">
            <v/>
          </cell>
          <cell r="AI1532" t="str">
            <v/>
          </cell>
        </row>
        <row r="1533">
          <cell r="C1533" t="str">
            <v/>
          </cell>
          <cell r="E1533" t="str">
            <v/>
          </cell>
          <cell r="F1533" t="str">
            <v/>
          </cell>
          <cell r="G1533" t="str">
            <v/>
          </cell>
          <cell r="H1533" t="str">
            <v/>
          </cell>
          <cell r="I1533" t="str">
            <v/>
          </cell>
          <cell r="J1533" t="str">
            <v/>
          </cell>
          <cell r="K1533" t="str">
            <v/>
          </cell>
          <cell r="L1533" t="str">
            <v/>
          </cell>
          <cell r="M1533" t="str">
            <v/>
          </cell>
          <cell r="N1533" t="str">
            <v/>
          </cell>
          <cell r="O1533" t="str">
            <v/>
          </cell>
          <cell r="P1533" t="str">
            <v/>
          </cell>
          <cell r="Q1533" t="str">
            <v/>
          </cell>
          <cell r="R1533" t="str">
            <v/>
          </cell>
          <cell r="S1533" t="str">
            <v/>
          </cell>
          <cell r="T1533" t="str">
            <v/>
          </cell>
          <cell r="U1533">
            <v>0</v>
          </cell>
          <cell r="V1533">
            <v>118296</v>
          </cell>
          <cell r="W1533" t="str">
            <v/>
          </cell>
          <cell r="X1533" t="str">
            <v/>
          </cell>
          <cell r="Y1533" t="str">
            <v>2025-03-10 to 2026-03-13</v>
          </cell>
          <cell r="Z1533" t="str">
            <v/>
          </cell>
          <cell r="AA1533" t="str">
            <v>2025-05-30 to 2026-03-13</v>
          </cell>
          <cell r="AB1533" t="str">
            <v/>
          </cell>
          <cell r="AC1533" t="str">
            <v>2025-05-30 to 2026-04-24</v>
          </cell>
          <cell r="AD1533" t="str">
            <v>2026-03-12</v>
          </cell>
          <cell r="AE1533" t="str">
            <v>2025-05-30 to 2025-08-28</v>
          </cell>
          <cell r="AF1533" t="str">
            <v>2025-05-30 to 2026-04-24</v>
          </cell>
          <cell r="AG1533" t="str">
            <v>2025-06-13 to 2026-04-30</v>
          </cell>
          <cell r="AH1533" t="str">
            <v/>
          </cell>
          <cell r="AI1533" t="str">
            <v/>
          </cell>
        </row>
        <row r="1536">
          <cell r="C1536" t="str">
            <v>Q#</v>
          </cell>
          <cell r="E1536" t="str">
            <v>QQ# (Paradigm)</v>
          </cell>
          <cell r="F1536" t="str">
            <v>Type</v>
          </cell>
          <cell r="G1536" t="str">
            <v>Status</v>
          </cell>
          <cell r="H1536" t="str">
            <v>Expedited</v>
          </cell>
          <cell r="I1536" t="str">
            <v>RSM</v>
          </cell>
          <cell r="J1536" t="str">
            <v>Assigned</v>
          </cell>
          <cell r="K1536" t="str">
            <v>*Signed SO 1</v>
          </cell>
          <cell r="L1536" t="str">
            <v>*Signed Backer 1</v>
          </cell>
          <cell r="M1536" t="str">
            <v>Alex? Yes or No</v>
          </cell>
          <cell r="N1536" t="str">
            <v>Deposit Invoice PDF</v>
          </cell>
          <cell r="O1536" t="str">
            <v>Opportunities</v>
          </cell>
          <cell r="P1536" t="str">
            <v>Service Invoice PDF</v>
          </cell>
          <cell r="Q1536" t="str">
            <v>Service Req</v>
          </cell>
          <cell r="R1536" t="str">
            <v>Existing Client Documents</v>
          </cell>
          <cell r="S1536" t="str">
            <v>PM Status</v>
          </cell>
          <cell r="T1536" t="str">
            <v>Private Label PO</v>
          </cell>
          <cell r="U1536" t="str">
            <v>Deposit Amount</v>
          </cell>
          <cell r="V1536" t="str">
            <v>Final Amount</v>
          </cell>
          <cell r="W1536" t="str">
            <v>Last Updated</v>
          </cell>
          <cell r="X1536" t="str">
            <v>Qualified Date</v>
          </cell>
          <cell r="Y1536" t="str">
            <v>⏳Waiting on RSM</v>
          </cell>
          <cell r="Z1536" t="str">
            <v>Taxable?</v>
          </cell>
          <cell r="AA1536" t="str">
            <v>⚪Deposit Requested</v>
          </cell>
          <cell r="AB1536" t="str">
            <v>Creation Log</v>
          </cell>
          <cell r="AC1536" t="str">
            <v>🔵Deposit Sent</v>
          </cell>
          <cell r="AD1536" t="str">
            <v>🟡Deposit Collected</v>
          </cell>
          <cell r="AE1536" t="str">
            <v>♦️ Final Invoice Requested</v>
          </cell>
          <cell r="AF1536" t="str">
            <v>🟣Final Invoice Sent</v>
          </cell>
          <cell r="AG1536" t="str">
            <v>🟢Final Invoice Collected</v>
          </cell>
          <cell r="AH1536" t="str">
            <v>*Opportunities</v>
          </cell>
          <cell r="AI1536" t="str">
            <v>⭕ CO Request</v>
          </cell>
        </row>
        <row r="1537">
          <cell r="C1537">
            <v>75284</v>
          </cell>
          <cell r="E1537" t="str">
            <v/>
          </cell>
          <cell r="F1537" t="str">
            <v>Change Order</v>
          </cell>
          <cell r="G1537" t="str">
            <v>Change Order Collected</v>
          </cell>
          <cell r="H1537" t="str">
            <v>No</v>
          </cell>
          <cell r="I1537" t="str">
            <v>Efrain Zarate, Trevor Benthagen</v>
          </cell>
          <cell r="J1537" t="str">
            <v/>
          </cell>
          <cell r="K1537" t="str">
            <v/>
          </cell>
          <cell r="L1537" t="str">
            <v>https://panda-windows-and-doors.monday.com/protected_static/21046287/resources/2083506150/Q_75284_Backer_smtp.office365.com_20250218_081341.pdf</v>
          </cell>
          <cell r="M1537" t="str">
            <v/>
          </cell>
          <cell r="N1537" t="str">
            <v>https://panda-windows-and-doors.monday.com/protected_static/21046287/resources/1980593467/75284 CO3.pdf</v>
          </cell>
          <cell r="O1537" t="str">
            <v/>
          </cell>
          <cell r="P1537" t="str">
            <v/>
          </cell>
          <cell r="Q1537" t="str">
            <v/>
          </cell>
          <cell r="R1537" t="str">
            <v/>
          </cell>
          <cell r="S1537" t="str">
            <v>Completed - Closed Out</v>
          </cell>
          <cell r="T1537" t="str">
            <v/>
          </cell>
          <cell r="U1537">
            <v>88312</v>
          </cell>
          <cell r="V1537">
            <v>14014</v>
          </cell>
          <cell r="W1537" t="str">
            <v>Annalene Conde Mar 10, 2026 3:13 PM</v>
          </cell>
          <cell r="X1537" t="str">
            <v>2025-02-18 00:00</v>
          </cell>
          <cell r="Y1537" t="str">
            <v/>
          </cell>
          <cell r="Z1537" t="str">
            <v/>
          </cell>
          <cell r="AA1537">
            <v>45706</v>
          </cell>
          <cell r="AB1537" t="str">
            <v>Jayme Truong Feb 18, 2025 11:37 AM</v>
          </cell>
          <cell r="AC1537">
            <v>45706</v>
          </cell>
          <cell r="AD1537" t="str">
            <v/>
          </cell>
          <cell r="AE1537" t="str">
            <v/>
          </cell>
          <cell r="AF1537" t="str">
            <v/>
          </cell>
          <cell r="AG1537">
            <v>45713</v>
          </cell>
          <cell r="AH1537" t="str">
            <v>Horizon Glass</v>
          </cell>
          <cell r="AI1537">
            <v>45706</v>
          </cell>
        </row>
        <row r="1538">
          <cell r="C1538">
            <v>87805</v>
          </cell>
          <cell r="E1538" t="str">
            <v/>
          </cell>
          <cell r="F1538" t="str">
            <v>Change Order</v>
          </cell>
          <cell r="G1538" t="str">
            <v>Change Order Collected</v>
          </cell>
          <cell r="H1538" t="str">
            <v>No</v>
          </cell>
          <cell r="I1538" t="str">
            <v>Sean Torre</v>
          </cell>
          <cell r="J1538" t="str">
            <v/>
          </cell>
          <cell r="K1538" t="str">
            <v>https://panda-windows-and-doors.monday.com/protected_static/21046287/resources/2624534485/415 College.pdf</v>
          </cell>
          <cell r="L1538" t="str">
            <v>https://panda-windows-and-doors.monday.com/protected_static/21046287/resources/2624534599/CamScanner 12-16-25 10.53.pdf</v>
          </cell>
          <cell r="M1538" t="str">
            <v/>
          </cell>
          <cell r="N1538" t="str">
            <v>https://panda-windows-and-doors.monday.com/protected_static/21046287/resources/2742404036/415 college.png, https://panda-windows-and-doors.monday.com/protected_static/21046287/resources/2742408625/87805 Deposit Invoice REVISED 25%.pdf</v>
          </cell>
          <cell r="O1538" t="str">
            <v/>
          </cell>
          <cell r="P1538" t="str">
            <v/>
          </cell>
          <cell r="Q1538" t="str">
            <v/>
          </cell>
          <cell r="R1538" t="str">
            <v/>
          </cell>
          <cell r="S1538" t="str">
            <v>Sent to Engineering</v>
          </cell>
          <cell r="T1538" t="str">
            <v/>
          </cell>
          <cell r="U1538">
            <v>7291</v>
          </cell>
          <cell r="V1538">
            <v>9403</v>
          </cell>
          <cell r="W1538" t="str">
            <v>Sean Lopez May 21, 2026 11:23 AM</v>
          </cell>
          <cell r="X1538" t="str">
            <v>2025-10-15 11:31</v>
          </cell>
          <cell r="Y1538">
            <v>46007</v>
          </cell>
          <cell r="Z1538" t="str">
            <v/>
          </cell>
          <cell r="AA1538">
            <v>46007</v>
          </cell>
          <cell r="AB1538" t="str">
            <v>Annalene Conde Dec 16, 2025 12:12 PM</v>
          </cell>
          <cell r="AC1538">
            <v>46007</v>
          </cell>
          <cell r="AD1538">
            <v>46065</v>
          </cell>
          <cell r="AE1538" t="str">
            <v/>
          </cell>
          <cell r="AF1538" t="str">
            <v/>
          </cell>
          <cell r="AG1538">
            <v>46078</v>
          </cell>
          <cell r="AH1538" t="str">
            <v>Rudy Gomez</v>
          </cell>
          <cell r="AI1538">
            <v>46078</v>
          </cell>
        </row>
        <row r="1539">
          <cell r="C1539">
            <v>87616</v>
          </cell>
          <cell r="E1539" t="str">
            <v/>
          </cell>
          <cell r="F1539" t="str">
            <v>Change Order</v>
          </cell>
          <cell r="G1539" t="str">
            <v>Change Order Collected</v>
          </cell>
          <cell r="H1539" t="str">
            <v>No</v>
          </cell>
          <cell r="I1539" t="str">
            <v>Joe Smith</v>
          </cell>
          <cell r="J1539" t="str">
            <v/>
          </cell>
          <cell r="K1539" t="str">
            <v>https://panda-windows-and-doors.monday.com/protected_static/21046287/resources/2736414368/PO 18259 - BOOKING PO_signed.pdf</v>
          </cell>
          <cell r="L1539" t="str">
            <v>https://panda-windows-and-doors.monday.com/protected_static/21046287/resources/2736409329/1990 K Street Signed backer.pdf</v>
          </cell>
          <cell r="M1539" t="str">
            <v/>
          </cell>
          <cell r="N1539" t="str">
            <v>https://panda-windows-and-doors.monday.com/protected_static/21046287/resources/2741386041/87616 Deposit Invoice.pdf</v>
          </cell>
          <cell r="O1539" t="str">
            <v/>
          </cell>
          <cell r="P1539" t="str">
            <v/>
          </cell>
          <cell r="Q1539" t="str">
            <v/>
          </cell>
          <cell r="R1539" t="str">
            <v/>
          </cell>
          <cell r="S1539" t="str">
            <v>Sent to Engineering</v>
          </cell>
          <cell r="T1539" t="str">
            <v/>
          </cell>
          <cell r="U1539">
            <v>35586</v>
          </cell>
          <cell r="V1539">
            <v>11856.66</v>
          </cell>
          <cell r="W1539" t="str">
            <v>Sean Lopez Mar 13, 2026 4:20 PM</v>
          </cell>
          <cell r="X1539" t="str">
            <v>2025-10-02 00:00</v>
          </cell>
          <cell r="Y1539">
            <v>46057</v>
          </cell>
          <cell r="Z1539" t="str">
            <v/>
          </cell>
          <cell r="AA1539">
            <v>46057</v>
          </cell>
          <cell r="AB1539" t="str">
            <v>Annalene Conde Feb 4, 2026 4:09 PM</v>
          </cell>
          <cell r="AC1539">
            <v>46059</v>
          </cell>
          <cell r="AD1539">
            <v>46069</v>
          </cell>
          <cell r="AE1539" t="str">
            <v/>
          </cell>
          <cell r="AF1539" t="str">
            <v/>
          </cell>
          <cell r="AG1539">
            <v>46080</v>
          </cell>
          <cell r="AH1539" t="str">
            <v>Advanced Window, Inc</v>
          </cell>
          <cell r="AI1539">
            <v>46080</v>
          </cell>
        </row>
        <row r="1540">
          <cell r="C1540">
            <v>84134</v>
          </cell>
          <cell r="E1540" t="str">
            <v/>
          </cell>
          <cell r="F1540" t="str">
            <v>Change Order</v>
          </cell>
          <cell r="G1540" t="str">
            <v>Change Order Collected</v>
          </cell>
          <cell r="H1540" t="str">
            <v>No</v>
          </cell>
          <cell r="I1540" t="str">
            <v>Derrick McCall</v>
          </cell>
          <cell r="J1540" t="str">
            <v/>
          </cell>
          <cell r="K1540" t="str">
            <v>https://panda-windows-and-doors.monday.com/protected_static/21046287/resources/2462241249/Quote Panda QQ #84134 - Cedar and Sage - 08252025 - Signed.pdf</v>
          </cell>
          <cell r="L1540" t="str">
            <v>https://panda-windows-and-doors.monday.com/protected_static/21046287/resources/2462237675/smtp.office365.com_20251003_064642.pdf</v>
          </cell>
          <cell r="M1540" t="str">
            <v/>
          </cell>
          <cell r="N1540" t="str">
            <v>https://panda-windows-and-doors.monday.com/protected_static/21046287/resources/2463074346/84134 Deposit Invoice.pdf</v>
          </cell>
          <cell r="O1540" t="str">
            <v/>
          </cell>
          <cell r="P1540" t="str">
            <v/>
          </cell>
          <cell r="Q1540" t="str">
            <v/>
          </cell>
          <cell r="R1540" t="str">
            <v/>
          </cell>
          <cell r="S1540" t="str">
            <v>In Production</v>
          </cell>
          <cell r="T1540" t="str">
            <v/>
          </cell>
          <cell r="U1540">
            <v>64205</v>
          </cell>
          <cell r="V1540">
            <v>75562.25</v>
          </cell>
          <cell r="W1540" t="str">
            <v>Noya Shoshan Mar 28, 2026 2:05 PM</v>
          </cell>
          <cell r="X1540" t="str">
            <v>2025-03-03 00:00</v>
          </cell>
          <cell r="Y1540">
            <v>45933</v>
          </cell>
          <cell r="Z1540" t="str">
            <v/>
          </cell>
          <cell r="AA1540">
            <v>45933</v>
          </cell>
          <cell r="AB1540" t="str">
            <v>Annalene Conde Oct 3, 2025 9:21 AM</v>
          </cell>
          <cell r="AC1540">
            <v>45933</v>
          </cell>
          <cell r="AD1540">
            <v>45945</v>
          </cell>
          <cell r="AE1540" t="str">
            <v/>
          </cell>
          <cell r="AF1540" t="str">
            <v/>
          </cell>
          <cell r="AG1540">
            <v>46086</v>
          </cell>
          <cell r="AH1540" t="str">
            <v>D &amp; R Glass, Inc.</v>
          </cell>
          <cell r="AI1540">
            <v>46086</v>
          </cell>
        </row>
        <row r="1541">
          <cell r="C1541">
            <v>82632</v>
          </cell>
          <cell r="E1541" t="str">
            <v/>
          </cell>
          <cell r="F1541" t="str">
            <v>Change Order</v>
          </cell>
          <cell r="G1541" t="str">
            <v>Change Order Collected</v>
          </cell>
          <cell r="H1541" t="str">
            <v>No</v>
          </cell>
          <cell r="I1541" t="str">
            <v>Stefan Monetta</v>
          </cell>
          <cell r="J1541" t="str">
            <v/>
          </cell>
          <cell r="K1541" t="str">
            <v>https://panda-windows-and-doors.monday.com/protected_static/21046287/resources/2071977206/[Untitled].pdf</v>
          </cell>
          <cell r="L1541" t="str">
            <v>https://panda-windows-and-doors.monday.com/protected_static/21046287/resources/2083402050/smtp.office365.com_20250408_143801.pdf, https://panda-windows-and-doors.monday.com/protected_static/21046287/resources/2083402052/smtp.office365.com_20250408_143801 (1).pdf</v>
          </cell>
          <cell r="M1541" t="str">
            <v/>
          </cell>
          <cell r="N1541" t="str">
            <v>https://panda-windows-and-doors.monday.com/protected_static/21046287/resources/2072274959/82632 deposit invoice.pdf, https://panda-windows-and-doors.monday.com/protected_static/21046287/resources/2844882642/82632 Deposit Invoice CO 1.pdf</v>
          </cell>
          <cell r="O1541" t="str">
            <v/>
          </cell>
          <cell r="P1541" t="str">
            <v/>
          </cell>
          <cell r="Q1541" t="str">
            <v/>
          </cell>
          <cell r="R1541" t="str">
            <v/>
          </cell>
          <cell r="S1541" t="str">
            <v>In Production</v>
          </cell>
          <cell r="T1541" t="str">
            <v/>
          </cell>
          <cell r="U1541">
            <v>109478</v>
          </cell>
          <cell r="V1541">
            <v>109478</v>
          </cell>
          <cell r="W1541" t="str">
            <v>George Bails Apr 6, 2026 8:40 AM</v>
          </cell>
          <cell r="X1541" t="str">
            <v>2025-04-09 00:00</v>
          </cell>
          <cell r="Y1541">
            <v>45756</v>
          </cell>
          <cell r="Z1541" t="str">
            <v/>
          </cell>
          <cell r="AA1541">
            <v>45756</v>
          </cell>
          <cell r="AB1541" t="str">
            <v>Jayme Truong Apr 9, 2025 11:18 AM</v>
          </cell>
          <cell r="AC1541">
            <v>45756</v>
          </cell>
          <cell r="AD1541">
            <v>45758</v>
          </cell>
          <cell r="AE1541" t="str">
            <v/>
          </cell>
          <cell r="AF1541" t="str">
            <v/>
          </cell>
          <cell r="AG1541">
            <v>46107</v>
          </cell>
          <cell r="AH1541" t="str">
            <v>Hasco Construction</v>
          </cell>
          <cell r="AI1541">
            <v>46100</v>
          </cell>
        </row>
        <row r="1542">
          <cell r="C1542">
            <v>84221</v>
          </cell>
          <cell r="E1542" t="str">
            <v/>
          </cell>
          <cell r="F1542" t="str">
            <v>Change Order</v>
          </cell>
          <cell r="G1542" t="str">
            <v>Change Order Collected</v>
          </cell>
          <cell r="H1542" t="str">
            <v>No</v>
          </cell>
          <cell r="I1542" t="str">
            <v>Efrain Zarate, Luke Valles</v>
          </cell>
          <cell r="J1542" t="str">
            <v/>
          </cell>
          <cell r="K1542" t="str">
            <v>https://panda-windows-and-doors.monday.com/protected_static/21046287/resources/2303080197/smtp.office365.com_20250721_103119.pdf</v>
          </cell>
          <cell r="L1542" t="str">
            <v>https://panda-windows-and-doors.monday.com/protected_static/21046287/resources/2303079860/smtp.office365.com_20250721_103109.pdf</v>
          </cell>
          <cell r="M1542" t="str">
            <v/>
          </cell>
          <cell r="N1542" t="str">
            <v>https://panda-windows-and-doors.monday.com/protected_static/21046287/resources/2303289185/84221 Deposit Invoice.pdf, https://panda-windows-and-doors.monday.com/protected_static/21046287/resources/2771917623/84221 Deposit Invoice updated CO 1.pdf</v>
          </cell>
          <cell r="O1542" t="str">
            <v/>
          </cell>
          <cell r="P1542" t="str">
            <v/>
          </cell>
          <cell r="Q1542" t="str">
            <v/>
          </cell>
          <cell r="R1542" t="str">
            <v/>
          </cell>
          <cell r="S1542" t="str">
            <v>In Production</v>
          </cell>
          <cell r="T1542" t="str">
            <v/>
          </cell>
          <cell r="U1542">
            <v>132329</v>
          </cell>
          <cell r="V1542">
            <v>132329</v>
          </cell>
          <cell r="W1542" t="str">
            <v>Trevor Benthagen Apr 7, 2026 3:36 PM</v>
          </cell>
          <cell r="X1542" t="str">
            <v>2025-01-16 00:00</v>
          </cell>
          <cell r="Y1542">
            <v>45859</v>
          </cell>
          <cell r="Z1542" t="str">
            <v/>
          </cell>
          <cell r="AA1542">
            <v>45859</v>
          </cell>
          <cell r="AB1542" t="str">
            <v>Jayme Truong Jul 21, 2025 1:03 PM</v>
          </cell>
          <cell r="AC1542">
            <v>45860</v>
          </cell>
          <cell r="AD1542" t="str">
            <v/>
          </cell>
          <cell r="AE1542" t="str">
            <v/>
          </cell>
          <cell r="AF1542" t="str">
            <v/>
          </cell>
          <cell r="AG1542">
            <v>46118</v>
          </cell>
          <cell r="AH1542" t="str">
            <v>Turkel Design</v>
          </cell>
          <cell r="AI1542">
            <v>46070</v>
          </cell>
        </row>
        <row r="1543">
          <cell r="C1543">
            <v>89472</v>
          </cell>
          <cell r="E1543" t="str">
            <v/>
          </cell>
          <cell r="F1543" t="str">
            <v>Change Order</v>
          </cell>
          <cell r="G1543" t="str">
            <v>Change Order Collected</v>
          </cell>
          <cell r="H1543" t="str">
            <v>No</v>
          </cell>
          <cell r="I1543" t="str">
            <v>Trevor Benthagen</v>
          </cell>
          <cell r="J1543" t="str">
            <v/>
          </cell>
          <cell r="K1543" t="str">
            <v>https://panda-windows-and-doors.monday.com/protected_static/21046287/resources/2865395426/BP-70M55_20260330_112135.pdf</v>
          </cell>
          <cell r="L1543" t="str">
            <v>https://panda-windows-and-doors.monday.com/protected_static/21046287/resources/2865395828/BP-70M55_20260330_112146.pdf</v>
          </cell>
          <cell r="M1543" t="str">
            <v/>
          </cell>
          <cell r="N1543" t="str">
            <v>https://panda-windows-and-doors.monday.com/protected_static/21046287/resources/2865944128/89472 DEPOSIT INVOCE.pdf</v>
          </cell>
          <cell r="O1543" t="str">
            <v/>
          </cell>
          <cell r="P1543" t="str">
            <v/>
          </cell>
          <cell r="Q1543" t="str">
            <v/>
          </cell>
          <cell r="R1543" t="str">
            <v>https://panda-windows-and-doors.monday.com/protected_static/21046287/resources/2941783352/MF 5302 Q89472 SEMPLE RESIDENCE - B.O.M.pdf, https://panda-windows-and-doors.monday.com/protected_static/21046287/resources/2941783354/MF 5302 Q89472 SEMPLE RESIDENCE - CUTLIST (MANUAL).pdf, https://panda-windows-and-doors.monday.com/protected_static/21046287/resources/2941783355/MF 5302 Q89472 SEMPLE RESIDENCE -CUTLIST (GINERI).pdf, https://panda-windows-and-doors.monday.com/protected_static/21046287/resources/2941783351/MF 5302 Q89472 SEMPLE RESIDENCE -OPT.pdf</v>
          </cell>
          <cell r="S1543" t="str">
            <v>In Production</v>
          </cell>
          <cell r="T1543" t="str">
            <v/>
          </cell>
          <cell r="U1543">
            <v>58316</v>
          </cell>
          <cell r="V1543">
            <v>68584.52</v>
          </cell>
          <cell r="W1543" t="str">
            <v>Elizabet Lopez Jun 16, 2026 9:24 AM</v>
          </cell>
          <cell r="X1543" t="str">
            <v>2026-02-19 00:00</v>
          </cell>
          <cell r="Y1543">
            <v>46111</v>
          </cell>
          <cell r="Z1543" t="str">
            <v/>
          </cell>
          <cell r="AA1543">
            <v>46111</v>
          </cell>
          <cell r="AB1543" t="str">
            <v>Annalene Conde Mar 30, 2026 1:15 PM</v>
          </cell>
          <cell r="AC1543">
            <v>46111</v>
          </cell>
          <cell r="AD1543">
            <v>46115</v>
          </cell>
          <cell r="AE1543" t="str">
            <v/>
          </cell>
          <cell r="AF1543" t="str">
            <v/>
          </cell>
          <cell r="AG1543">
            <v>46120</v>
          </cell>
          <cell r="AH1543" t="str">
            <v>Semple Residence</v>
          </cell>
          <cell r="AI1543">
            <v>46120</v>
          </cell>
        </row>
        <row r="1544">
          <cell r="C1544">
            <v>86318</v>
          </cell>
          <cell r="E1544" t="str">
            <v/>
          </cell>
          <cell r="F1544" t="str">
            <v>Change Order</v>
          </cell>
          <cell r="G1544" t="str">
            <v>Change Order Collected</v>
          </cell>
          <cell r="H1544" t="str">
            <v>No</v>
          </cell>
          <cell r="I1544" t="str">
            <v>Derrick McCall</v>
          </cell>
          <cell r="J1544" t="str">
            <v/>
          </cell>
          <cell r="K1544" t="str">
            <v>https://panda-windows-and-doors.monday.com/protected_static/21046287/resources/2645509979/PO 5900 - QQ#86318 Snell and Wilmer 11252025.pdf</v>
          </cell>
          <cell r="L1544" t="str">
            <v>https://panda-windows-and-doors.monday.com/protected_static/21046287/resources/2645505976/Q86318 AB.pdf</v>
          </cell>
          <cell r="M1544" t="str">
            <v/>
          </cell>
          <cell r="N1544" t="str">
            <v>https://panda-windows-and-doors.monday.com/protected_static/21046287/resources/2646134787/86318 Deposit Invoice.pdf</v>
          </cell>
          <cell r="O1544" t="str">
            <v/>
          </cell>
          <cell r="P1544" t="str">
            <v/>
          </cell>
          <cell r="Q1544" t="str">
            <v/>
          </cell>
          <cell r="R1544" t="str">
            <v>https://panda-windows-and-doors.monday.com/protected_static/21046287/resources/2930922492/Q86318 SNELL &amp; WILMER - B.O.M.pdf, https://panda-windows-and-doors.monday.com/protected_static/21046287/resources/2930922494/Q86318 SNELL &amp; WILMER - CUTLIST (MANUAL).pdf</v>
          </cell>
          <cell r="S1544" t="str">
            <v>In Production</v>
          </cell>
          <cell r="T1544" t="str">
            <v/>
          </cell>
          <cell r="U1544">
            <v>31398</v>
          </cell>
          <cell r="V1544">
            <v>31398</v>
          </cell>
          <cell r="W1544" t="str">
            <v>Sean Lopez Apr 30, 2026 3:45 PM</v>
          </cell>
          <cell r="X1544" t="str">
            <v>2025-07-02 00:00</v>
          </cell>
          <cell r="Y1544">
            <v>46020</v>
          </cell>
          <cell r="Z1544" t="str">
            <v/>
          </cell>
          <cell r="AA1544">
            <v>46020</v>
          </cell>
          <cell r="AB1544" t="str">
            <v>Annalene Conde Dec 29, 2025 2:48 PM</v>
          </cell>
          <cell r="AC1544">
            <v>46020</v>
          </cell>
          <cell r="AD1544">
            <v>46030</v>
          </cell>
          <cell r="AE1544" t="str">
            <v/>
          </cell>
          <cell r="AF1544" t="str">
            <v/>
          </cell>
          <cell r="AG1544">
            <v>46136</v>
          </cell>
          <cell r="AH1544" t="str">
            <v>Builders Direct Supply</v>
          </cell>
          <cell r="AI1544">
            <v>46129</v>
          </cell>
        </row>
        <row r="1545">
          <cell r="C1545">
            <v>90093</v>
          </cell>
          <cell r="E1545" t="str">
            <v/>
          </cell>
          <cell r="F1545" t="str">
            <v>Change Order</v>
          </cell>
          <cell r="G1545" t="str">
            <v>Change Order Collected</v>
          </cell>
          <cell r="H1545" t="str">
            <v>No</v>
          </cell>
          <cell r="I1545" t="str">
            <v>Jameson Dahn</v>
          </cell>
          <cell r="J1545" t="str">
            <v/>
          </cell>
          <cell r="K1545" t="str">
            <v>https://panda-windows-and-doors.monday.com/protected_static/21046287/resources/2884338011/Signed - Panda Sales Order 1174 - 040726.pdf</v>
          </cell>
          <cell r="L1545" t="str">
            <v>https://panda-windows-and-doors.monday.com/protected_static/21046287/resources/2884333147/Big Blue Bar Signed SO.pdf</v>
          </cell>
          <cell r="M1545" t="str">
            <v/>
          </cell>
          <cell r="N1545" t="str">
            <v>https://panda-windows-and-doors.monday.com/protected_static/21046287/resources/2887560507/90093 Deposit Invoice.pdf, https://panda-windows-and-doors.monday.com/protected_static/21046287/resources/2939066419/90093 Deposit Invoice CO 1.pdf</v>
          </cell>
          <cell r="O1545" t="str">
            <v/>
          </cell>
          <cell r="P1545" t="str">
            <v/>
          </cell>
          <cell r="Q1545" t="str">
            <v/>
          </cell>
          <cell r="R1545" t="str">
            <v>https://panda-windows-and-doors.monday.com/protected_static/21046287/resources/2968272738/ES 5291 Q90093 BIG BLUE BAR - B.O.M.pdf, https://panda-windows-and-doors.monday.com/protected_static/21046287/resources/2968272745/ES 5291 Q90093 BIG BLUE BAR - CUTLIST (GINERI).pdf, https://panda-windows-and-doors.monday.com/protected_static/21046287/resources/2968272743/ES 5291 Q90093 BIG BLUE BAR - OPT.pdf</v>
          </cell>
          <cell r="S1545" t="str">
            <v>In Production</v>
          </cell>
          <cell r="T1545" t="str">
            <v/>
          </cell>
          <cell r="U1545">
            <v>20789</v>
          </cell>
          <cell r="V1545">
            <v>22097.52</v>
          </cell>
          <cell r="W1545" t="str">
            <v>Amit Iarochevsky May 5, 2026 8:28 AM</v>
          </cell>
          <cell r="X1545" t="str">
            <v>2026-03-27 13:46</v>
          </cell>
          <cell r="Y1545">
            <v>46119</v>
          </cell>
          <cell r="Z1545" t="str">
            <v/>
          </cell>
          <cell r="AA1545">
            <v>46119</v>
          </cell>
          <cell r="AB1545" t="str">
            <v>Annalene Conde Apr 7, 2026 4:11 PM</v>
          </cell>
          <cell r="AC1545">
            <v>46120</v>
          </cell>
          <cell r="AD1545">
            <v>46127</v>
          </cell>
          <cell r="AE1545" t="str">
            <v/>
          </cell>
          <cell r="AF1545" t="str">
            <v/>
          </cell>
          <cell r="AG1545">
            <v>46147</v>
          </cell>
          <cell r="AH1545" t="str">
            <v>Buzick Contstruction</v>
          </cell>
          <cell r="AI1545">
            <v>46141</v>
          </cell>
        </row>
        <row r="1546">
          <cell r="C1546">
            <v>88556</v>
          </cell>
          <cell r="E1546" t="str">
            <v/>
          </cell>
          <cell r="F1546" t="str">
            <v>Change Order</v>
          </cell>
          <cell r="G1546" t="str">
            <v>Change Order Collected</v>
          </cell>
          <cell r="H1546" t="str">
            <v>No</v>
          </cell>
          <cell r="I1546" t="str">
            <v>Jameson Dahn</v>
          </cell>
          <cell r="J1546" t="str">
            <v/>
          </cell>
          <cell r="K1546" t="str">
            <v>https://panda-windows-and-doors.monday.com/protected_static/21046287/resources/2788592974/QQ #88556 - 45 Littles Road - 01092026 - signed.pdf</v>
          </cell>
          <cell r="L1546" t="str">
            <v>https://panda-windows-and-doors.monday.com/protected_static/21046287/resources/2788592687/Adobe Scan Feb 26, 2026.pdf</v>
          </cell>
          <cell r="M1546" t="str">
            <v/>
          </cell>
          <cell r="N1546" t="str">
            <v>https://panda-windows-and-doors.monday.com/protected_static/21046287/resources/2788913564/88556 Deposit Invoice.pdf, https://panda-windows-and-doors.monday.com/protected_static/21046287/resources/2950878965/88556 Deposit Invoice CO 1.pdf</v>
          </cell>
          <cell r="O1546" t="str">
            <v/>
          </cell>
          <cell r="P1546" t="str">
            <v/>
          </cell>
          <cell r="Q1546" t="str">
            <v/>
          </cell>
          <cell r="R1546" t="str">
            <v/>
          </cell>
          <cell r="S1546" t="str">
            <v/>
          </cell>
          <cell r="T1546" t="str">
            <v/>
          </cell>
          <cell r="U1546">
            <v>11662</v>
          </cell>
          <cell r="V1546">
            <v>13238.51</v>
          </cell>
          <cell r="W1546" t="str">
            <v>Amit Iarochevsky May 6, 2026 10:25 AM</v>
          </cell>
          <cell r="X1546" t="str">
            <v>2025-12-12 00:00</v>
          </cell>
          <cell r="Y1546">
            <v>46079</v>
          </cell>
          <cell r="Z1546" t="str">
            <v/>
          </cell>
          <cell r="AA1546">
            <v>46079</v>
          </cell>
          <cell r="AB1546" t="str">
            <v>Annalene Conde Feb 26, 2026 11:32 AM</v>
          </cell>
          <cell r="AC1546">
            <v>46079</v>
          </cell>
          <cell r="AD1546">
            <v>46087</v>
          </cell>
          <cell r="AE1546" t="str">
            <v/>
          </cell>
          <cell r="AF1546" t="str">
            <v/>
          </cell>
          <cell r="AG1546">
            <v>46148</v>
          </cell>
          <cell r="AH1546" t="str">
            <v>A&amp;A Window Products Inc</v>
          </cell>
          <cell r="AI1546">
            <v>46134</v>
          </cell>
        </row>
        <row r="1547">
          <cell r="C1547">
            <v>88433</v>
          </cell>
          <cell r="E1547" t="str">
            <v/>
          </cell>
          <cell r="F1547" t="str">
            <v>Change Order</v>
          </cell>
          <cell r="G1547" t="str">
            <v>Change Order Collected</v>
          </cell>
          <cell r="H1547" t="str">
            <v>No</v>
          </cell>
          <cell r="I1547" t="str">
            <v>Derrick McCall</v>
          </cell>
          <cell r="J1547" t="str">
            <v/>
          </cell>
          <cell r="K1547" t="str">
            <v>https://panda-windows-and-doors.monday.com/protected_static/21046287/resources/2676546680/QQ #88433 - Rosebowl South Endzone Club - 01092026 signed.pdf</v>
          </cell>
          <cell r="L1547" t="str">
            <v>https://panda-windows-and-doors.monday.com/protected_static/21046287/resources/2676546294/BP-70M55_20260112_145836.pdf</v>
          </cell>
          <cell r="M1547" t="str">
            <v/>
          </cell>
          <cell r="N1547" t="str">
            <v>https://panda-windows-and-doors.monday.com/protected_static/21046287/resources/2676622999/88433 Deposit Invoice.pdf, https://panda-windows-and-doors.monday.com/protected_static/21046287/resources/2962478877/88433 Deposit Invoice CO 1.pdf</v>
          </cell>
          <cell r="O1547" t="str">
            <v/>
          </cell>
          <cell r="P1547" t="str">
            <v/>
          </cell>
          <cell r="Q1547" t="str">
            <v/>
          </cell>
          <cell r="R1547" t="str">
            <v>https://panda-windows-and-doors.monday.com/protected_static/21046287/resources/2968148327/Q88433 ROSEBOWL - BENDING MATERIALS.pdf, https://panda-windows-and-doors.monday.com/protected_static/21046287/resources/2968148350/Q88433 ROSEBOWL - B.O.M.pdf, https://panda-windows-and-doors.monday.com/protected_static/21046287/resources/2968148418/Q88433 ROSEBOWL -CUTLIST (MANUAL).pdf, https://panda-windows-and-doors.monday.com/protected_static/21046287/resources/2968148348/Q88433_HSWTS60_R5_KYNAR.bak.pdf</v>
          </cell>
          <cell r="S1547" t="str">
            <v>In Production</v>
          </cell>
          <cell r="T1547" t="str">
            <v/>
          </cell>
          <cell r="U1547">
            <v>80538</v>
          </cell>
          <cell r="V1547" t="str">
            <v/>
          </cell>
          <cell r="W1547" t="str">
            <v>George Bails May 13, 2026 2:30 PM</v>
          </cell>
          <cell r="X1547" t="str">
            <v>2025-10-02 00:00</v>
          </cell>
          <cell r="Y1547">
            <v>46034</v>
          </cell>
          <cell r="Z1547" t="str">
            <v/>
          </cell>
          <cell r="AA1547">
            <v>46034</v>
          </cell>
          <cell r="AB1547" t="str">
            <v>Annalene Conde Jan 12, 2026 3:58 PM</v>
          </cell>
          <cell r="AC1547">
            <v>46034</v>
          </cell>
          <cell r="AD1547">
            <v>46036</v>
          </cell>
          <cell r="AE1547" t="str">
            <v/>
          </cell>
          <cell r="AF1547" t="str">
            <v/>
          </cell>
          <cell r="AG1547">
            <v>46155</v>
          </cell>
          <cell r="AH1547" t="str">
            <v>Helou Construction</v>
          </cell>
          <cell r="AI1547">
            <v>46153</v>
          </cell>
        </row>
        <row r="1548">
          <cell r="C1548">
            <v>89760</v>
          </cell>
          <cell r="E1548" t="str">
            <v/>
          </cell>
          <cell r="F1548" t="str">
            <v>Change Order</v>
          </cell>
          <cell r="G1548" t="str">
            <v>Change Order Collected</v>
          </cell>
          <cell r="H1548" t="str">
            <v>No</v>
          </cell>
          <cell r="I1548" t="str">
            <v>Efrain Zarate, Trevor Benthagen</v>
          </cell>
          <cell r="J1548" t="str">
            <v/>
          </cell>
          <cell r="K1548" t="str">
            <v>https://panda-windows-and-doors.monday.com/protected_static/21046287/resources/2928226194/BP-70M55_20260427_082125.pdf</v>
          </cell>
          <cell r="L1548" t="str">
            <v>https://panda-windows-and-doors.monday.com/protected_static/21046287/resources/2928226335/BP-70M55_20260427_082134.pdf</v>
          </cell>
          <cell r="M1548" t="str">
            <v/>
          </cell>
          <cell r="N1548" t="str">
            <v>https://panda-windows-and-doors.monday.com/protected_static/21046287/resources/2928407698/89760 Deposit Invoice.pdf, https://panda-windows-and-doors.monday.com/protected_static/21046287/resources/2984585133/89760 Deposit Invoice CO 1.pdf</v>
          </cell>
          <cell r="O1548" t="str">
            <v/>
          </cell>
          <cell r="P1548" t="str">
            <v/>
          </cell>
          <cell r="Q1548" t="str">
            <v/>
          </cell>
          <cell r="R1548" t="str">
            <v>https://panda-windows-and-doors.monday.com/protected_static/21046287/resources/3007652623/MF 5333 Q89760 2180 HAVENSIGHT ADD ON - B.O.M.pdf, https://panda-windows-and-doors.monday.com/protected_static/21046287/resources/3007652658/MF 5333 Q89760 2180 HAVENSIGHT ADD ON - CUTLIST (GINERI).pdf, https://panda-windows-and-doors.monday.com/protected_static/21046287/resources/3007652622/MF 5333 Q89760 2180 HAVENSIGHT ADD ON - CUTLIST (MANUAL).pdf, https://panda-windows-and-doors.monday.com/protected_static/21046287/resources/3007652656/MF 5333 Q89760 2180 HAVENSIGHT ADD ON - OPT.pdf</v>
          </cell>
          <cell r="S1548" t="str">
            <v>In Production</v>
          </cell>
          <cell r="T1548" t="str">
            <v/>
          </cell>
          <cell r="U1548">
            <v>5641</v>
          </cell>
          <cell r="V1548">
            <v>6584.79</v>
          </cell>
          <cell r="W1548" t="str">
            <v>Amit Iarochevsky May 21, 2026 8:46 AM</v>
          </cell>
          <cell r="X1548" t="str">
            <v>2026-04-23 00:00</v>
          </cell>
          <cell r="Y1548">
            <v>46139</v>
          </cell>
          <cell r="Z1548" t="str">
            <v/>
          </cell>
          <cell r="AA1548">
            <v>46139</v>
          </cell>
          <cell r="AB1548" t="str">
            <v>Amit Iarochevsky Apr 27, 2026 10:13 AM</v>
          </cell>
          <cell r="AC1548" t="str">
            <v/>
          </cell>
          <cell r="AD1548">
            <v>46139</v>
          </cell>
          <cell r="AE1548" t="str">
            <v/>
          </cell>
          <cell r="AF1548" t="str">
            <v/>
          </cell>
          <cell r="AG1548">
            <v>46163</v>
          </cell>
          <cell r="AH1548" t="str">
            <v>Elham Taherian</v>
          </cell>
          <cell r="AI1548">
            <v>46162</v>
          </cell>
        </row>
        <row r="1549">
          <cell r="C1549">
            <v>88948</v>
          </cell>
          <cell r="E1549" t="str">
            <v/>
          </cell>
          <cell r="F1549" t="str">
            <v>Change Order</v>
          </cell>
          <cell r="G1549" t="str">
            <v>Change Order Collected</v>
          </cell>
          <cell r="H1549" t="str">
            <v>No</v>
          </cell>
          <cell r="I1549" t="str">
            <v>Spencer Anderson</v>
          </cell>
          <cell r="J1549" t="str">
            <v/>
          </cell>
          <cell r="K1549" t="str">
            <v>https://panda-windows-and-doors.monday.com/protected_static/21046287/resources/2791831281/QQ #88948 - SPW_1161 Bay Laurel Steel - 02252026 signed.pdf</v>
          </cell>
          <cell r="L1549" t="str">
            <v>https://panda-windows-and-doors.monday.com/protected_static/21046287/resources/2791833168/BP-70M55_20260227_105818.pdf</v>
          </cell>
          <cell r="M1549" t="str">
            <v/>
          </cell>
          <cell r="N1549" t="str">
            <v>https://panda-windows-and-doors.monday.com/protected_static/21046287/resources/2799538423/88948 Deposit Invoice.pdf</v>
          </cell>
          <cell r="O1549" t="str">
            <v/>
          </cell>
          <cell r="P1549" t="str">
            <v/>
          </cell>
          <cell r="Q1549" t="str">
            <v/>
          </cell>
          <cell r="R1549" t="str">
            <v/>
          </cell>
          <cell r="S1549" t="str">
            <v>In Production</v>
          </cell>
          <cell r="T1549" t="str">
            <v/>
          </cell>
          <cell r="U1549">
            <v>56425</v>
          </cell>
          <cell r="V1549">
            <v>56425</v>
          </cell>
          <cell r="W1549" t="str">
            <v>Amit Iarochevsky May 21, 2026 11:22 AM</v>
          </cell>
          <cell r="X1549" t="str">
            <v/>
          </cell>
          <cell r="Y1549">
            <v>46080</v>
          </cell>
          <cell r="Z1549" t="str">
            <v/>
          </cell>
          <cell r="AA1549">
            <v>46083</v>
          </cell>
          <cell r="AB1549" t="str">
            <v>Annalene Conde Feb 27, 2026 11:59 AM</v>
          </cell>
          <cell r="AC1549">
            <v>46084</v>
          </cell>
          <cell r="AD1549">
            <v>46091</v>
          </cell>
          <cell r="AE1549" t="str">
            <v/>
          </cell>
          <cell r="AF1549" t="str">
            <v/>
          </cell>
          <cell r="AG1549">
            <v>46163</v>
          </cell>
          <cell r="AH1549" t="str">
            <v>Mike Haskell</v>
          </cell>
          <cell r="AI1549">
            <v>46150</v>
          </cell>
        </row>
        <row r="1550">
          <cell r="C1550">
            <v>87824</v>
          </cell>
          <cell r="E1550" t="str">
            <v/>
          </cell>
          <cell r="F1550" t="str">
            <v>Change Order</v>
          </cell>
          <cell r="G1550" t="str">
            <v>Change Order Collected</v>
          </cell>
          <cell r="H1550" t="str">
            <v>No</v>
          </cell>
          <cell r="I1550" t="str">
            <v>Trevor Benthagen, Efrain Zarate</v>
          </cell>
          <cell r="J1550" t="str">
            <v/>
          </cell>
          <cell r="K1550" t="str">
            <v>https://panda-windows-and-doors.monday.com/protected_static/21046287/resources/2702688845/01222026091824.pdf</v>
          </cell>
          <cell r="L1550" t="str">
            <v/>
          </cell>
          <cell r="M1550" t="str">
            <v/>
          </cell>
          <cell r="N1550" t="str">
            <v>https://panda-windows-and-doors.monday.com/protected_static/21046287/resources/2703756389/87824 Deposit Invoice.pdf, https://panda-windows-and-doors.monday.com/protected_static/21046287/resources/2973592706/87824 Deposit Invoice CO 1.pdf</v>
          </cell>
          <cell r="O1550" t="str">
            <v/>
          </cell>
          <cell r="P1550" t="str">
            <v/>
          </cell>
          <cell r="Q1550" t="str">
            <v/>
          </cell>
          <cell r="R1550" t="str">
            <v/>
          </cell>
          <cell r="S1550" t="str">
            <v>In Production</v>
          </cell>
          <cell r="T1550" t="str">
            <v/>
          </cell>
          <cell r="U1550">
            <v>109880</v>
          </cell>
          <cell r="V1550">
            <v>124196.51</v>
          </cell>
          <cell r="W1550" t="str">
            <v>George Bails May 29, 2026 8:49 AM</v>
          </cell>
          <cell r="X1550" t="str">
            <v>2025-10-20 00:00</v>
          </cell>
          <cell r="Y1550">
            <v>46043</v>
          </cell>
          <cell r="Z1550" t="str">
            <v/>
          </cell>
          <cell r="AA1550">
            <v>46043</v>
          </cell>
          <cell r="AB1550" t="str">
            <v>Annalene Conde Jan 20, 2026 4:55 PM</v>
          </cell>
          <cell r="AC1550">
            <v>46044</v>
          </cell>
          <cell r="AD1550">
            <v>46079</v>
          </cell>
          <cell r="AE1550" t="str">
            <v/>
          </cell>
          <cell r="AF1550" t="str">
            <v/>
          </cell>
          <cell r="AG1550">
            <v>46168</v>
          </cell>
          <cell r="AH1550" t="str">
            <v>Mesa Properties</v>
          </cell>
          <cell r="AI1550">
            <v>46154</v>
          </cell>
        </row>
        <row r="1551">
          <cell r="C1551">
            <v>89867</v>
          </cell>
          <cell r="E1551" t="str">
            <v/>
          </cell>
          <cell r="F1551" t="str">
            <v>Change Order</v>
          </cell>
          <cell r="G1551" t="str">
            <v>Change Order Collected</v>
          </cell>
          <cell r="H1551" t="str">
            <v>No</v>
          </cell>
          <cell r="I1551" t="str">
            <v>Sean Torre</v>
          </cell>
          <cell r="J1551" t="str">
            <v/>
          </cell>
          <cell r="K1551" t="str">
            <v>https://panda-windows-and-doors.monday.com/protected_static/21046287/resources/2875517316/Utility building - 800 Corte Madera.pdf</v>
          </cell>
          <cell r="L1551" t="str">
            <v>https://panda-windows-and-doors.monday.com/protected_static/21046287/resources/2875517544/CamScanner 4-2-26 15.03.pdf</v>
          </cell>
          <cell r="M1551" t="str">
            <v/>
          </cell>
          <cell r="N1551" t="str">
            <v>https://panda-windows-and-doors.monday.com/protected_static/21046287/resources/2876928642/89867 Deposit Invoice.pdf, https://panda-windows-and-doors.monday.com/protected_static/21046287/resources/2978722528/89867 Deposit Invoice CO 1.pdf</v>
          </cell>
          <cell r="O1551" t="str">
            <v/>
          </cell>
          <cell r="P1551" t="str">
            <v/>
          </cell>
          <cell r="Q1551" t="str">
            <v/>
          </cell>
          <cell r="R1551" t="str">
            <v>https://panda-windows-and-doors.monday.com/protected_static/21046287/resources/3050413124/Q89867 UTILITY BUILDING - B.O.M.pdf, https://panda-windows-and-doors.monday.com/protected_static/21046287/resources/3050413138/MF 5347 Q89867 UTILITY BUILDING - CUTLIST (gineri).pdf, https://panda-windows-and-doors.monday.com/protected_static/21046287/resources/3050413135/MF 5347 Q89867 UTILITY BUILDING - OPT.pdf, https://panda-windows-and-doors.monday.com/protected_static/21046287/resources/3050413135/MF 5347 Q89867 UTILITY BUILDING - OPT.pdf, https://panda-windows-and-doors.monday.com/protected_static/21046287/resources/3050413149/Q89867 UTILITY BUILDING - CUTLIST (MANUAL).pdf, https://panda-windows-and-doors.monday.com/protected_static/21046287/resources/3050413136/Q89867_TS67_TS68_R3_ANODIZED.pdf</v>
          </cell>
          <cell r="S1551" t="str">
            <v>Cut Sheets Received + Approved</v>
          </cell>
          <cell r="T1551" t="str">
            <v/>
          </cell>
          <cell r="U1551">
            <v>14271.62</v>
          </cell>
          <cell r="V1551">
            <v>7648.63</v>
          </cell>
          <cell r="W1551" t="str">
            <v>Sean Lopez Jun 16, 2026 11:44 AM</v>
          </cell>
          <cell r="X1551" t="str">
            <v>2026-04-02 00:00</v>
          </cell>
          <cell r="Y1551">
            <v>46114</v>
          </cell>
          <cell r="Z1551" t="str">
            <v/>
          </cell>
          <cell r="AA1551">
            <v>46114</v>
          </cell>
          <cell r="AB1551" t="str">
            <v>Annalene Conde Apr 2, 2026 4:28 PM</v>
          </cell>
          <cell r="AC1551">
            <v>46115</v>
          </cell>
          <cell r="AD1551" t="str">
            <v/>
          </cell>
          <cell r="AE1551" t="str">
            <v/>
          </cell>
          <cell r="AF1551" t="str">
            <v/>
          </cell>
          <cell r="AG1551">
            <v>46182</v>
          </cell>
          <cell r="AH1551" t="str">
            <v>Utility building - 800 Corte Madera</v>
          </cell>
          <cell r="AI1551">
            <v>46176</v>
          </cell>
        </row>
        <row r="1552">
          <cell r="C1552">
            <v>89412</v>
          </cell>
          <cell r="E1552" t="str">
            <v/>
          </cell>
          <cell r="F1552" t="str">
            <v>Change Order</v>
          </cell>
          <cell r="G1552" t="str">
            <v>Change Order Collected</v>
          </cell>
          <cell r="H1552" t="str">
            <v>No</v>
          </cell>
          <cell r="I1552" t="str">
            <v>Sean Torre</v>
          </cell>
          <cell r="J1552" t="str">
            <v/>
          </cell>
          <cell r="K1552" t="str">
            <v>https://panda-windows-and-doors.monday.com/protected_static/21046287/resources/2875522565/CamScanner 4-2-26 15.01 (2).pdf</v>
          </cell>
          <cell r="L1552" t="str">
            <v>https://panda-windows-and-doors.monday.com/protected_static/21046287/resources/2875522607/CamScanner 4-2-26 14.57 (1).pdf</v>
          </cell>
          <cell r="M1552" t="str">
            <v/>
          </cell>
          <cell r="N1552" t="str">
            <v>https://panda-windows-and-doors.monday.com/protected_static/21046287/resources/2876861417/89412 - Deposit Invoice.pdf, https://panda-windows-and-doors.monday.com/protected_static/21046287/resources/2978753489/89412 - Deposit Invoice CO 1.pdf, https://panda-windows-and-doors.monday.com/protected_static/21046287/resources/3021074799/89412 Deposit Invoice CO 2.pdf</v>
          </cell>
          <cell r="O1552" t="str">
            <v/>
          </cell>
          <cell r="P1552" t="str">
            <v/>
          </cell>
          <cell r="Q1552" t="str">
            <v/>
          </cell>
          <cell r="R1552" t="str">
            <v>https://panda-windows-and-doors.monday.com/protected_static/21046287/resources/3050533264/MF 5349 Q89412 800 CORTE MADERA - OPT.pdf, https://panda-windows-and-doors.monday.com/protected_static/21046287/resources/3050533263/MF 5349 Q89412 800 CORTE MADERA - B.O.M.pdf, https://panda-windows-and-doors.monday.com/protected_static/21046287/resources/3050533295/MF 5349 Q89412 800 CORTE MADERA - CUTLIST (GINERI).pdf, https://panda-windows-and-doors.monday.com/protected_static/21046287/resources/3050533288/Q89412 800 CORTE MADERA - CUTLIST (MANUAL.pdf, https://panda-windows-and-doors.monday.com/protected_static/21046287/resources/3050533265/Q89412_TS68_TS67_R3_ANODIZED.pdf</v>
          </cell>
          <cell r="S1552" t="str">
            <v>Cut Sheets Received + Approved</v>
          </cell>
          <cell r="T1552" t="str">
            <v/>
          </cell>
          <cell r="U1552">
            <v>20897</v>
          </cell>
          <cell r="V1552">
            <v>9706</v>
          </cell>
          <cell r="W1552" t="str">
            <v>Sean Lopez Jun 11, 2026 2:46 PM</v>
          </cell>
          <cell r="X1552" t="str">
            <v>2026-04-02 00:00</v>
          </cell>
          <cell r="Y1552">
            <v>46114</v>
          </cell>
          <cell r="Z1552" t="str">
            <v/>
          </cell>
          <cell r="AA1552">
            <v>46114</v>
          </cell>
          <cell r="AB1552" t="str">
            <v>Annalene Conde Apr 2, 2026 4:33 PM</v>
          </cell>
          <cell r="AC1552">
            <v>46115</v>
          </cell>
          <cell r="AD1552" t="str">
            <v/>
          </cell>
          <cell r="AE1552" t="str">
            <v/>
          </cell>
          <cell r="AF1552" t="str">
            <v/>
          </cell>
          <cell r="AG1552">
            <v>46182</v>
          </cell>
          <cell r="AH1552" t="str">
            <v>800 Corte Madera</v>
          </cell>
          <cell r="AI1552">
            <v>46176</v>
          </cell>
        </row>
        <row r="1553">
          <cell r="C1553">
            <v>88868</v>
          </cell>
          <cell r="E1553" t="str">
            <v/>
          </cell>
          <cell r="F1553" t="str">
            <v>Change Order</v>
          </cell>
          <cell r="G1553" t="str">
            <v>Change Order Collected</v>
          </cell>
          <cell r="H1553" t="str">
            <v>No</v>
          </cell>
          <cell r="I1553" t="str">
            <v>Stefan Monetta</v>
          </cell>
          <cell r="J1553" t="str">
            <v/>
          </cell>
          <cell r="K1553" t="str">
            <v>https://panda-windows-and-doors.monday.com/protected_static/21046287/resources/2709963791/Executed 1221 Washington  Proposal.pdf</v>
          </cell>
          <cell r="L1553" t="str">
            <v>https://panda-windows-and-doors.monday.com/protected_static/21046287/resources/2709971472/BP-70M55_20260126_072122.pdf, https://panda-windows-and-doors.monday.com/protected_static/21046287/resources/3024567082/BP-70M55_20260605_104246.pdf</v>
          </cell>
          <cell r="M1553" t="str">
            <v/>
          </cell>
          <cell r="N1553" t="str">
            <v>https://panda-windows-and-doors.monday.com/protected_static/21046287/resources/3024577906/88868 Deposit Invoice.pdf</v>
          </cell>
          <cell r="O1553" t="str">
            <v/>
          </cell>
          <cell r="P1553" t="str">
            <v/>
          </cell>
          <cell r="Q1553" t="str">
            <v/>
          </cell>
          <cell r="R1553" t="str">
            <v>https://panda-windows-and-doors.monday.com/protected_static/21046287/resources/3028870031/Q88868_LTS30 BOM.pdf, https://panda-windows-and-doors.monday.com/protected_static/21046287/resources/3028870075/Q88868_LTS30 CUT LIST.pdf, https://panda-windows-and-doors.monday.com/protected_static/21046287/resources/3028870050/Q88868_LTS30 MAT LIST.pdf, https://panda-windows-and-doors.monday.com/protected_static/21046287/resources/3028870042/Q88868_LTS30 OPT MANUAL.pdf, https://panda-windows-and-doors.monday.com/protected_static/21046287/resources/3028870081/Q88868_LTS30 OPT.pdf</v>
          </cell>
          <cell r="S1553" t="str">
            <v>In Production</v>
          </cell>
          <cell r="T1553" t="str">
            <v/>
          </cell>
          <cell r="U1553">
            <v>17321</v>
          </cell>
          <cell r="V1553">
            <v>18103</v>
          </cell>
          <cell r="W1553" t="str">
            <v>Amit Iarochevsky Jun 9, 2026 3:41 PM</v>
          </cell>
          <cell r="X1553" t="str">
            <v>2026-01-26 08:30</v>
          </cell>
          <cell r="Y1553">
            <v>46178</v>
          </cell>
          <cell r="Z1553" t="str">
            <v/>
          </cell>
          <cell r="AA1553">
            <v>46178</v>
          </cell>
          <cell r="AB1553" t="str">
            <v>Amit Iarochevsky Jun 5, 2026 11:13 AM</v>
          </cell>
          <cell r="AC1553" t="str">
            <v/>
          </cell>
          <cell r="AD1553" t="str">
            <v/>
          </cell>
          <cell r="AE1553" t="str">
            <v/>
          </cell>
          <cell r="AF1553" t="str">
            <v/>
          </cell>
          <cell r="AG1553">
            <v>46182</v>
          </cell>
          <cell r="AH1553" t="str">
            <v>Bill Latsonas</v>
          </cell>
          <cell r="AI1553">
            <v>46178</v>
          </cell>
        </row>
        <row r="1554">
          <cell r="C1554">
            <v>90634</v>
          </cell>
          <cell r="E1554" t="str">
            <v>Gineri</v>
          </cell>
          <cell r="F1554" t="str">
            <v>Change Order</v>
          </cell>
          <cell r="G1554" t="str">
            <v>Change Order Collected</v>
          </cell>
          <cell r="H1554" t="str">
            <v>No</v>
          </cell>
          <cell r="I1554" t="str">
            <v>Tyler Clark</v>
          </cell>
          <cell r="J1554" t="str">
            <v/>
          </cell>
          <cell r="K1554" t="str">
            <v>https://panda-windows-and-doors.monday.com/protected_static/21046287/resources/2947970440/BP-70M55_20260505_081938.pdf</v>
          </cell>
          <cell r="L1554" t="str">
            <v>https://panda-windows-and-doors.monday.com/protected_static/21046287/resources/2999466797/BP-70M55_20260527_074140.pdf</v>
          </cell>
          <cell r="M1554" t="str">
            <v/>
          </cell>
          <cell r="N1554" t="str">
            <v>https://panda-windows-and-doors.monday.com/protected_static/21046287/resources/2948957556/90634 Deposit Invoice.pdf, https://panda-windows-and-doors.monday.com/protected_static/21046287/resources/3035299879/90634 Deposit Invoice CO 1.pdf</v>
          </cell>
          <cell r="O1554" t="str">
            <v/>
          </cell>
          <cell r="P1554" t="str">
            <v/>
          </cell>
          <cell r="Q1554" t="str">
            <v/>
          </cell>
          <cell r="R1554" t="str">
            <v/>
          </cell>
          <cell r="S1554" t="str">
            <v>Cut Sheets</v>
          </cell>
          <cell r="T1554" t="str">
            <v/>
          </cell>
          <cell r="U1554">
            <v>49603</v>
          </cell>
          <cell r="V1554">
            <v>57237.22</v>
          </cell>
          <cell r="W1554" t="str">
            <v>Amit Iarochevsky Jun 17, 2026 10:55 AM</v>
          </cell>
          <cell r="X1554" t="str">
            <v>2026-05-05 07:58</v>
          </cell>
          <cell r="Y1554">
            <v>46147</v>
          </cell>
          <cell r="Z1554" t="str">
            <v/>
          </cell>
          <cell r="AA1554">
            <v>46147</v>
          </cell>
          <cell r="AB1554" t="str">
            <v>Amit Iarochevsky May 5, 2026 9:20 AM</v>
          </cell>
          <cell r="AC1554">
            <v>46147</v>
          </cell>
          <cell r="AD1554">
            <v>46190</v>
          </cell>
          <cell r="AE1554" t="str">
            <v/>
          </cell>
          <cell r="AF1554" t="str">
            <v/>
          </cell>
          <cell r="AG1554">
            <v>46190</v>
          </cell>
          <cell r="AH1554" t="str">
            <v>Mike Bozorgi</v>
          </cell>
          <cell r="AI1554">
            <v>46182</v>
          </cell>
        </row>
        <row r="1555">
          <cell r="C1555" t="str">
            <v/>
          </cell>
          <cell r="E1555" t="str">
            <v/>
          </cell>
          <cell r="F1555" t="str">
            <v/>
          </cell>
          <cell r="G1555" t="str">
            <v/>
          </cell>
          <cell r="H1555" t="str">
            <v/>
          </cell>
          <cell r="I1555" t="str">
            <v/>
          </cell>
          <cell r="J1555" t="str">
            <v/>
          </cell>
          <cell r="K1555" t="str">
            <v/>
          </cell>
          <cell r="L1555" t="str">
            <v/>
          </cell>
          <cell r="M1555" t="str">
            <v/>
          </cell>
          <cell r="N1555" t="str">
            <v/>
          </cell>
          <cell r="O1555" t="str">
            <v/>
          </cell>
          <cell r="P1555" t="str">
            <v/>
          </cell>
          <cell r="Q1555" t="str">
            <v/>
          </cell>
          <cell r="R1555" t="str">
            <v/>
          </cell>
          <cell r="S1555" t="str">
            <v/>
          </cell>
          <cell r="T1555" t="str">
            <v/>
          </cell>
          <cell r="U1555">
            <v>913942.62</v>
          </cell>
          <cell r="V1555">
            <v>767862.6100000001</v>
          </cell>
          <cell r="W1555" t="str">
            <v/>
          </cell>
          <cell r="X1555" t="str">
            <v/>
          </cell>
          <cell r="Y1555" t="str">
            <v>2025-04-09 to 2026-06-05</v>
          </cell>
          <cell r="Z1555" t="str">
            <v/>
          </cell>
          <cell r="AA1555" t="str">
            <v>2025-02-18 to 2026-06-05</v>
          </cell>
          <cell r="AB1555" t="str">
            <v/>
          </cell>
          <cell r="AC1555" t="str">
            <v>2025-02-18 to 2026-05-05</v>
          </cell>
          <cell r="AD1555" t="str">
            <v>2025-04-11 to 2026-06-17</v>
          </cell>
          <cell r="AE1555" t="str">
            <v/>
          </cell>
          <cell r="AF1555" t="str">
            <v/>
          </cell>
          <cell r="AG1555" t="str">
            <v>2025-02-25 to 2026-06-17</v>
          </cell>
          <cell r="AH1555" t="str">
            <v/>
          </cell>
          <cell r="AI1555" t="str">
            <v>2025-02-18 to 2026-06-09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Bails" refreshedDate="46107.804474305558" createdVersion="8" refreshedVersion="8" minRefreshableVersion="3" recordCount="92" xr:uid="{F16986FB-0B6F-41F8-BB16-A1EAC3190148}">
  <cacheSource type="worksheet">
    <worksheetSource ref="A1:I1048576" sheet="Sheet1"/>
  </cacheSource>
  <cacheFields count="9">
    <cacheField name="Transaction date" numFmtId="0">
      <sharedItems containsDate="1" containsBlank="1" containsMixedTypes="1" minDate="2026-03-02T00:00:00" maxDate="2026-03-03T00:00:00"/>
    </cacheField>
    <cacheField name="Transaction type" numFmtId="0">
      <sharedItems containsBlank="1"/>
    </cacheField>
    <cacheField name="Num" numFmtId="0">
      <sharedItems containsBlank="1"/>
    </cacheField>
    <cacheField name="Name" numFmtId="0">
      <sharedItems containsBlank="1" count="84">
        <m/>
        <s v="Discount Glass &amp; Mirror Inc.:Encinitas"/>
        <s v="Builders FirstSource/Dixieline Lumber &amp; Home Center:Dixieline Lumber &amp; Home Center:Rick Moore"/>
        <s v="Triple R Construction Inc.:Goettl"/>
        <s v="Infinity Group:Wilson Residence 77"/>
        <s v="Sierra Pacific - CA:1161 Bay Laurel St - Steel"/>
        <s v="Coltin Craigo:Alphorn Road"/>
        <s v="Crisci Builders:Lot 147 Addition"/>
        <s v="Sierra Pacific Windows - UT:Geary Project"/>
        <s v="Sierra Pacific Windows - UT:Pratt Window 883-9035"/>
        <s v="Chase Kloehn:Kloehn Remodel"/>
        <s v="J Shuman Door Installation:Chacon Residence"/>
        <s v="Pinnacle Windows and Doors:WR54"/>
        <s v="A&amp;A Window Products Inc:45 Littles Road"/>
        <s v="Glass and Metals, Inc:2100 Crystal"/>
        <s v="Alli Construction:Chaparral Janiga Residence"/>
        <s v="Lindsay Glass Systems:Print Shop"/>
        <s v="Sierra Pacific - CA:Aluminum Window"/>
        <s v="Sierra Pacific Windows - UT:Smith Entry Door"/>
        <s v="Chopper Dawson INC:Daniel Res"/>
        <s v="Aune Brothers Construction:2460 Cajon Lane"/>
        <s v="1st Choice Glass:MUSC - Clemson"/>
        <s v="Wenatchee Glass:Kozari"/>
        <s v="Donatello Bonasera Development, LLC:The F Penthouse"/>
        <s v="J Shuman Door Installation:Rob Poynter"/>
        <s v="Lunstrum Windows:Park Summit"/>
        <s v="Zachary Sheilds:Shields Slider"/>
        <s v="Donatello Bonasera Development, LLC:Casa Faten"/>
        <s v="Environmental Glass Inc:Mitchell Elementary"/>
        <s v="Environmental Glass Inc:Ann Arbor Thurston"/>
        <s v="Sierra Pacific Windows-CO:Steel Clad Pivot Door"/>
        <s v="All New Glass:201 Fillmore"/>
        <s v="Sargent Construction:Russell Dentisty"/>
        <s v="Dan and Molly Dirscherl:Dirscherl Cabana"/>
        <s v="Teddy Anderson:Anderson Project"/>
        <s v="David Shuldiner Inc:450 Lexington"/>
        <s v="Sierra Pacific - CA:Bathroom Window"/>
        <s v="Sierra Pacific - AZ:Bruhn Residence"/>
        <s v="Sierra Pacific Windows-CO:Solitude Ranch"/>
        <s v="Heritage Glass:DCI Pittock"/>
        <s v="Builders FirstSource/Dixieline Lumber &amp; Home Center:Jody Doors"/>
        <s v="American Glass - Livermore:Sunset Clubhouse-2"/>
        <s v="Sierra Pacific Windows - UT:DM20"/>
        <s v="Jackson Design Home Remodeling:Multi-Slide Corner"/>
        <s v="ZELHAM, INC.:Hampton Inn South Plainfield"/>
        <s v="Angie Nyborg:Nyborg Residence"/>
        <s v="Kirk Johnson:Johnson Project"/>
        <s v="PM Steel Fabrication, LLC:Empire Glass"/>
        <s v="E &amp; Z Glass &amp; Window:Cotton On Dallas Galleria"/>
        <s v="Polk Architectural:HSB 116"/>
        <s v="American Glass &amp; Mirror Company:1000 Nevillewood Drive"/>
        <s v="Sierra Pacific Windows - UT:Aluminum Sliding Doors"/>
        <s v="JDP Associates:Shohet Project"/>
        <s v="Royal Palm Aluminum, Inc.:399 Royal Palm Way"/>
        <s v="Premium Glass Inc.:Double Casement"/>
        <s v="Capitol Glass Company:The Eliza"/>
        <s v="Stratos Development Inc:Kanani Residence"/>
        <s v="LiveMetta Pilates:LiveMetta Encinitas"/>
        <s v="Devoe Custom Homes:Vanderveen"/>
        <s v="Dynamic Glass:Antero Resources"/>
        <s v="Maryl Construction:Hapuna Villa"/>
        <s v="Chuck Hamilton Construction Inc.:Shueck Pool House"/>
        <s v="Island Tiles:Hilton Ballroom Doors"/>
        <s v="RPC InC:Weslaco Public Library"/>
        <s v="Sierra Pacific Windows - UT:Awning Window"/>
        <s v="CAC Aluminum &amp; Glass Inc.:355 Deerfield Sliding Doors"/>
        <s v="Stratos Development Inc:Eclipse Reidence"/>
        <s v="Shobha Reddy:Shobha Reddy Project"/>
        <s v="J Shuman Door Installation:Jared Lou"/>
        <s v="Ajay Glass &amp; Mirror Co., Inc.:Billitier"/>
        <s v="Don's Mobile Glass:Grossi"/>
        <s v="Natural Domain Interiors, LLC:Brooks Project"/>
        <s v="The Window Authority of Houston:Lepie"/>
        <s v="Biery Cheese Company:Silo Radius"/>
        <s v="Fast Glass:Brockway"/>
        <s v="Capitol Glass Company:99 Rhode Island"/>
        <s v="Larry Walsh:Walsh Project"/>
        <s v="Lake Glass:Hotel Bozeman"/>
        <s v="Sol Installs.:Little Residence"/>
        <s v="GP Glass &amp; Mirror LLC:George_Additional Windows"/>
        <s v="GP Glass &amp; Mirror LLC:George_Additional Fixed Window"/>
        <s v="Phoenix Glass Company:Top of Crystal"/>
        <s v="American Products Inc (API):LuLulemon Boston Panel"/>
        <s v="Hasco Constrution:Sperryn Jones"/>
      </sharedItems>
    </cacheField>
    <cacheField name="Memo/Description" numFmtId="0">
      <sharedItems containsBlank="1"/>
    </cacheField>
    <cacheField name="Account full name" numFmtId="0">
      <sharedItems containsBlank="1"/>
    </cacheField>
    <cacheField name="Item split account" numFmtId="0">
      <sharedItems containsBlank="1"/>
    </cacheField>
    <cacheField name="Amount" numFmtId="0">
      <sharedItems containsString="0" containsBlank="1" containsNumber="1" minValue="-251494.5" maxValue="255026"/>
    </cacheField>
    <cacheField name="Balance" numFmtId="0">
      <sharedItems containsString="0" containsBlank="1" containsNumber="1" minValue="5833678.9100000001" maxValue="7145102.25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Beginning Balance"/>
    <m/>
    <m/>
    <x v="0"/>
    <m/>
    <m/>
    <m/>
    <m/>
    <n v="5833678.9100000001"/>
  </r>
  <r>
    <d v="2026-03-02T00:00:00"/>
    <s v="Invoice"/>
    <s v="16480"/>
    <x v="1"/>
    <s v="Deposit for Sales Order"/>
    <s v="2115 Customer Deposits"/>
    <s v="Accounts Receivable"/>
    <n v="29175"/>
    <n v="5862853.9100000001"/>
  </r>
  <r>
    <s v="03/02/2026"/>
    <s v="Invoice"/>
    <s v="16481"/>
    <x v="2"/>
    <s v="Deposit for Sales Order"/>
    <s v="2115 Customer Deposits"/>
    <s v="Accounts Receivable"/>
    <n v="8432"/>
    <n v="5871285.9100000001"/>
  </r>
  <r>
    <s v="03/02/2026"/>
    <s v="Invoice"/>
    <s v="16483"/>
    <x v="3"/>
    <s v="Deposit for Sales Order"/>
    <s v="2115 Customer Deposits"/>
    <s v="Accounts Receivable"/>
    <n v="-4060"/>
    <n v="5867225.9100000001"/>
  </r>
  <r>
    <s v="03/02/2026"/>
    <s v="Credit Memo"/>
    <s v="16486"/>
    <x v="4"/>
    <s v="Deposit for Sales Order"/>
    <s v="2115 Customer Deposits"/>
    <s v="Accounts Receivable"/>
    <n v="22778"/>
    <n v="5890003.9100000001"/>
  </r>
  <r>
    <s v="03/03/2026"/>
    <s v="Invoice"/>
    <s v="16487"/>
    <x v="5"/>
    <s v="Deposit for Sales Order"/>
    <s v="2115 Customer Deposits"/>
    <s v="Accounts Receivable"/>
    <n v="56425"/>
    <n v="5946428.9100000001"/>
  </r>
  <r>
    <s v="03/03/2026"/>
    <s v="Invoice"/>
    <s v="16487"/>
    <x v="5"/>
    <s v="Deposit for Sales Order"/>
    <s v="2115 Customer Deposits"/>
    <s v="Accounts Receivable"/>
    <n v="-564.25"/>
    <n v="5945864.6600000001"/>
  </r>
  <r>
    <s v="03/03/2026"/>
    <s v="Invoice"/>
    <s v="16489"/>
    <x v="6"/>
    <s v="Deposit for Sales Order"/>
    <s v="2115 Customer Deposits"/>
    <s v="Accounts Receivable"/>
    <n v="-7433"/>
    <n v="5938431.6600000001"/>
  </r>
  <r>
    <s v="03/03/2026"/>
    <s v="Invoice"/>
    <s v="16490"/>
    <x v="7"/>
    <s v="Deposit for Sales Order"/>
    <s v="2115 Customer Deposits"/>
    <s v="Accounts Receivable"/>
    <n v="94654"/>
    <n v="6033085.6600000001"/>
  </r>
  <r>
    <s v="03/03/2026"/>
    <s v="Invoice"/>
    <s v="16492"/>
    <x v="8"/>
    <s v="Deposit for Sales Order"/>
    <s v="2115 Customer Deposits"/>
    <s v="Accounts Receivable"/>
    <n v="-56739.87"/>
    <n v="5976345.79"/>
  </r>
  <r>
    <s v="03/03/2026"/>
    <s v="Invoice"/>
    <s v="16493"/>
    <x v="9"/>
    <s v="Deposit for Sales Order"/>
    <s v="2115 Customer Deposits"/>
    <s v="Accounts Receivable"/>
    <n v="-1058.31"/>
    <n v="5975287.4800000004"/>
  </r>
  <r>
    <s v="03/04/2026"/>
    <s v="Invoice"/>
    <s v="16494"/>
    <x v="10"/>
    <s v="Deposit for Sales Order"/>
    <s v="2115 Customer Deposits"/>
    <s v="Accounts Receivable"/>
    <n v="11224"/>
    <n v="5986511.4800000004"/>
  </r>
  <r>
    <s v="03/04/2026"/>
    <s v="Invoice"/>
    <s v="16495"/>
    <x v="11"/>
    <s v="Deposit for Sales Order"/>
    <s v="2115 Customer Deposits"/>
    <s v="Accounts Receivable"/>
    <n v="20322"/>
    <n v="6006833.4800000004"/>
  </r>
  <r>
    <s v="03/04/2026"/>
    <s v="Invoice"/>
    <s v="16496"/>
    <x v="12"/>
    <s v="Deposit for Sales Order"/>
    <s v="2115 Customer Deposits"/>
    <s v="Accounts Receivable"/>
    <n v="11754"/>
    <n v="6018587.4800000004"/>
  </r>
  <r>
    <s v="03/06/2026"/>
    <s v="Invoice"/>
    <s v="16500"/>
    <x v="13"/>
    <s v="Deposit for Sales Order"/>
    <s v="2115 Customer Deposits"/>
    <s v="Accounts Receivable"/>
    <n v="11662"/>
    <n v="6030249.4800000004"/>
  </r>
  <r>
    <s v="03/09/2026"/>
    <s v="Invoice"/>
    <s v="16501"/>
    <x v="14"/>
    <s v="Deposit for Sales Order"/>
    <s v="2115 Customer Deposits"/>
    <s v="Accounts Receivable"/>
    <n v="25461"/>
    <n v="6055710.4800000004"/>
  </r>
  <r>
    <s v="03/09/2026"/>
    <s v="Invoice"/>
    <s v="16506"/>
    <x v="15"/>
    <s v="Deposit for Sales Order"/>
    <s v="2115 Customer Deposits"/>
    <s v="Accounts Receivable"/>
    <n v="16906.509999999998"/>
    <n v="6072616.9900000002"/>
  </r>
  <r>
    <s v="03/09/2026"/>
    <s v="Invoice"/>
    <s v="16507"/>
    <x v="16"/>
    <s v="Deposit for Sales Order"/>
    <s v="2115 Customer Deposits"/>
    <s v="Accounts Receivable"/>
    <n v="-7852"/>
    <n v="6064764.9900000002"/>
  </r>
  <r>
    <s v="03/09/2026"/>
    <s v="Invoice"/>
    <s v="16508"/>
    <x v="17"/>
    <s v="Deposit for Sales Order"/>
    <s v="2115 Customer Deposits"/>
    <s v="Accounts Receivable"/>
    <n v="940"/>
    <n v="6065704.9900000002"/>
  </r>
  <r>
    <s v="03/09/2026"/>
    <s v="Invoice"/>
    <s v="16508"/>
    <x v="17"/>
    <s v="Deposit for Sales Order"/>
    <s v="2115 Customer Deposits"/>
    <s v="Accounts Receivable"/>
    <n v="-9.4"/>
    <n v="6065695.5899999999"/>
  </r>
  <r>
    <s v="03/09/2026"/>
    <s v="Invoice"/>
    <s v="16509"/>
    <x v="18"/>
    <s v="Deposit for Sales Order"/>
    <s v="2115 Customer Deposits"/>
    <s v="Accounts Receivable"/>
    <n v="7878"/>
    <n v="6073573.5899999999"/>
  </r>
  <r>
    <s v="03/09/2026"/>
    <s v="Invoice"/>
    <s v="16509"/>
    <x v="18"/>
    <s v="Deposit for Sales Order"/>
    <s v="2115 Customer Deposits"/>
    <s v="Accounts Receivable"/>
    <n v="-78.78"/>
    <n v="6073494.8099999996"/>
  </r>
  <r>
    <s v="03/09/2026"/>
    <s v="Invoice"/>
    <s v="16512"/>
    <x v="19"/>
    <s v="Deposit for Sales Order"/>
    <s v="2115 Customer Deposits"/>
    <s v="Accounts Receivable"/>
    <n v="9792"/>
    <n v="6083286.8099999996"/>
  </r>
  <r>
    <s v="03/10/2026"/>
    <s v="Invoice"/>
    <s v="16513"/>
    <x v="20"/>
    <s v="Deposit for Sales Order"/>
    <s v="2115 Customer Deposits"/>
    <s v="Accounts Receivable"/>
    <n v="4247"/>
    <n v="6087533.8099999996"/>
  </r>
  <r>
    <s v="03/10/2026"/>
    <s v="Invoice"/>
    <s v="16514"/>
    <x v="21"/>
    <s v="Deposit for Sales Order"/>
    <s v="2115 Customer Deposits"/>
    <s v="Accounts Receivable"/>
    <n v="51110.14"/>
    <n v="6138643.9499999993"/>
  </r>
  <r>
    <s v="03/10/2026"/>
    <s v="Invoice"/>
    <s v="16515"/>
    <x v="22"/>
    <s v="Deposit for Sales Order"/>
    <s v="2115 Customer Deposits"/>
    <s v="Accounts Receivable"/>
    <n v="-9886"/>
    <n v="6128757.9499999993"/>
  </r>
  <r>
    <s v="03/10/2026"/>
    <s v="Invoice"/>
    <s v="16517"/>
    <x v="23"/>
    <s v="Deposit for Sales Order"/>
    <s v="2115 Customer Deposits"/>
    <s v="Accounts Receivable"/>
    <n v="8935.32"/>
    <n v="6137693.2699999996"/>
  </r>
  <r>
    <s v="03/11/2026"/>
    <s v="Invoice"/>
    <s v="16518"/>
    <x v="24"/>
    <s v="Deposit for Sales Order"/>
    <s v="2115 Customer Deposits"/>
    <s v="Accounts Receivable"/>
    <n v="4742"/>
    <n v="6142435.2699999996"/>
  </r>
  <r>
    <s v="03/11/2026"/>
    <s v="Invoice"/>
    <s v="16520"/>
    <x v="25"/>
    <s v="Deposit for Sales Order - 25% Second Deposit"/>
    <s v="2115 Customer Deposits"/>
    <s v="Accounts Receivable"/>
    <n v="43711"/>
    <n v="6186146.2699999996"/>
  </r>
  <r>
    <s v="03/11/2026"/>
    <s v="Invoice"/>
    <s v="16521"/>
    <x v="26"/>
    <s v="Deposit for Sales Order"/>
    <s v="2115 Customer Deposits"/>
    <s v="Accounts Receivable"/>
    <n v="4653"/>
    <n v="6190799.2699999996"/>
  </r>
  <r>
    <s v="03/11/2026"/>
    <s v="Invoice"/>
    <s v="16526"/>
    <x v="27"/>
    <s v="Deposit for Sales Order"/>
    <s v="2115 Customer Deposits"/>
    <s v="Accounts Receivable"/>
    <n v="160000"/>
    <n v="6350799.2699999996"/>
  </r>
  <r>
    <s v="03/12/2026"/>
    <s v="Invoice"/>
    <s v="16522"/>
    <x v="28"/>
    <s v="Deposit for Sales Order"/>
    <s v="2115 Customer Deposits"/>
    <s v="Accounts Receivable"/>
    <n v="57487"/>
    <n v="6408286.2699999996"/>
  </r>
  <r>
    <s v="03/12/2026"/>
    <s v="Invoice"/>
    <s v="16523"/>
    <x v="29"/>
    <s v="Deposit for Sales Order"/>
    <s v="2115 Customer Deposits"/>
    <s v="Accounts Receivable"/>
    <n v="129865.08"/>
    <n v="6538151.3499999996"/>
  </r>
  <r>
    <s v="03/12/2026"/>
    <s v="Invoice"/>
    <s v="16524"/>
    <x v="30"/>
    <s v="Deposit for Sales Order"/>
    <s v="2115 Customer Deposits"/>
    <s v="Accounts Receivable"/>
    <n v="10418"/>
    <n v="6548569.3499999996"/>
  </r>
  <r>
    <s v="03/12/2026"/>
    <s v="Invoice"/>
    <s v="16525"/>
    <x v="31"/>
    <s v="Deposit for Sales Order"/>
    <s v="2115 Customer Deposits"/>
    <s v="Accounts Receivable"/>
    <n v="-91129"/>
    <n v="6457440.3499999996"/>
  </r>
  <r>
    <s v="03/12/2026"/>
    <s v="Invoice"/>
    <s v="16525"/>
    <x v="31"/>
    <s v="Deposit for Sales Order"/>
    <s v="2115 Customer Deposits"/>
    <s v="Accounts Receivable"/>
    <n v="-251494.5"/>
    <n v="6205945.8499999996"/>
  </r>
  <r>
    <s v="03/12/2026"/>
    <s v="Invoice"/>
    <s v="16527"/>
    <x v="32"/>
    <s v="Deposit for Sales Order"/>
    <s v="2115 Customer Deposits"/>
    <s v="Accounts Receivable"/>
    <n v="44798"/>
    <n v="6250743.8499999996"/>
  </r>
  <r>
    <s v="03/12/2026"/>
    <s v="Invoice"/>
    <s v="16528"/>
    <x v="33"/>
    <s v="Deposit for Sales Order"/>
    <s v="2115 Customer Deposits"/>
    <s v="Accounts Receivable"/>
    <n v="17769"/>
    <n v="6268512.8499999996"/>
  </r>
  <r>
    <s v="03/12/2026"/>
    <s v="Invoice"/>
    <s v="16529"/>
    <x v="34"/>
    <s v="Deposit for Sales Order"/>
    <s v="2115 Customer Deposits"/>
    <s v="Accounts Receivable"/>
    <n v="29243"/>
    <n v="6297755.8499999996"/>
  </r>
  <r>
    <s v="03/13/2026"/>
    <s v="Invoice"/>
    <s v="16530"/>
    <x v="35"/>
    <s v="Deposit for Sales Order"/>
    <s v="2115 Customer Deposits"/>
    <s v="Accounts Receivable"/>
    <n v="-40842"/>
    <n v="6256913.8499999996"/>
  </r>
  <r>
    <s v="03/13/2026"/>
    <s v="Invoice"/>
    <s v="16530"/>
    <x v="35"/>
    <s v="Deposit for Sales Order"/>
    <s v="2115 Customer Deposits"/>
    <s v="Accounts Receivable"/>
    <n v="-34385"/>
    <n v="6222528.8499999996"/>
  </r>
  <r>
    <s v="03/13/2026"/>
    <s v="Invoice"/>
    <s v="16531"/>
    <x v="36"/>
    <s v="Deposit for Sales Order"/>
    <s v="2115 Customer Deposits"/>
    <s v="Accounts Receivable"/>
    <n v="1207"/>
    <n v="6223735.8499999996"/>
  </r>
  <r>
    <s v="03/13/2026"/>
    <s v="Invoice"/>
    <s v="16532"/>
    <x v="37"/>
    <s v="Deposit for Sales Order"/>
    <s v="2115 Customer Deposits"/>
    <s v="Accounts Receivable"/>
    <n v="15425"/>
    <n v="6239160.8499999996"/>
  </r>
  <r>
    <s v="03/13/2026"/>
    <s v="Invoice"/>
    <s v="16533"/>
    <x v="38"/>
    <s v="Deposit for Sales Order"/>
    <s v="2115 Customer Deposits"/>
    <s v="Accounts Receivable"/>
    <n v="6258.05"/>
    <n v="6245418.8999999994"/>
  </r>
  <r>
    <s v="03/13/2026"/>
    <s v="Invoice"/>
    <s v="16534"/>
    <x v="39"/>
    <s v="Deposit for Sales Order"/>
    <s v="2115 Customer Deposits"/>
    <s v="Accounts Receivable"/>
    <n v="-11785"/>
    <n v="6233633.8999999994"/>
  </r>
  <r>
    <s v="03/16/2026"/>
    <s v="Invoice"/>
    <s v="16536"/>
    <x v="40"/>
    <s v="Deposit for Sales Order"/>
    <s v="2115 Customer Deposits"/>
    <s v="Accounts Receivable"/>
    <n v="-8674"/>
    <n v="6224959.8999999994"/>
  </r>
  <r>
    <s v="03/16/2026"/>
    <s v="Invoice"/>
    <s v="16537"/>
    <x v="41"/>
    <s v="Deposit for Sales Order"/>
    <s v="2115 Customer Deposits"/>
    <s v="Accounts Receivable"/>
    <n v="-11673"/>
    <n v="6213286.8999999994"/>
  </r>
  <r>
    <s v="03/16/2026"/>
    <s v="Invoice"/>
    <s v="16538"/>
    <x v="42"/>
    <s v="Deposit for Sales Order"/>
    <s v="2115 Customer Deposits"/>
    <s v="Accounts Receivable"/>
    <n v="-8423"/>
    <n v="6204863.8999999994"/>
  </r>
  <r>
    <s v="03/16/2026"/>
    <s v="Invoice"/>
    <s v="16539"/>
    <x v="43"/>
    <s v="Deposit for Sales Order"/>
    <s v="2115 Customer Deposits"/>
    <s v="Accounts Receivable"/>
    <n v="-9467"/>
    <n v="6195396.8999999994"/>
  </r>
  <r>
    <s v="03/16/2026"/>
    <s v="Invoice"/>
    <s v="16541"/>
    <x v="44"/>
    <s v="Deposit for Sales Order"/>
    <s v="2115 Customer Deposits"/>
    <s v="Accounts Receivable"/>
    <n v="-10217"/>
    <n v="6185179.8999999994"/>
  </r>
  <r>
    <s v="03/16/2026"/>
    <s v="Invoice"/>
    <s v="16542"/>
    <x v="45"/>
    <s v="Deposit for Sales Order"/>
    <s v="2115 Customer Deposits"/>
    <s v="Accounts Receivable"/>
    <n v="29728"/>
    <n v="6214907.8999999994"/>
  </r>
  <r>
    <s v="03/16/2026"/>
    <s v="Invoice"/>
    <s v="16543"/>
    <x v="46"/>
    <s v="Deposit for Sales Order"/>
    <s v="2115 Customer Deposits"/>
    <s v="Accounts Receivable"/>
    <n v="3125"/>
    <n v="6218032.8999999994"/>
  </r>
  <r>
    <s v="03/17/2026"/>
    <s v="Invoice"/>
    <s v="16545"/>
    <x v="47"/>
    <s v="Deposit for Sales Order"/>
    <s v="2115 Customer Deposits"/>
    <s v="Accounts Receivable"/>
    <n v="-20000"/>
    <n v="6198032.8999999994"/>
  </r>
  <r>
    <s v="03/17/2026"/>
    <s v="Invoice"/>
    <s v="16547"/>
    <x v="48"/>
    <s v="Deposit for Sales Order"/>
    <s v="2115 Customer Deposits"/>
    <s v="Accounts Receivable"/>
    <n v="23405"/>
    <n v="6221437.8999999994"/>
  </r>
  <r>
    <s v="03/17/2026"/>
    <s v="Invoice"/>
    <s v="16548"/>
    <x v="49"/>
    <s v="Deposit for Sales Order"/>
    <s v="2115 Customer Deposits"/>
    <s v="Accounts Receivable"/>
    <n v="6961"/>
    <n v="6228398.8999999994"/>
  </r>
  <r>
    <s v="03/17/2026"/>
    <s v="Invoice"/>
    <s v="16549"/>
    <x v="50"/>
    <s v="Deposit for Sales Order"/>
    <s v="2115 Customer Deposits"/>
    <s v="Accounts Receivable"/>
    <n v="18709"/>
    <n v="6247107.8999999994"/>
  </r>
  <r>
    <s v="03/18/2026"/>
    <s v="Invoice"/>
    <s v="16552"/>
    <x v="51"/>
    <s v="Deposit for Sales Order"/>
    <s v="2115 Customer Deposits"/>
    <s v="Accounts Receivable"/>
    <n v="14007"/>
    <n v="6261114.8999999994"/>
  </r>
  <r>
    <s v="03/18/2026"/>
    <s v="Invoice"/>
    <s v="16553"/>
    <x v="52"/>
    <s v="Deposit for Sales Order"/>
    <s v="2115 Customer Deposits"/>
    <s v="Accounts Receivable"/>
    <n v="5000"/>
    <n v="6266114.8999999994"/>
  </r>
  <r>
    <s v="03/18/2026"/>
    <s v="Invoice"/>
    <s v="16555"/>
    <x v="53"/>
    <s v="Deposit for Sales Order"/>
    <s v="2115 Customer Deposits"/>
    <s v="Accounts Receivable"/>
    <n v="21569"/>
    <n v="6287683.8999999994"/>
  </r>
  <r>
    <s v="03/18/2026"/>
    <s v="Invoice"/>
    <s v="16560"/>
    <x v="54"/>
    <s v="Deposit for Sales Order"/>
    <s v="2115 Customer Deposits"/>
    <s v="Accounts Receivable"/>
    <n v="10888"/>
    <n v="6298571.8999999994"/>
  </r>
  <r>
    <s v="03/18/2026"/>
    <s v="Invoice"/>
    <s v="16561"/>
    <x v="55"/>
    <s v="Deposit for Sales Order"/>
    <s v="2115 Customer Deposits"/>
    <s v="Accounts Receivable"/>
    <n v="39804"/>
    <n v="6338375.8999999994"/>
  </r>
  <r>
    <s v="03/18/2026"/>
    <s v="Invoice"/>
    <s v="16562"/>
    <x v="56"/>
    <s v="Deposit for Sales Order"/>
    <s v="2115 Customer Deposits"/>
    <s v="Accounts Receivable"/>
    <n v="212099.25"/>
    <n v="6550475.1499999994"/>
  </r>
  <r>
    <s v="03/19/2026"/>
    <s v="Invoice"/>
    <s v="16565"/>
    <x v="57"/>
    <s v="Deposit for Sales Order"/>
    <s v="2115 Customer Deposits"/>
    <s v="Accounts Receivable"/>
    <n v="-13980"/>
    <n v="6536495.1499999994"/>
  </r>
  <r>
    <s v="03/19/2026"/>
    <s v="Invoice"/>
    <s v="16567"/>
    <x v="58"/>
    <s v="Deposit for Sales Order"/>
    <s v="2115 Customer Deposits"/>
    <s v="Accounts Receivable"/>
    <n v="17304"/>
    <n v="6553799.1499999994"/>
  </r>
  <r>
    <s v="03/19/2026"/>
    <s v="Invoice"/>
    <s v="16569"/>
    <x v="59"/>
    <s v="Deposit for Sales Order"/>
    <s v="2115 Customer Deposits"/>
    <s v="Accounts Receivable"/>
    <n v="151068"/>
    <n v="6704867.1499999994"/>
  </r>
  <r>
    <s v="03/19/2026"/>
    <s v="Invoice"/>
    <s v="16570"/>
    <x v="60"/>
    <s v="Deposit for Sales Order"/>
    <s v="2115 Customer Deposits"/>
    <s v="Accounts Receivable"/>
    <n v="17904"/>
    <n v="6722771.1499999994"/>
  </r>
  <r>
    <s v="03/19/2026"/>
    <s v="Invoice"/>
    <s v="16573"/>
    <x v="61"/>
    <s v="Deposit for Sales Order"/>
    <s v="2115 Customer Deposits"/>
    <s v="Accounts Receivable"/>
    <n v="109253"/>
    <n v="6832024.1499999994"/>
  </r>
  <r>
    <s v="03/19/2026"/>
    <s v="Invoice"/>
    <s v="16574"/>
    <x v="62"/>
    <s v="Deposit for Sales Order"/>
    <s v="2115 Customer Deposits"/>
    <s v="Accounts Receivable"/>
    <n v="56063"/>
    <n v="6888087.1499999994"/>
  </r>
  <r>
    <s v="03/20/2026"/>
    <s v="Invoice"/>
    <s v="16575"/>
    <x v="63"/>
    <s v="Deposit for Sales Order"/>
    <s v="2115 Customer Deposits"/>
    <s v="Accounts Receivable"/>
    <n v="-35519.5"/>
    <n v="6852567.6499999994"/>
  </r>
  <r>
    <s v="03/20/2026"/>
    <s v="Invoice"/>
    <s v="16576"/>
    <x v="64"/>
    <s v="Deposit for Sales Order"/>
    <s v="2115 Customer Deposits"/>
    <s v="Accounts Receivable"/>
    <n v="-1130.58"/>
    <n v="6851437.0699999994"/>
  </r>
  <r>
    <s v="03/20/2026"/>
    <s v="Invoice"/>
    <s v="16577"/>
    <x v="65"/>
    <s v="Deposit for Sales Order"/>
    <s v="2115 Customer Deposits"/>
    <s v="Accounts Receivable"/>
    <n v="17176"/>
    <n v="6868613.0699999994"/>
  </r>
  <r>
    <s v="03/20/2026"/>
    <s v="Invoice"/>
    <s v="16578"/>
    <x v="66"/>
    <s v="Deposit for Sales Order"/>
    <s v="2115 Customer Deposits"/>
    <s v="Accounts Receivable"/>
    <n v="255026"/>
    <n v="7123639.0699999994"/>
  </r>
  <r>
    <s v="03/23/2026"/>
    <s v="Invoice"/>
    <s v="16580"/>
    <x v="67"/>
    <s v="Deposit for Sales Order"/>
    <s v="2115 Customer Deposits"/>
    <s v="Accounts Receivable"/>
    <n v="-11041"/>
    <n v="7112598.0699999994"/>
  </r>
  <r>
    <s v="03/24/2026"/>
    <s v="Invoice"/>
    <s v="16582"/>
    <x v="68"/>
    <s v="Deposit for Sales Order"/>
    <s v="2115 Customer Deposits"/>
    <s v="Accounts Receivable"/>
    <n v="6516"/>
    <n v="7119114.0699999994"/>
  </r>
  <r>
    <s v="03/24/2026"/>
    <s v="Invoice"/>
    <s v="16583"/>
    <x v="69"/>
    <s v="Deposit for Sales Order"/>
    <s v="2115 Customer Deposits"/>
    <s v="Accounts Receivable"/>
    <n v="9796.19"/>
    <n v="7128910.2599999998"/>
  </r>
  <r>
    <s v="03/24/2026"/>
    <s v="Invoice"/>
    <s v="16585"/>
    <x v="70"/>
    <s v="Deposit for Sales Order"/>
    <s v="2115 Customer Deposits"/>
    <s v="Accounts Receivable"/>
    <n v="16192"/>
    <n v="7145102.2599999998"/>
  </r>
  <r>
    <s v="03/25/2026"/>
    <s v="Invoice"/>
    <s v="16589"/>
    <x v="71"/>
    <s v="Deposit for Sales Order"/>
    <s v="2115 Customer Deposits"/>
    <s v="Accounts Receivable"/>
    <n v="-29037"/>
    <n v="7116065.2599999998"/>
  </r>
  <r>
    <s v="03/25/2026"/>
    <s v="Invoice"/>
    <s v="16590"/>
    <x v="72"/>
    <s v="Deposit for Sales Order"/>
    <s v="2115 Customer Deposits"/>
    <s v="Accounts Receivable"/>
    <n v="-5000"/>
    <n v="7111065.2599999998"/>
  </r>
  <r>
    <s v="03/25/2026"/>
    <s v="Invoice"/>
    <s v="16590"/>
    <x v="72"/>
    <s v="Deposit for Sales Order"/>
    <s v="2115 Customer Deposits"/>
    <s v="Accounts Receivable"/>
    <n v="-25878"/>
    <n v="7085187.2599999998"/>
  </r>
  <r>
    <s v="03/25/2026"/>
    <s v="Invoice"/>
    <s v="16591"/>
    <x v="73"/>
    <s v="Deposit for Sales Order"/>
    <s v="2115 Customer Deposits"/>
    <s v="Accounts Receivable"/>
    <n v="0"/>
    <n v="7085187.2599999998"/>
  </r>
  <r>
    <s v="03/25/2026"/>
    <s v="Invoice"/>
    <s v="16591"/>
    <x v="73"/>
    <s v="Deposit for Sales Order"/>
    <s v="2115 Customer Deposits"/>
    <s v="Accounts Receivable"/>
    <n v="-24528.82"/>
    <n v="7060658.4399999995"/>
  </r>
  <r>
    <s v="03/25/2026"/>
    <s v="Invoice"/>
    <s v="16592"/>
    <x v="74"/>
    <s v="Deposit for Sales Order"/>
    <s v="2115 Customer Deposits"/>
    <s v="Accounts Receivable"/>
    <n v="-8901"/>
    <n v="7051757.4399999995"/>
  </r>
  <r>
    <s v="03/25/2026"/>
    <s v="Invoice"/>
    <s v="16593"/>
    <x v="75"/>
    <s v="Deposit for Sales Order"/>
    <s v="2115 Customer Deposits"/>
    <s v="Accounts Receivable"/>
    <n v="-15439"/>
    <n v="7036318.4399999995"/>
  </r>
  <r>
    <s v="03/25/2026"/>
    <s v="Invoice"/>
    <s v="16594"/>
    <x v="76"/>
    <s v="Deposit for Sales Order"/>
    <s v="2115 Customer Deposits"/>
    <s v="Accounts Receivable"/>
    <n v="-6845"/>
    <n v="7029473.4399999995"/>
  </r>
  <r>
    <s v="03/25/2026"/>
    <s v="Invoice"/>
    <s v="16595"/>
    <x v="77"/>
    <s v="Deposit for Sales Order"/>
    <s v="2115 Customer Deposits"/>
    <s v="Accounts Receivable"/>
    <n v="-35018"/>
    <n v="6994455.4399999995"/>
  </r>
  <r>
    <s v="03/25/2026"/>
    <s v="Invoice"/>
    <s v="16596"/>
    <x v="78"/>
    <s v="Deposit for Sales Order"/>
    <s v="2115 Customer Deposits"/>
    <s v="Accounts Receivable"/>
    <n v="-24500"/>
    <n v="6969955.4399999995"/>
  </r>
  <r>
    <s v="03/25/2026"/>
    <s v="Invoice"/>
    <s v="16597"/>
    <x v="79"/>
    <s v="Deposit for Sales Order"/>
    <s v="2115 Customer Deposits"/>
    <s v="Accounts Receivable"/>
    <n v="-3000"/>
    <n v="6966955.4399999995"/>
  </r>
  <r>
    <s v="03/25/2026"/>
    <s v="Invoice"/>
    <s v="16598"/>
    <x v="80"/>
    <s v="Deposit for Sales Order"/>
    <s v="2115 Customer Deposits"/>
    <s v="Accounts Receivable"/>
    <n v="1142.27"/>
    <n v="6968097.709999999"/>
  </r>
  <r>
    <s v="03/26/2026"/>
    <s v="Invoice"/>
    <s v="16601"/>
    <x v="81"/>
    <s v="Deposit for Sales Order"/>
    <s v="2115 Customer Deposits"/>
    <s v="Accounts Receivable"/>
    <n v="-13500"/>
    <n v="6954597.709999999"/>
  </r>
  <r>
    <s v="03/26/2026"/>
    <s v="Invoice"/>
    <s v="16602"/>
    <x v="82"/>
    <s v="Deposit for Sales Order"/>
    <s v="2115 Customer Deposits"/>
    <s v="Accounts Receivable"/>
    <n v="3227"/>
    <n v="6957824.709999999"/>
  </r>
  <r>
    <s v="03/26/2026"/>
    <s v="Invoice"/>
    <s v="16603"/>
    <x v="83"/>
    <s v="Deposit for Sales Order- CO1"/>
    <s v="2115 Customer Deposits"/>
    <s v="Accounts Receivable"/>
    <n v="9567"/>
    <n v="6967391.709999999"/>
  </r>
  <r>
    <m/>
    <m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A282F-E111-4FCB-B262-807DE05BAB4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P86" firstHeaderRow="1" firstDataRow="1" firstDataCol="1"/>
  <pivotFields count="9">
    <pivotField showAll="0"/>
    <pivotField showAll="0"/>
    <pivotField showAll="0"/>
    <pivotField axis="axisRow" showAll="0">
      <items count="85">
        <item x="21"/>
        <item x="13"/>
        <item x="69"/>
        <item x="31"/>
        <item x="15"/>
        <item x="41"/>
        <item x="50"/>
        <item x="82"/>
        <item x="45"/>
        <item x="20"/>
        <item x="73"/>
        <item x="2"/>
        <item x="40"/>
        <item x="65"/>
        <item x="75"/>
        <item x="55"/>
        <item x="10"/>
        <item x="19"/>
        <item x="61"/>
        <item x="6"/>
        <item x="7"/>
        <item x="33"/>
        <item x="35"/>
        <item x="58"/>
        <item x="1"/>
        <item x="27"/>
        <item x="23"/>
        <item x="70"/>
        <item x="59"/>
        <item x="48"/>
        <item x="29"/>
        <item x="28"/>
        <item x="74"/>
        <item x="14"/>
        <item x="80"/>
        <item x="79"/>
        <item x="83"/>
        <item x="39"/>
        <item x="4"/>
        <item x="62"/>
        <item x="11"/>
        <item x="68"/>
        <item x="24"/>
        <item x="43"/>
        <item x="52"/>
        <item x="46"/>
        <item x="77"/>
        <item x="76"/>
        <item x="16"/>
        <item x="57"/>
        <item x="25"/>
        <item x="60"/>
        <item x="71"/>
        <item x="81"/>
        <item x="12"/>
        <item x="47"/>
        <item x="49"/>
        <item x="54"/>
        <item x="53"/>
        <item x="63"/>
        <item x="32"/>
        <item x="67"/>
        <item x="37"/>
        <item x="5"/>
        <item x="17"/>
        <item x="36"/>
        <item x="51"/>
        <item x="64"/>
        <item x="42"/>
        <item x="8"/>
        <item x="9"/>
        <item x="18"/>
        <item x="38"/>
        <item x="30"/>
        <item x="78"/>
        <item x="66"/>
        <item x="56"/>
        <item x="34"/>
        <item x="72"/>
        <item x="3"/>
        <item x="22"/>
        <item x="26"/>
        <item x="44"/>
        <item h="1"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Sum of Amount" fld="7" baseField="0" baseItem="0"/>
  </dataFields>
  <formats count="1">
    <format dxfId="28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A62C53-18D9-418B-9BED-249DBCED59C5}">
  <we:reference id="wa200003784" version="1.2.0.2" store="en-GB" storeType="OMEX"/>
  <we:alternateReferences>
    <we:reference id="wa200003784" version="1.2.0.2" store="en-GB" storeType="OMEX"/>
  </we:alternateReferences>
  <we:properties/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46C9-B2A6-4C79-BD2F-B4A39DF1EDF4}">
  <dimension ref="A1:N161"/>
  <sheetViews>
    <sheetView topLeftCell="A133" workbookViewId="0">
      <selection activeCell="G154" sqref="G154"/>
    </sheetView>
  </sheetViews>
  <sheetFormatPr defaultRowHeight="15" x14ac:dyDescent="0.25"/>
  <cols>
    <col min="1" max="1" width="75.28515625" customWidth="1"/>
    <col min="2" max="2" width="13.28515625" style="29" customWidth="1"/>
    <col min="3" max="3" width="11.28515625" customWidth="1"/>
    <col min="4" max="4" width="13.28515625" style="30" customWidth="1"/>
    <col min="5" max="5" width="19.140625" customWidth="1"/>
    <col min="6" max="6" width="32.85546875" style="31" customWidth="1"/>
    <col min="7" max="7" width="16" style="32" customWidth="1"/>
    <col min="8" max="8" width="17.5703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3" max="13" width="11.5703125" bestFit="1" customWidth="1"/>
    <col min="14" max="14" width="28.5703125" bestFit="1" customWidth="1"/>
  </cols>
  <sheetData>
    <row r="1" spans="1:14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4" ht="16.5" thickTop="1" thickBot="1" x14ac:dyDescent="0.3">
      <c r="A2" s="5" t="s">
        <v>136</v>
      </c>
      <c r="B2" s="6">
        <v>84541</v>
      </c>
      <c r="C2" s="7" t="s">
        <v>15</v>
      </c>
      <c r="D2" s="39">
        <v>45943</v>
      </c>
      <c r="E2" s="39" t="str">
        <f>VLOOKUP(B2,'[2]Month Total'!$B:$E,4,FALSE)</f>
        <v>Pre-Production</v>
      </c>
      <c r="F2" s="39" t="str">
        <f>VLOOKUP(B2,'[2]Month Total'!$B:$F,5,FALSE)</f>
        <v>Pre-Production</v>
      </c>
      <c r="G2" s="9">
        <v>10262</v>
      </c>
      <c r="H2" s="10">
        <f t="shared" ref="H2:H33" si="0">I2-G2</f>
        <v>9172</v>
      </c>
      <c r="I2" s="11">
        <v>19434</v>
      </c>
      <c r="J2" s="11">
        <v>10262</v>
      </c>
      <c r="K2" s="11">
        <f t="shared" ref="K2:K15" si="1">IF(G2=0,J2-G2,0)</f>
        <v>0</v>
      </c>
      <c r="L2" s="11">
        <f t="shared" ref="L2:L33" si="2">IF(G2&gt;0,G2-J2,"Invoiced this Month")</f>
        <v>0</v>
      </c>
      <c r="M2" s="41"/>
      <c r="N2" s="33"/>
    </row>
    <row r="3" spans="1:14" ht="16.5" thickTop="1" thickBot="1" x14ac:dyDescent="0.3">
      <c r="A3" s="5" t="s">
        <v>189</v>
      </c>
      <c r="B3" s="6">
        <v>87185</v>
      </c>
      <c r="C3" s="7" t="s">
        <v>21</v>
      </c>
      <c r="D3" s="39" t="s">
        <v>195</v>
      </c>
      <c r="E3" s="39" t="str">
        <f>VLOOKUP(B3,'[2]Month Total'!$B:$E,4,FALSE)</f>
        <v>Pre-Production</v>
      </c>
      <c r="F3" s="39" t="str">
        <f>VLOOKUP(B3,'[2]Month Total'!$B:$F,5,FALSE)</f>
        <v>Pre-Production</v>
      </c>
      <c r="G3" s="9">
        <v>31515</v>
      </c>
      <c r="H3" s="10">
        <f t="shared" si="0"/>
        <v>31514</v>
      </c>
      <c r="I3" s="11">
        <v>63029</v>
      </c>
      <c r="J3" s="11">
        <v>31515</v>
      </c>
      <c r="K3" s="11">
        <f t="shared" si="1"/>
        <v>0</v>
      </c>
      <c r="L3" s="11">
        <f t="shared" si="2"/>
        <v>0</v>
      </c>
      <c r="M3" s="41"/>
      <c r="N3" s="33"/>
    </row>
    <row r="4" spans="1:14" ht="16.5" thickTop="1" thickBot="1" x14ac:dyDescent="0.3">
      <c r="A4" s="5" t="s">
        <v>61</v>
      </c>
      <c r="B4" s="6">
        <v>78377</v>
      </c>
      <c r="C4" s="7" t="s">
        <v>62</v>
      </c>
      <c r="D4" s="8" t="s">
        <v>60</v>
      </c>
      <c r="E4" s="39">
        <f>VLOOKUP(B4,'[2]Month Total'!$B:$E,4,FALSE)</f>
        <v>46007</v>
      </c>
      <c r="F4" s="39" t="str">
        <f>VLOOKUP(B4,'[2]Month Total'!$B:$F,5,FALSE)</f>
        <v>Powder coat</v>
      </c>
      <c r="G4" s="9">
        <v>342623.5</v>
      </c>
      <c r="H4" s="10">
        <f t="shared" si="0"/>
        <v>342623.5</v>
      </c>
      <c r="I4" s="11">
        <v>685247</v>
      </c>
      <c r="J4" s="11">
        <v>342623.5</v>
      </c>
      <c r="K4" s="11">
        <f t="shared" si="1"/>
        <v>0</v>
      </c>
      <c r="L4" s="11">
        <f t="shared" si="2"/>
        <v>0</v>
      </c>
      <c r="N4" s="33"/>
    </row>
    <row r="5" spans="1:14" ht="16.5" thickTop="1" thickBot="1" x14ac:dyDescent="0.3">
      <c r="A5" s="5" t="s">
        <v>143</v>
      </c>
      <c r="B5" s="6">
        <v>86050</v>
      </c>
      <c r="C5" s="7" t="s">
        <v>62</v>
      </c>
      <c r="D5" s="39">
        <v>45954</v>
      </c>
      <c r="E5" s="39">
        <v>46050</v>
      </c>
      <c r="F5" s="39" t="str">
        <f>VLOOKUP(B5,'[2]Month Total'!$B:$F,5,FALSE)</f>
        <v>Pre-Production</v>
      </c>
      <c r="G5" s="9">
        <v>68086</v>
      </c>
      <c r="H5" s="10">
        <f t="shared" si="0"/>
        <v>67560</v>
      </c>
      <c r="I5" s="11">
        <v>135646</v>
      </c>
      <c r="J5" s="11">
        <v>34043</v>
      </c>
      <c r="K5" s="11">
        <f t="shared" si="1"/>
        <v>0</v>
      </c>
      <c r="L5" s="11">
        <f t="shared" si="2"/>
        <v>34043</v>
      </c>
      <c r="M5" s="41"/>
      <c r="N5" s="33"/>
    </row>
    <row r="6" spans="1:14" ht="16.5" thickTop="1" thickBot="1" x14ac:dyDescent="0.3">
      <c r="A6" s="5" t="s">
        <v>105</v>
      </c>
      <c r="B6" s="6">
        <v>83846</v>
      </c>
      <c r="C6" s="7" t="s">
        <v>62</v>
      </c>
      <c r="D6" s="39">
        <v>45880</v>
      </c>
      <c r="E6" s="39" t="str">
        <f>VLOOKUP(B6,'[2]Month Total'!$B:$E,4,FALSE)</f>
        <v>Pre-Production</v>
      </c>
      <c r="F6" s="39" t="str">
        <f>VLOOKUP(B6,'[2]Month Total'!$B:$F,5,FALSE)</f>
        <v>Pre-Production</v>
      </c>
      <c r="G6" s="9">
        <v>77743</v>
      </c>
      <c r="H6" s="10">
        <f t="shared" si="0"/>
        <v>77742</v>
      </c>
      <c r="I6" s="11">
        <v>155485</v>
      </c>
      <c r="J6" s="11">
        <v>77743</v>
      </c>
      <c r="K6" s="11">
        <f t="shared" si="1"/>
        <v>0</v>
      </c>
      <c r="L6" s="11">
        <f t="shared" si="2"/>
        <v>0</v>
      </c>
      <c r="M6" s="38"/>
      <c r="N6" s="33"/>
    </row>
    <row r="7" spans="1:14" ht="16.5" thickTop="1" thickBot="1" x14ac:dyDescent="0.3">
      <c r="A7" s="5" t="s">
        <v>88</v>
      </c>
      <c r="B7" s="6">
        <v>85639</v>
      </c>
      <c r="C7" s="7" t="s">
        <v>14</v>
      </c>
      <c r="D7" s="39">
        <v>45805</v>
      </c>
      <c r="E7" s="39">
        <f>VLOOKUP(B7,'[2]Month Total'!$B:$E,4,FALSE)</f>
        <v>46015</v>
      </c>
      <c r="F7" s="39" t="str">
        <f>VLOOKUP(B7,'[2]Month Total'!$B:$F,5,FALSE)</f>
        <v>Pull Material</v>
      </c>
      <c r="G7" s="9">
        <v>11673</v>
      </c>
      <c r="H7" s="10">
        <f t="shared" si="0"/>
        <v>11672</v>
      </c>
      <c r="I7" s="11">
        <v>23345</v>
      </c>
      <c r="J7" s="11">
        <v>11673</v>
      </c>
      <c r="K7" s="11">
        <f t="shared" si="1"/>
        <v>0</v>
      </c>
      <c r="L7" s="11">
        <f t="shared" si="2"/>
        <v>0</v>
      </c>
      <c r="N7" s="33"/>
    </row>
    <row r="8" spans="1:14" ht="16.5" thickTop="1" thickBot="1" x14ac:dyDescent="0.3">
      <c r="A8" s="5" t="s">
        <v>158</v>
      </c>
      <c r="B8" s="6">
        <v>86924</v>
      </c>
      <c r="C8" s="7" t="s">
        <v>157</v>
      </c>
      <c r="D8" s="39">
        <v>45965</v>
      </c>
      <c r="E8" s="39">
        <f>VLOOKUP(B8,'[2]Month Total'!$B:$E,4,FALSE)</f>
        <v>46013</v>
      </c>
      <c r="F8" s="39" t="str">
        <f>VLOOKUP(B8,'[2]Month Total'!$B:$F,5,FALSE)</f>
        <v>Powder coat</v>
      </c>
      <c r="G8" s="9">
        <v>40090</v>
      </c>
      <c r="H8" s="10">
        <f t="shared" si="0"/>
        <v>40089</v>
      </c>
      <c r="I8" s="11">
        <v>80179</v>
      </c>
      <c r="J8" s="11">
        <v>40090</v>
      </c>
      <c r="K8" s="11">
        <f t="shared" si="1"/>
        <v>0</v>
      </c>
      <c r="L8" s="11">
        <f t="shared" si="2"/>
        <v>0</v>
      </c>
      <c r="M8" s="41"/>
      <c r="N8" s="33"/>
    </row>
    <row r="9" spans="1:14" ht="16.5" thickTop="1" thickBot="1" x14ac:dyDescent="0.3">
      <c r="A9" s="5" t="s">
        <v>91</v>
      </c>
      <c r="B9" s="6">
        <v>84044</v>
      </c>
      <c r="C9" s="7" t="s">
        <v>14</v>
      </c>
      <c r="D9" s="39">
        <v>45811</v>
      </c>
      <c r="E9" s="39">
        <f>VLOOKUP(B9,'[2]Month Total'!$B:$E,4,FALSE)</f>
        <v>46002</v>
      </c>
      <c r="F9" s="39" t="str">
        <f>VLOOKUP(B9,'[2]Month Total'!$B:$F,5,FALSE)</f>
        <v>Coating</v>
      </c>
      <c r="G9" s="9">
        <v>93528</v>
      </c>
      <c r="H9" s="10">
        <f t="shared" si="0"/>
        <v>-28848</v>
      </c>
      <c r="I9" s="11">
        <v>64680</v>
      </c>
      <c r="J9" s="11">
        <v>93528</v>
      </c>
      <c r="K9" s="11">
        <f t="shared" si="1"/>
        <v>0</v>
      </c>
      <c r="L9" s="11">
        <f t="shared" si="2"/>
        <v>0</v>
      </c>
      <c r="N9" s="33"/>
    </row>
    <row r="10" spans="1:14" ht="16.5" thickTop="1" thickBot="1" x14ac:dyDescent="0.3">
      <c r="A10" s="5" t="s">
        <v>92</v>
      </c>
      <c r="B10" s="6">
        <v>84046</v>
      </c>
      <c r="C10" s="7" t="s">
        <v>14</v>
      </c>
      <c r="D10" s="39">
        <v>45811</v>
      </c>
      <c r="E10" s="39">
        <f>VLOOKUP(B10,'[2]Month Total'!$B:$E,4,FALSE)</f>
        <v>46002</v>
      </c>
      <c r="F10" s="39" t="str">
        <f>VLOOKUP(B10,'[2]Month Total'!$B:$F,5,FALSE)</f>
        <v>Coating</v>
      </c>
      <c r="G10" s="9">
        <v>97035</v>
      </c>
      <c r="H10" s="10">
        <f t="shared" si="0"/>
        <v>38165</v>
      </c>
      <c r="I10" s="11">
        <v>135200</v>
      </c>
      <c r="J10" s="11">
        <v>97035</v>
      </c>
      <c r="K10" s="11">
        <f t="shared" si="1"/>
        <v>0</v>
      </c>
      <c r="L10" s="11">
        <f t="shared" si="2"/>
        <v>0</v>
      </c>
      <c r="N10" s="33"/>
    </row>
    <row r="11" spans="1:14" ht="16.5" thickTop="1" thickBot="1" x14ac:dyDescent="0.3">
      <c r="A11" s="5" t="s">
        <v>166</v>
      </c>
      <c r="B11" s="6">
        <v>82690</v>
      </c>
      <c r="C11" s="7" t="s">
        <v>14</v>
      </c>
      <c r="D11" s="39" t="s">
        <v>176</v>
      </c>
      <c r="E11" s="39" t="str">
        <f>VLOOKUP(B11,'[2]Month Total'!$B:$E,4,FALSE)</f>
        <v>Pre-Production</v>
      </c>
      <c r="F11" s="39" t="str">
        <f>VLOOKUP(B11,'[2]Month Total'!$B:$F,5,FALSE)</f>
        <v>Pre-Production</v>
      </c>
      <c r="G11" s="9">
        <v>13744</v>
      </c>
      <c r="H11" s="10">
        <f t="shared" si="0"/>
        <v>12649</v>
      </c>
      <c r="I11" s="11">
        <v>26393</v>
      </c>
      <c r="J11" s="11">
        <v>13744</v>
      </c>
      <c r="K11" s="11">
        <f t="shared" si="1"/>
        <v>0</v>
      </c>
      <c r="L11" s="11">
        <f t="shared" si="2"/>
        <v>0</v>
      </c>
      <c r="M11" s="41"/>
      <c r="N11" s="33"/>
    </row>
    <row r="12" spans="1:14" ht="16.5" thickTop="1" thickBot="1" x14ac:dyDescent="0.3">
      <c r="A12" s="5" t="s">
        <v>108</v>
      </c>
      <c r="B12" s="6">
        <v>84790</v>
      </c>
      <c r="C12" s="7" t="s">
        <v>16</v>
      </c>
      <c r="D12" s="39">
        <v>45890</v>
      </c>
      <c r="E12" s="39">
        <f>VLOOKUP(B12,'[2]Month Total'!$B:$E,4,FALSE)</f>
        <v>45973</v>
      </c>
      <c r="F12" s="39" t="str">
        <f>VLOOKUP(B12,'[2]Month Total'!$B:$F,5,FALSE)</f>
        <v>Powder coat</v>
      </c>
      <c r="G12" s="9">
        <v>37869</v>
      </c>
      <c r="H12" s="10">
        <f t="shared" si="0"/>
        <v>37868</v>
      </c>
      <c r="I12" s="11">
        <v>75737</v>
      </c>
      <c r="J12" s="11">
        <v>37869</v>
      </c>
      <c r="K12" s="11">
        <f t="shared" si="1"/>
        <v>0</v>
      </c>
      <c r="L12" s="11">
        <f t="shared" si="2"/>
        <v>0</v>
      </c>
      <c r="M12" s="38"/>
      <c r="N12" s="33"/>
    </row>
    <row r="13" spans="1:14" ht="16.5" thickTop="1" thickBot="1" x14ac:dyDescent="0.3">
      <c r="A13" s="5" t="s">
        <v>134</v>
      </c>
      <c r="B13" s="6">
        <v>87402</v>
      </c>
      <c r="C13" s="7" t="s">
        <v>21</v>
      </c>
      <c r="D13" s="39">
        <v>45939</v>
      </c>
      <c r="E13" s="39" t="str">
        <f>VLOOKUP(B13,'[2]Month Total'!$B:$E,4,FALSE)</f>
        <v>Pre-Production</v>
      </c>
      <c r="F13" s="39" t="str">
        <f>VLOOKUP(B13,'[2]Month Total'!$B:$F,5,FALSE)</f>
        <v>Pre-Production</v>
      </c>
      <c r="G13" s="9">
        <v>20000</v>
      </c>
      <c r="H13" s="10">
        <f t="shared" si="0"/>
        <v>19516</v>
      </c>
      <c r="I13" s="11">
        <v>39516</v>
      </c>
      <c r="J13" s="11">
        <v>20000</v>
      </c>
      <c r="K13" s="11">
        <f t="shared" si="1"/>
        <v>0</v>
      </c>
      <c r="L13" s="11">
        <f t="shared" si="2"/>
        <v>0</v>
      </c>
      <c r="M13" s="41"/>
      <c r="N13" s="33"/>
    </row>
    <row r="14" spans="1:14" ht="16.5" thickTop="1" thickBot="1" x14ac:dyDescent="0.3">
      <c r="A14" s="5" t="s">
        <v>169</v>
      </c>
      <c r="B14" s="6">
        <v>87022</v>
      </c>
      <c r="C14" s="7" t="s">
        <v>14</v>
      </c>
      <c r="D14" s="39" t="s">
        <v>178</v>
      </c>
      <c r="E14" s="39" t="str">
        <f>VLOOKUP(B14,'[2]Month Total'!$B:$E,4,FALSE)</f>
        <v>Pre-Production</v>
      </c>
      <c r="F14" s="39" t="str">
        <f>VLOOKUP(B14,'[2]Month Total'!$B:$F,5,FALSE)</f>
        <v>Pre-Production</v>
      </c>
      <c r="G14" s="9">
        <v>60823</v>
      </c>
      <c r="H14" s="10">
        <f t="shared" si="0"/>
        <v>60822</v>
      </c>
      <c r="I14" s="11">
        <v>121645</v>
      </c>
      <c r="J14" s="11">
        <v>60823</v>
      </c>
      <c r="K14" s="11">
        <f t="shared" si="1"/>
        <v>0</v>
      </c>
      <c r="L14" s="11">
        <f t="shared" si="2"/>
        <v>0</v>
      </c>
      <c r="M14" s="41"/>
      <c r="N14" s="33"/>
    </row>
    <row r="15" spans="1:14" ht="16.5" thickTop="1" thickBot="1" x14ac:dyDescent="0.3">
      <c r="A15" s="5" t="s">
        <v>135</v>
      </c>
      <c r="B15" s="6">
        <v>87104</v>
      </c>
      <c r="C15" s="7" t="s">
        <v>26</v>
      </c>
      <c r="D15" s="39">
        <v>45939</v>
      </c>
      <c r="E15" s="39" t="str">
        <f>VLOOKUP(B15,'[2]Month Total'!$B:$E,4,FALSE)</f>
        <v>Pre-Production</v>
      </c>
      <c r="F15" s="39" t="str">
        <f>VLOOKUP(B15,'[2]Month Total'!$B:$F,5,FALSE)</f>
        <v>Pre-Production</v>
      </c>
      <c r="G15" s="19">
        <v>24528.82</v>
      </c>
      <c r="H15" s="10">
        <f t="shared" si="0"/>
        <v>0</v>
      </c>
      <c r="I15" s="11">
        <v>24528.82</v>
      </c>
      <c r="J15" s="11">
        <v>24528.82</v>
      </c>
      <c r="K15" s="11">
        <f t="shared" si="1"/>
        <v>0</v>
      </c>
      <c r="L15" s="11">
        <f t="shared" si="2"/>
        <v>0</v>
      </c>
      <c r="M15" s="41"/>
      <c r="N15" s="33"/>
    </row>
    <row r="16" spans="1:14" ht="16.5" thickTop="1" thickBot="1" x14ac:dyDescent="0.3">
      <c r="A16" s="5" t="s">
        <v>265</v>
      </c>
      <c r="B16" s="6">
        <v>88921</v>
      </c>
      <c r="C16" s="7" t="s">
        <v>21</v>
      </c>
      <c r="D16" s="39" t="s">
        <v>269</v>
      </c>
      <c r="E16" s="39" t="s">
        <v>13</v>
      </c>
      <c r="F16" s="39" t="s">
        <v>13</v>
      </c>
      <c r="G16" s="9">
        <v>18436</v>
      </c>
      <c r="H16" s="10">
        <f t="shared" si="0"/>
        <v>18436</v>
      </c>
      <c r="I16" s="11">
        <v>36872</v>
      </c>
      <c r="J16" s="11">
        <v>0</v>
      </c>
      <c r="K16" s="11"/>
      <c r="L16" s="11">
        <f t="shared" si="2"/>
        <v>18436</v>
      </c>
      <c r="M16" s="41"/>
      <c r="N16" s="33"/>
    </row>
    <row r="17" spans="1:14" ht="16.5" thickTop="1" thickBot="1" x14ac:dyDescent="0.3">
      <c r="A17" s="5" t="s">
        <v>144</v>
      </c>
      <c r="B17" s="6">
        <v>85791</v>
      </c>
      <c r="C17" s="7" t="s">
        <v>23</v>
      </c>
      <c r="D17" s="39">
        <v>45959</v>
      </c>
      <c r="E17" s="39" t="str">
        <f>VLOOKUP(B17,'[2]Month Total'!$B:$E,4,FALSE)</f>
        <v>Pre-Production</v>
      </c>
      <c r="F17" s="39" t="str">
        <f>VLOOKUP(B17,'[2]Month Total'!$B:$F,5,FALSE)</f>
        <v>Pre-Production</v>
      </c>
      <c r="G17" s="9">
        <v>8977.7000000000007</v>
      </c>
      <c r="H17" s="10">
        <f t="shared" si="0"/>
        <v>80799.3</v>
      </c>
      <c r="I17" s="11">
        <v>89777</v>
      </c>
      <c r="J17" s="11">
        <v>8977.7000000000007</v>
      </c>
      <c r="K17" s="11">
        <f>IF(G17=0,J17-G17,0)</f>
        <v>0</v>
      </c>
      <c r="L17" s="11">
        <f t="shared" si="2"/>
        <v>0</v>
      </c>
      <c r="M17" s="41"/>
      <c r="N17" s="33"/>
    </row>
    <row r="18" spans="1:14" ht="16.5" thickTop="1" thickBot="1" x14ac:dyDescent="0.3">
      <c r="A18" s="5" t="s">
        <v>161</v>
      </c>
      <c r="B18" s="6">
        <v>87898</v>
      </c>
      <c r="C18" s="7" t="s">
        <v>23</v>
      </c>
      <c r="D18" s="39">
        <v>45967</v>
      </c>
      <c r="E18" s="39">
        <f>VLOOKUP(B18,'[2]Month Total'!$B:$E,4,FALSE)</f>
        <v>46000</v>
      </c>
      <c r="F18" s="39" t="str">
        <f>VLOOKUP(B18,'[2]Month Total'!$B:$F,5,FALSE)</f>
        <v>Coating</v>
      </c>
      <c r="G18" s="9">
        <v>6997.5</v>
      </c>
      <c r="H18" s="10">
        <f t="shared" si="0"/>
        <v>6997.5</v>
      </c>
      <c r="I18" s="11">
        <v>13995</v>
      </c>
      <c r="J18" s="11">
        <v>6997.5</v>
      </c>
      <c r="K18" s="11">
        <f>IF(G18=0,J18-G18,0)</f>
        <v>0</v>
      </c>
      <c r="L18" s="11">
        <f t="shared" si="2"/>
        <v>0</v>
      </c>
      <c r="M18" s="41"/>
      <c r="N18" s="33"/>
    </row>
    <row r="19" spans="1:14" ht="16.5" thickTop="1" thickBot="1" x14ac:dyDescent="0.3">
      <c r="A19" s="5" t="s">
        <v>145</v>
      </c>
      <c r="B19" s="6">
        <v>83690</v>
      </c>
      <c r="C19" s="7" t="s">
        <v>23</v>
      </c>
      <c r="D19" s="39">
        <v>45959</v>
      </c>
      <c r="E19" s="39" t="str">
        <f>VLOOKUP(B19,'[2]Month Total'!$B:$E,4,FALSE)</f>
        <v>Pre-Production</v>
      </c>
      <c r="F19" s="39" t="str">
        <f>VLOOKUP(B19,'[2]Month Total'!$B:$F,5,FALSE)</f>
        <v>Pre-Production</v>
      </c>
      <c r="G19" s="9">
        <v>41681.4</v>
      </c>
      <c r="H19" s="10">
        <f t="shared" si="0"/>
        <v>375132.6</v>
      </c>
      <c r="I19" s="11">
        <v>416814</v>
      </c>
      <c r="J19" s="11">
        <v>41681.4</v>
      </c>
      <c r="K19" s="11">
        <f>IF(G19=0,J19-G19,0)</f>
        <v>0</v>
      </c>
      <c r="L19" s="11">
        <f t="shared" si="2"/>
        <v>0</v>
      </c>
      <c r="M19" s="41"/>
      <c r="N19" s="33"/>
    </row>
    <row r="20" spans="1:14" ht="16.5" thickTop="1" thickBot="1" x14ac:dyDescent="0.3">
      <c r="A20" s="5" t="s">
        <v>227</v>
      </c>
      <c r="B20" s="6">
        <v>86318</v>
      </c>
      <c r="C20" s="7" t="s">
        <v>14</v>
      </c>
      <c r="D20" s="39" t="s">
        <v>244</v>
      </c>
      <c r="E20" s="39" t="s">
        <v>13</v>
      </c>
      <c r="F20" s="39" t="s">
        <v>13</v>
      </c>
      <c r="G20" s="9">
        <v>26483.5</v>
      </c>
      <c r="H20" s="10">
        <f t="shared" si="0"/>
        <v>26483.5</v>
      </c>
      <c r="I20" s="11">
        <v>52967</v>
      </c>
      <c r="J20" s="11">
        <v>0</v>
      </c>
      <c r="K20" s="11"/>
      <c r="L20" s="11">
        <f t="shared" si="2"/>
        <v>26483.5</v>
      </c>
      <c r="M20" s="41"/>
      <c r="N20" s="33"/>
    </row>
    <row r="21" spans="1:14" ht="16.5" thickTop="1" thickBot="1" x14ac:dyDescent="0.3">
      <c r="A21" s="5" t="s">
        <v>214</v>
      </c>
      <c r="B21" s="6">
        <v>88100</v>
      </c>
      <c r="C21" s="7" t="s">
        <v>23</v>
      </c>
      <c r="D21" s="39" t="s">
        <v>217</v>
      </c>
      <c r="E21" s="39" t="str">
        <f>VLOOKUP(B21,'[2]Month Total'!$B:$E,4,FALSE)</f>
        <v>Pre-Production</v>
      </c>
      <c r="F21" s="46" t="str">
        <f>VLOOKUP(B21,'[2]Month Total'!$B:$F,5,FALSE)</f>
        <v>Pre-Production</v>
      </c>
      <c r="G21" s="9">
        <v>8674</v>
      </c>
      <c r="H21" s="10">
        <f t="shared" si="0"/>
        <v>8673</v>
      </c>
      <c r="I21" s="11">
        <v>17347</v>
      </c>
      <c r="J21" s="11">
        <v>8674</v>
      </c>
      <c r="K21" s="11">
        <f>IF(G21=0,J21-G21,0)</f>
        <v>0</v>
      </c>
      <c r="L21" s="11">
        <f t="shared" si="2"/>
        <v>0</v>
      </c>
      <c r="M21" s="41"/>
      <c r="N21" s="33"/>
    </row>
    <row r="22" spans="1:14" ht="16.5" thickTop="1" thickBot="1" x14ac:dyDescent="0.3">
      <c r="A22" s="5" t="s">
        <v>237</v>
      </c>
      <c r="B22" s="6">
        <v>88570</v>
      </c>
      <c r="C22" s="7" t="s">
        <v>11</v>
      </c>
      <c r="D22" s="39" t="s">
        <v>249</v>
      </c>
      <c r="E22" s="39" t="s">
        <v>13</v>
      </c>
      <c r="F22" s="39" t="s">
        <v>13</v>
      </c>
      <c r="G22" s="9">
        <v>8743</v>
      </c>
      <c r="H22" s="10">
        <f t="shared" si="0"/>
        <v>8743</v>
      </c>
      <c r="I22" s="11">
        <v>17486</v>
      </c>
      <c r="J22" s="11">
        <v>0</v>
      </c>
      <c r="K22" s="11"/>
      <c r="L22" s="11">
        <f t="shared" si="2"/>
        <v>8743</v>
      </c>
      <c r="M22" s="41"/>
      <c r="N22" s="33"/>
    </row>
    <row r="23" spans="1:14" ht="16.5" thickTop="1" thickBot="1" x14ac:dyDescent="0.3">
      <c r="A23" s="5" t="s">
        <v>229</v>
      </c>
      <c r="B23" s="6">
        <v>87633</v>
      </c>
      <c r="C23" s="7" t="s">
        <v>27</v>
      </c>
      <c r="D23" s="39" t="s">
        <v>244</v>
      </c>
      <c r="E23" s="39" t="s">
        <v>13</v>
      </c>
      <c r="F23" s="39" t="s">
        <v>13</v>
      </c>
      <c r="G23" s="9">
        <v>39028</v>
      </c>
      <c r="H23" s="10">
        <f t="shared" si="0"/>
        <v>39027</v>
      </c>
      <c r="I23" s="11">
        <v>78055</v>
      </c>
      <c r="J23" s="11">
        <v>0</v>
      </c>
      <c r="K23" s="11"/>
      <c r="L23" s="11">
        <f t="shared" si="2"/>
        <v>39028</v>
      </c>
      <c r="M23" s="41"/>
      <c r="N23" s="33"/>
    </row>
    <row r="24" spans="1:14" ht="16.5" thickTop="1" thickBot="1" x14ac:dyDescent="0.3">
      <c r="A24" s="5" t="s">
        <v>168</v>
      </c>
      <c r="B24" s="6">
        <v>85440</v>
      </c>
      <c r="C24" s="7" t="s">
        <v>14</v>
      </c>
      <c r="D24" s="39" t="s">
        <v>177</v>
      </c>
      <c r="E24" s="39">
        <v>46044</v>
      </c>
      <c r="F24" s="39" t="str">
        <f>VLOOKUP(B24,'[2]Month Total'!$B:$F,5,FALSE)</f>
        <v>Pre-Production</v>
      </c>
      <c r="G24" s="9">
        <v>15439</v>
      </c>
      <c r="H24" s="10">
        <f t="shared" si="0"/>
        <v>15438</v>
      </c>
      <c r="I24" s="11">
        <v>30877</v>
      </c>
      <c r="J24" s="11">
        <v>15439</v>
      </c>
      <c r="K24" s="11">
        <f t="shared" ref="K24:K29" si="3">IF(G24=0,J24-G24,0)</f>
        <v>0</v>
      </c>
      <c r="L24" s="11">
        <f t="shared" si="2"/>
        <v>0</v>
      </c>
      <c r="M24" s="41"/>
      <c r="N24" s="33"/>
    </row>
    <row r="25" spans="1:14" ht="16.5" thickTop="1" thickBot="1" x14ac:dyDescent="0.3">
      <c r="A25" s="5" t="s">
        <v>215</v>
      </c>
      <c r="B25" s="6">
        <v>88227</v>
      </c>
      <c r="C25" s="7" t="s">
        <v>14</v>
      </c>
      <c r="D25" s="39" t="s">
        <v>217</v>
      </c>
      <c r="E25" s="39" t="str">
        <f>VLOOKUP(B25,'[2]Month Total'!$B:$E,4,FALSE)</f>
        <v>Pre-Production</v>
      </c>
      <c r="F25" s="39" t="str">
        <f>VLOOKUP(B25,'[2]Month Total'!$B:$F,5,FALSE)</f>
        <v>Pre-Production</v>
      </c>
      <c r="G25" s="9">
        <v>32005</v>
      </c>
      <c r="H25" s="10">
        <f t="shared" si="0"/>
        <v>32005</v>
      </c>
      <c r="I25" s="11">
        <v>64010</v>
      </c>
      <c r="J25" s="11">
        <v>32005</v>
      </c>
      <c r="K25" s="11">
        <f t="shared" si="3"/>
        <v>0</v>
      </c>
      <c r="L25" s="11">
        <f t="shared" si="2"/>
        <v>0</v>
      </c>
      <c r="M25" s="41"/>
      <c r="N25" s="33"/>
    </row>
    <row r="26" spans="1:14" ht="16.5" thickTop="1" thickBot="1" x14ac:dyDescent="0.3">
      <c r="A26" s="43" t="s">
        <v>119</v>
      </c>
      <c r="B26" s="6">
        <v>87308</v>
      </c>
      <c r="C26" s="7" t="s">
        <v>120</v>
      </c>
      <c r="D26" s="39">
        <v>45918</v>
      </c>
      <c r="E26" s="39">
        <f>VLOOKUP(B26,'[2]Month Total'!$B:$E,4,FALSE)</f>
        <v>45996</v>
      </c>
      <c r="F26" s="39" t="str">
        <f>VLOOKUP(B26,'[2]Month Total'!$B:$F,5,FALSE)</f>
        <v>Powder coat</v>
      </c>
      <c r="G26" s="9">
        <v>57207</v>
      </c>
      <c r="H26" s="10">
        <f t="shared" si="0"/>
        <v>57327</v>
      </c>
      <c r="I26" s="11">
        <v>114534</v>
      </c>
      <c r="J26" s="11">
        <v>57207</v>
      </c>
      <c r="K26" s="11">
        <f t="shared" si="3"/>
        <v>0</v>
      </c>
      <c r="L26" s="11">
        <f t="shared" si="2"/>
        <v>0</v>
      </c>
      <c r="M26" s="38"/>
      <c r="N26" s="33"/>
    </row>
    <row r="27" spans="1:14" ht="16.5" thickTop="1" thickBot="1" x14ac:dyDescent="0.3">
      <c r="A27" s="5" t="s">
        <v>172</v>
      </c>
      <c r="B27" s="6">
        <v>88130</v>
      </c>
      <c r="C27" s="7" t="s">
        <v>23</v>
      </c>
      <c r="D27" s="39" t="s">
        <v>180</v>
      </c>
      <c r="E27" s="39">
        <f>VLOOKUP(B27,'[2]Month Total'!$B:$E,4,FALSE)</f>
        <v>46000</v>
      </c>
      <c r="F27" s="49">
        <v>46045</v>
      </c>
      <c r="G27" s="45">
        <v>0</v>
      </c>
      <c r="H27" s="58"/>
      <c r="I27" s="59"/>
      <c r="J27" s="11">
        <v>7472.5</v>
      </c>
      <c r="K27" s="11">
        <f t="shared" si="3"/>
        <v>7472.5</v>
      </c>
      <c r="L27" s="11" t="str">
        <f t="shared" si="2"/>
        <v>Invoiced this Month</v>
      </c>
      <c r="M27" s="41"/>
      <c r="N27" s="33"/>
    </row>
    <row r="28" spans="1:14" ht="16.5" thickTop="1" thickBot="1" x14ac:dyDescent="0.3">
      <c r="A28" s="20" t="s">
        <v>24</v>
      </c>
      <c r="B28" s="13" t="s">
        <v>89</v>
      </c>
      <c r="C28" s="14"/>
      <c r="D28" s="15" t="s">
        <v>25</v>
      </c>
      <c r="E28" s="40" t="str">
        <f>VLOOKUP(B28,'[2]Month Total'!$B:$E,4,FALSE)</f>
        <v>Pre-Production</v>
      </c>
      <c r="F28" s="40" t="str">
        <f>VLOOKUP(B28,'[2]Month Total'!$B:$F,5,FALSE)</f>
        <v>Pre-Production</v>
      </c>
      <c r="G28" s="21">
        <v>4108</v>
      </c>
      <c r="H28" s="17">
        <f t="shared" si="0"/>
        <v>0</v>
      </c>
      <c r="I28" s="18">
        <v>4108</v>
      </c>
      <c r="J28" s="18">
        <v>4108</v>
      </c>
      <c r="K28" s="18">
        <f t="shared" si="3"/>
        <v>0</v>
      </c>
      <c r="L28" s="18">
        <f t="shared" si="2"/>
        <v>0</v>
      </c>
      <c r="M28" s="41"/>
      <c r="N28" s="33"/>
    </row>
    <row r="29" spans="1:14" ht="16.5" thickTop="1" thickBot="1" x14ac:dyDescent="0.3">
      <c r="A29" s="5" t="s">
        <v>175</v>
      </c>
      <c r="B29" s="6">
        <v>86866</v>
      </c>
      <c r="C29" s="7" t="s">
        <v>23</v>
      </c>
      <c r="D29" s="39" t="s">
        <v>181</v>
      </c>
      <c r="E29" s="39">
        <f>VLOOKUP(B29,'[2]Month Total'!$B:$E,4,FALSE)</f>
        <v>46015</v>
      </c>
      <c r="F29" s="39" t="str">
        <f>VLOOKUP(B29,'[2]Month Total'!$B:$F,5,FALSE)</f>
        <v>Powder coat</v>
      </c>
      <c r="G29" s="9">
        <v>12000</v>
      </c>
      <c r="H29" s="10">
        <f t="shared" si="0"/>
        <v>10694</v>
      </c>
      <c r="I29" s="11">
        <v>22694</v>
      </c>
      <c r="J29" s="11">
        <v>12000</v>
      </c>
      <c r="K29" s="11">
        <f t="shared" si="3"/>
        <v>0</v>
      </c>
      <c r="L29" s="11">
        <f t="shared" si="2"/>
        <v>0</v>
      </c>
      <c r="N29" s="33"/>
    </row>
    <row r="30" spans="1:14" ht="16.5" thickTop="1" thickBot="1" x14ac:dyDescent="0.3">
      <c r="A30" s="5" t="s">
        <v>235</v>
      </c>
      <c r="B30" s="6">
        <v>88131</v>
      </c>
      <c r="C30" s="7" t="s">
        <v>19</v>
      </c>
      <c r="D30" s="39" t="s">
        <v>249</v>
      </c>
      <c r="E30" s="39" t="s">
        <v>13</v>
      </c>
      <c r="F30" s="39" t="s">
        <v>13</v>
      </c>
      <c r="G30" s="9">
        <v>33237</v>
      </c>
      <c r="H30" s="10">
        <f t="shared" si="0"/>
        <v>33236</v>
      </c>
      <c r="I30" s="11">
        <v>66473</v>
      </c>
      <c r="J30" s="11">
        <v>0</v>
      </c>
      <c r="K30" s="11"/>
      <c r="L30" s="11">
        <f t="shared" si="2"/>
        <v>33237</v>
      </c>
      <c r="M30" s="41"/>
      <c r="N30" s="33"/>
    </row>
    <row r="31" spans="1:14" ht="16.5" thickTop="1" thickBot="1" x14ac:dyDescent="0.3">
      <c r="A31" s="5" t="s">
        <v>205</v>
      </c>
      <c r="B31" s="6">
        <v>87218</v>
      </c>
      <c r="C31" s="7" t="s">
        <v>67</v>
      </c>
      <c r="D31" s="39" t="s">
        <v>211</v>
      </c>
      <c r="E31" s="39">
        <v>46028</v>
      </c>
      <c r="F31" s="39" t="str">
        <f>VLOOKUP(B31,'[2]Month Total'!$B:$F,5,FALSE)</f>
        <v>Pre-Production</v>
      </c>
      <c r="G31" s="9">
        <v>7433</v>
      </c>
      <c r="H31" s="10">
        <f t="shared" si="0"/>
        <v>7432</v>
      </c>
      <c r="I31" s="11">
        <v>14865</v>
      </c>
      <c r="J31" s="11">
        <v>7433</v>
      </c>
      <c r="K31" s="11">
        <f t="shared" ref="K31:K41" si="4">IF(G31=0,J31-G31,0)</f>
        <v>0</v>
      </c>
      <c r="L31" s="11">
        <f t="shared" si="2"/>
        <v>0</v>
      </c>
      <c r="M31" s="41"/>
      <c r="N31" s="33"/>
    </row>
    <row r="32" spans="1:14" ht="16.5" thickTop="1" thickBot="1" x14ac:dyDescent="0.3">
      <c r="A32" s="5" t="s">
        <v>170</v>
      </c>
      <c r="B32" s="6">
        <v>83937</v>
      </c>
      <c r="C32" s="7" t="s">
        <v>182</v>
      </c>
      <c r="D32" s="39" t="s">
        <v>178</v>
      </c>
      <c r="E32" s="39" t="str">
        <f>VLOOKUP(B32,'[2]Month Total'!$B:$E,4,FALSE)</f>
        <v>Pre-Production</v>
      </c>
      <c r="F32" s="39" t="str">
        <f>VLOOKUP(B32,'[2]Month Total'!$B:$F,5,FALSE)</f>
        <v>Pre-Production</v>
      </c>
      <c r="G32" s="9">
        <v>59570.5</v>
      </c>
      <c r="H32" s="10">
        <f t="shared" si="0"/>
        <v>59590.5</v>
      </c>
      <c r="I32" s="11">
        <v>119161</v>
      </c>
      <c r="J32" s="11">
        <v>59570.5</v>
      </c>
      <c r="K32" s="11">
        <f t="shared" si="4"/>
        <v>0</v>
      </c>
      <c r="L32" s="11">
        <f t="shared" si="2"/>
        <v>0</v>
      </c>
      <c r="M32" s="41"/>
      <c r="N32" s="33"/>
    </row>
    <row r="33" spans="1:14" ht="16.5" thickTop="1" thickBot="1" x14ac:dyDescent="0.3">
      <c r="A33" s="5" t="s">
        <v>75</v>
      </c>
      <c r="B33" s="6">
        <v>83108</v>
      </c>
      <c r="C33" s="7" t="s">
        <v>76</v>
      </c>
      <c r="D33" s="8" t="s">
        <v>77</v>
      </c>
      <c r="E33" s="39" t="str">
        <f>VLOOKUP(B33,'[2]Month Total'!$B:$E,4,FALSE)</f>
        <v>Pre-Production</v>
      </c>
      <c r="F33" s="39" t="str">
        <f>VLOOKUP(B33,'[2]Month Total'!$B:$F,5,FALSE)</f>
        <v>Pre-Production</v>
      </c>
      <c r="G33" s="9">
        <v>172204.5</v>
      </c>
      <c r="H33" s="10">
        <f t="shared" si="0"/>
        <v>172204.5</v>
      </c>
      <c r="I33" s="11">
        <v>344409</v>
      </c>
      <c r="J33" s="11">
        <v>172204.5</v>
      </c>
      <c r="K33" s="11">
        <f t="shared" si="4"/>
        <v>0</v>
      </c>
      <c r="L33" s="11">
        <f t="shared" si="2"/>
        <v>0</v>
      </c>
      <c r="M33" s="41"/>
      <c r="N33" s="33"/>
    </row>
    <row r="34" spans="1:14" ht="16.5" thickTop="1" thickBot="1" x14ac:dyDescent="0.3">
      <c r="A34" s="5" t="s">
        <v>138</v>
      </c>
      <c r="B34" s="6">
        <v>84134</v>
      </c>
      <c r="C34" s="7" t="s">
        <v>14</v>
      </c>
      <c r="D34" s="39">
        <v>45945</v>
      </c>
      <c r="E34" s="39" t="str">
        <f>VLOOKUP(B34,'[2]Month Total'!$B:$E,4,FALSE)</f>
        <v>Pre-Production</v>
      </c>
      <c r="F34" s="39" t="str">
        <f>VLOOKUP(B34,'[2]Month Total'!$B:$F,5,FALSE)</f>
        <v>Pre-Production</v>
      </c>
      <c r="G34" s="9">
        <v>64205</v>
      </c>
      <c r="H34" s="10">
        <f t="shared" ref="H34:H66" si="5">I34-G34</f>
        <v>61477</v>
      </c>
      <c r="I34" s="11">
        <v>125682</v>
      </c>
      <c r="J34" s="11">
        <v>64205</v>
      </c>
      <c r="K34" s="11">
        <f t="shared" si="4"/>
        <v>0</v>
      </c>
      <c r="L34" s="11">
        <f t="shared" ref="L34:L66" si="6">IF(G34&gt;0,G34-J34,"Invoiced this Month")</f>
        <v>0</v>
      </c>
      <c r="M34" s="41"/>
      <c r="N34" s="33"/>
    </row>
    <row r="35" spans="1:14" ht="16.5" thickTop="1" thickBot="1" x14ac:dyDescent="0.3">
      <c r="A35" s="5" t="s">
        <v>163</v>
      </c>
      <c r="B35" s="6">
        <v>87768</v>
      </c>
      <c r="C35" s="7" t="s">
        <v>29</v>
      </c>
      <c r="D35" s="39">
        <v>45971</v>
      </c>
      <c r="E35" s="39">
        <f>VLOOKUP(B35,'[2]Month Total'!$B:$E,4,FALSE)</f>
        <v>46000</v>
      </c>
      <c r="F35" s="39" t="str">
        <f>VLOOKUP(B35,'[2]Month Total'!$B:$F,5,FALSE)</f>
        <v>Coating</v>
      </c>
      <c r="G35" s="9">
        <v>25537</v>
      </c>
      <c r="H35" s="10">
        <f t="shared" si="5"/>
        <v>25537</v>
      </c>
      <c r="I35" s="11">
        <v>51074</v>
      </c>
      <c r="J35" s="11">
        <v>25537</v>
      </c>
      <c r="K35" s="11">
        <f t="shared" si="4"/>
        <v>0</v>
      </c>
      <c r="L35" s="11">
        <f t="shared" si="6"/>
        <v>0</v>
      </c>
      <c r="M35" s="41"/>
      <c r="N35" s="33"/>
    </row>
    <row r="36" spans="1:14" ht="16.5" thickTop="1" thickBot="1" x14ac:dyDescent="0.3">
      <c r="A36" s="5" t="s">
        <v>173</v>
      </c>
      <c r="B36" s="6">
        <v>87822</v>
      </c>
      <c r="C36" s="7" t="s">
        <v>29</v>
      </c>
      <c r="D36" s="39" t="s">
        <v>180</v>
      </c>
      <c r="E36" s="39">
        <f>VLOOKUP(B36,'[2]Month Total'!$B:$E,4,FALSE)</f>
        <v>46001</v>
      </c>
      <c r="F36" s="39" t="str">
        <f>VLOOKUP(B36,'[2]Month Total'!$B:$F,5,FALSE)</f>
        <v>Powder coat</v>
      </c>
      <c r="G36" s="9">
        <v>115956</v>
      </c>
      <c r="H36" s="10">
        <f t="shared" si="5"/>
        <v>126839</v>
      </c>
      <c r="I36" s="11">
        <v>242795</v>
      </c>
      <c r="J36" s="11">
        <v>115956</v>
      </c>
      <c r="K36" s="11">
        <f t="shared" si="4"/>
        <v>0</v>
      </c>
      <c r="L36" s="11">
        <f t="shared" si="6"/>
        <v>0</v>
      </c>
      <c r="M36" s="41"/>
      <c r="N36" s="33"/>
    </row>
    <row r="37" spans="1:14" ht="16.5" thickTop="1" thickBot="1" x14ac:dyDescent="0.3">
      <c r="A37" s="5" t="s">
        <v>148</v>
      </c>
      <c r="B37" s="6">
        <v>86461</v>
      </c>
      <c r="C37" s="7" t="s">
        <v>11</v>
      </c>
      <c r="D37" s="39">
        <v>45960</v>
      </c>
      <c r="E37" s="39" t="str">
        <f>VLOOKUP(B37,'[2]Month Total'!$B:$E,4,FALSE)</f>
        <v>Pre-Production</v>
      </c>
      <c r="F37" s="48" t="s">
        <v>222</v>
      </c>
      <c r="G37" s="45">
        <v>0</v>
      </c>
      <c r="H37" s="58"/>
      <c r="I37" s="59"/>
      <c r="J37" s="11">
        <v>199193</v>
      </c>
      <c r="K37" s="11">
        <f t="shared" si="4"/>
        <v>199193</v>
      </c>
      <c r="L37" s="11" t="str">
        <f t="shared" si="6"/>
        <v>Invoiced this Month</v>
      </c>
      <c r="M37" s="41"/>
      <c r="N37" s="33"/>
    </row>
    <row r="38" spans="1:14" ht="16.5" thickTop="1" thickBot="1" x14ac:dyDescent="0.3">
      <c r="A38" s="5" t="s">
        <v>107</v>
      </c>
      <c r="B38" s="6">
        <v>86656</v>
      </c>
      <c r="C38" s="7" t="s">
        <v>11</v>
      </c>
      <c r="D38" s="39">
        <v>45890</v>
      </c>
      <c r="E38" s="39" t="str">
        <f>VLOOKUP(B38,'[2]Month Total'!$B:$E,4,FALSE)</f>
        <v>Pre-Production</v>
      </c>
      <c r="F38" s="48" t="s">
        <v>222</v>
      </c>
      <c r="G38" s="45">
        <v>0</v>
      </c>
      <c r="H38" s="58"/>
      <c r="I38" s="59"/>
      <c r="J38" s="11">
        <v>113144</v>
      </c>
      <c r="K38" s="11">
        <f t="shared" si="4"/>
        <v>113144</v>
      </c>
      <c r="L38" s="11" t="str">
        <f t="shared" si="6"/>
        <v>Invoiced this Month</v>
      </c>
      <c r="M38" s="41"/>
      <c r="N38" s="33"/>
    </row>
    <row r="39" spans="1:14" ht="16.5" thickTop="1" thickBot="1" x14ac:dyDescent="0.3">
      <c r="A39" s="5" t="s">
        <v>79</v>
      </c>
      <c r="B39" s="6">
        <v>83623</v>
      </c>
      <c r="C39" s="7" t="s">
        <v>59</v>
      </c>
      <c r="D39" s="39">
        <v>45859</v>
      </c>
      <c r="E39" s="39">
        <f>VLOOKUP(B39,'[2]Month Total'!$B:$E,4,FALSE)</f>
        <v>46020</v>
      </c>
      <c r="F39" s="39" t="str">
        <f>VLOOKUP(B39,'[2]Month Total'!$B:$F,5,FALSE)</f>
        <v>Pull Material</v>
      </c>
      <c r="G39" s="9">
        <v>75227</v>
      </c>
      <c r="H39" s="10">
        <f t="shared" si="5"/>
        <v>75226</v>
      </c>
      <c r="I39" s="11">
        <v>150453</v>
      </c>
      <c r="J39" s="11">
        <v>75227</v>
      </c>
      <c r="K39" s="11">
        <f t="shared" si="4"/>
        <v>0</v>
      </c>
      <c r="L39" s="11">
        <f t="shared" si="6"/>
        <v>0</v>
      </c>
      <c r="M39" s="41"/>
      <c r="N39" s="33"/>
    </row>
    <row r="40" spans="1:14" ht="16.5" thickTop="1" thickBot="1" x14ac:dyDescent="0.3">
      <c r="A40" s="5" t="s">
        <v>122</v>
      </c>
      <c r="B40" s="6">
        <v>87161</v>
      </c>
      <c r="C40" s="7" t="s">
        <v>23</v>
      </c>
      <c r="D40" s="39">
        <v>45924</v>
      </c>
      <c r="E40" s="39">
        <f>VLOOKUP(B40,'[2]Month Total'!$B:$E,4,FALSE)</f>
        <v>45992</v>
      </c>
      <c r="F40" s="39" t="str">
        <f>VLOOKUP(B40,'[2]Month Total'!$B:$F,5,FALSE)</f>
        <v>Steel Job</v>
      </c>
      <c r="G40" s="9">
        <v>17417</v>
      </c>
      <c r="H40" s="10">
        <f t="shared" si="5"/>
        <v>17417</v>
      </c>
      <c r="I40" s="11">
        <v>34834</v>
      </c>
      <c r="J40" s="11">
        <v>17417</v>
      </c>
      <c r="K40" s="11">
        <f t="shared" si="4"/>
        <v>0</v>
      </c>
      <c r="L40" s="11">
        <f t="shared" si="6"/>
        <v>0</v>
      </c>
      <c r="M40" s="38"/>
      <c r="N40" s="33"/>
    </row>
    <row r="41" spans="1:14" ht="16.5" thickTop="1" thickBot="1" x14ac:dyDescent="0.3">
      <c r="A41" s="5" t="s">
        <v>123</v>
      </c>
      <c r="B41" s="6">
        <v>86965</v>
      </c>
      <c r="C41" s="7" t="s">
        <v>33</v>
      </c>
      <c r="D41" s="39">
        <v>45924</v>
      </c>
      <c r="E41" s="39">
        <v>46048</v>
      </c>
      <c r="F41" s="39" t="str">
        <f>VLOOKUP(B41,'[2]Month Total'!$B:$F,5,FALSE)</f>
        <v>Pre-Production</v>
      </c>
      <c r="G41" s="9">
        <v>49026</v>
      </c>
      <c r="H41" s="10">
        <f t="shared" si="5"/>
        <v>51328</v>
      </c>
      <c r="I41" s="11">
        <v>100354</v>
      </c>
      <c r="J41" s="11">
        <v>12283.8</v>
      </c>
      <c r="K41" s="11">
        <f t="shared" si="4"/>
        <v>0</v>
      </c>
      <c r="L41" s="11">
        <f t="shared" si="6"/>
        <v>36742.199999999997</v>
      </c>
      <c r="M41" s="38"/>
      <c r="N41" s="33"/>
    </row>
    <row r="42" spans="1:14" ht="16.5" thickTop="1" thickBot="1" x14ac:dyDescent="0.3">
      <c r="A42" s="5" t="s">
        <v>223</v>
      </c>
      <c r="B42" s="6">
        <v>83729</v>
      </c>
      <c r="C42" s="7" t="s">
        <v>23</v>
      </c>
      <c r="D42" s="39" t="s">
        <v>242</v>
      </c>
      <c r="E42" s="39" t="s">
        <v>13</v>
      </c>
      <c r="F42" s="39" t="s">
        <v>13</v>
      </c>
      <c r="G42" s="9">
        <v>31223</v>
      </c>
      <c r="H42" s="10">
        <f t="shared" si="5"/>
        <v>27501</v>
      </c>
      <c r="I42" s="11">
        <v>58724</v>
      </c>
      <c r="J42" s="11">
        <v>0</v>
      </c>
      <c r="K42" s="11"/>
      <c r="L42" s="11">
        <f t="shared" si="6"/>
        <v>31223</v>
      </c>
      <c r="M42" s="41"/>
      <c r="N42" s="33"/>
    </row>
    <row r="43" spans="1:14" ht="16.5" thickTop="1" thickBot="1" x14ac:dyDescent="0.3">
      <c r="A43" s="47" t="s">
        <v>187</v>
      </c>
      <c r="B43" s="6">
        <v>88210</v>
      </c>
      <c r="C43" s="7" t="s">
        <v>40</v>
      </c>
      <c r="D43" s="39" t="s">
        <v>194</v>
      </c>
      <c r="E43" s="39">
        <f>VLOOKUP(B43,'[2]Month Total'!$B:$E,4,FALSE)</f>
        <v>46015</v>
      </c>
      <c r="F43" s="39" t="str">
        <f>VLOOKUP(B43,'[2]Month Total'!$B:$F,5,FALSE)</f>
        <v>Powder coat</v>
      </c>
      <c r="G43" s="9">
        <v>14200</v>
      </c>
      <c r="H43" s="10">
        <f t="shared" si="5"/>
        <v>14458</v>
      </c>
      <c r="I43" s="11">
        <v>28658</v>
      </c>
      <c r="J43" s="11">
        <v>14200</v>
      </c>
      <c r="K43" s="11">
        <f>IF(G43=0,J43-G43,0)</f>
        <v>0</v>
      </c>
      <c r="L43" s="11">
        <f t="shared" si="6"/>
        <v>0</v>
      </c>
      <c r="M43" s="41"/>
      <c r="N43" s="33"/>
    </row>
    <row r="44" spans="1:14" ht="16.5" thickTop="1" thickBot="1" x14ac:dyDescent="0.3">
      <c r="A44" s="5" t="s">
        <v>156</v>
      </c>
      <c r="B44" s="6">
        <v>86439</v>
      </c>
      <c r="C44" s="7" t="s">
        <v>20</v>
      </c>
      <c r="D44" s="39">
        <v>45964</v>
      </c>
      <c r="E44" s="39">
        <f>VLOOKUP(B44,'[2]Month Total'!$B:$E,4,FALSE)</f>
        <v>46015</v>
      </c>
      <c r="F44" s="39" t="str">
        <f>VLOOKUP(B44,'[2]Month Total'!$B:$F,5,FALSE)</f>
        <v>Pull Material</v>
      </c>
      <c r="G44" s="9">
        <v>54101</v>
      </c>
      <c r="H44" s="10">
        <f t="shared" si="5"/>
        <v>54100</v>
      </c>
      <c r="I44" s="11">
        <v>108201</v>
      </c>
      <c r="J44" s="11">
        <v>54101</v>
      </c>
      <c r="K44" s="11">
        <f>IF(G44=0,J44-G44,0)</f>
        <v>0</v>
      </c>
      <c r="L44" s="11">
        <f t="shared" si="6"/>
        <v>0</v>
      </c>
      <c r="M44" s="41"/>
      <c r="N44" s="33"/>
    </row>
    <row r="45" spans="1:14" ht="16.5" thickTop="1" thickBot="1" x14ac:dyDescent="0.3">
      <c r="A45" s="5" t="s">
        <v>216</v>
      </c>
      <c r="B45" s="6">
        <v>85454</v>
      </c>
      <c r="C45" s="7" t="s">
        <v>38</v>
      </c>
      <c r="D45" s="39" t="s">
        <v>218</v>
      </c>
      <c r="E45" s="39">
        <v>46044</v>
      </c>
      <c r="F45" s="39" t="str">
        <f>VLOOKUP(B45,'[2]Month Total'!$B:$F,5,FALSE)</f>
        <v>Pre-Production</v>
      </c>
      <c r="G45" s="9">
        <v>14438</v>
      </c>
      <c r="H45" s="10">
        <f t="shared" si="5"/>
        <v>14438</v>
      </c>
      <c r="I45" s="11">
        <v>28876</v>
      </c>
      <c r="J45" s="11">
        <v>14438</v>
      </c>
      <c r="K45" s="11">
        <f>IF(G45=0,J45-G45,0)</f>
        <v>0</v>
      </c>
      <c r="L45" s="11">
        <f t="shared" si="6"/>
        <v>0</v>
      </c>
      <c r="M45" s="41"/>
      <c r="N45" s="33"/>
    </row>
    <row r="46" spans="1:14" ht="16.5" thickTop="1" thickBot="1" x14ac:dyDescent="0.3">
      <c r="A46" s="5" t="s">
        <v>258</v>
      </c>
      <c r="B46" s="6">
        <v>85838</v>
      </c>
      <c r="C46" s="7" t="s">
        <v>21</v>
      </c>
      <c r="D46" s="39" t="s">
        <v>252</v>
      </c>
      <c r="E46" s="39" t="s">
        <v>13</v>
      </c>
      <c r="F46" s="39" t="s">
        <v>13</v>
      </c>
      <c r="G46" s="9">
        <v>3386</v>
      </c>
      <c r="H46" s="10">
        <f t="shared" si="5"/>
        <v>3385</v>
      </c>
      <c r="I46" s="11">
        <v>6771</v>
      </c>
      <c r="J46" s="11">
        <v>0</v>
      </c>
      <c r="K46" s="11"/>
      <c r="L46" s="11">
        <f t="shared" si="6"/>
        <v>3386</v>
      </c>
      <c r="M46" s="41"/>
      <c r="N46" s="33"/>
    </row>
    <row r="47" spans="1:14" ht="16.5" thickTop="1" thickBot="1" x14ac:dyDescent="0.3">
      <c r="A47" s="5" t="s">
        <v>174</v>
      </c>
      <c r="B47" s="6">
        <v>86960</v>
      </c>
      <c r="C47" s="7" t="s">
        <v>38</v>
      </c>
      <c r="D47" s="39" t="s">
        <v>181</v>
      </c>
      <c r="E47" s="39" t="str">
        <f>VLOOKUP(B47,'[2]Month Total'!$B:$E,4,FALSE)</f>
        <v>Pre-Production</v>
      </c>
      <c r="F47" s="39" t="str">
        <f>VLOOKUP(B47,'[2]Month Total'!$B:$F,5,FALSE)</f>
        <v>Pre-Production</v>
      </c>
      <c r="G47" s="9">
        <v>8962</v>
      </c>
      <c r="H47" s="10">
        <f t="shared" si="5"/>
        <v>26885</v>
      </c>
      <c r="I47" s="11">
        <v>35847</v>
      </c>
      <c r="J47" s="11">
        <v>8962</v>
      </c>
      <c r="K47" s="11">
        <f>IF(G47=0,J47-G47,0)</f>
        <v>0</v>
      </c>
      <c r="L47" s="11">
        <f t="shared" si="6"/>
        <v>0</v>
      </c>
      <c r="M47" s="41"/>
      <c r="N47" s="33"/>
    </row>
    <row r="48" spans="1:14" ht="16.5" thickTop="1" thickBot="1" x14ac:dyDescent="0.3">
      <c r="A48" s="5" t="s">
        <v>101</v>
      </c>
      <c r="B48" s="6" t="s">
        <v>219</v>
      </c>
      <c r="C48" s="7" t="s">
        <v>76</v>
      </c>
      <c r="D48" s="39">
        <v>45868</v>
      </c>
      <c r="E48" s="39" t="s">
        <v>13</v>
      </c>
      <c r="F48" s="39" t="s">
        <v>13</v>
      </c>
      <c r="G48" s="9">
        <v>57487</v>
      </c>
      <c r="H48" s="10">
        <f t="shared" si="5"/>
        <v>172460</v>
      </c>
      <c r="I48" s="11">
        <v>229947</v>
      </c>
      <c r="J48" s="11">
        <v>104308.92</v>
      </c>
      <c r="K48" s="11">
        <f>IF(G48=0,J48-G48,0)</f>
        <v>0</v>
      </c>
      <c r="L48" s="11">
        <f t="shared" si="6"/>
        <v>-46821.919999999998</v>
      </c>
      <c r="M48" s="41"/>
      <c r="N48" s="33"/>
    </row>
    <row r="49" spans="1:14" ht="16.5" thickTop="1" thickBot="1" x14ac:dyDescent="0.3">
      <c r="A49" s="5" t="s">
        <v>382</v>
      </c>
      <c r="B49" s="6">
        <v>84161</v>
      </c>
      <c r="C49" s="7" t="s">
        <v>76</v>
      </c>
      <c r="D49" s="39">
        <v>46013</v>
      </c>
      <c r="E49" s="39" t="s">
        <v>13</v>
      </c>
      <c r="F49" s="39" t="s">
        <v>13</v>
      </c>
      <c r="G49" s="9">
        <v>46821.919999999998</v>
      </c>
      <c r="H49" s="10">
        <f t="shared" si="5"/>
        <v>306551.08</v>
      </c>
      <c r="I49" s="11">
        <v>353373</v>
      </c>
      <c r="J49" s="11"/>
      <c r="K49" s="11"/>
      <c r="L49" s="11"/>
      <c r="M49" s="41"/>
      <c r="N49" s="33"/>
    </row>
    <row r="50" spans="1:14" ht="16.5" thickTop="1" thickBot="1" x14ac:dyDescent="0.3">
      <c r="A50" s="5" t="s">
        <v>206</v>
      </c>
      <c r="B50" s="6">
        <v>87121</v>
      </c>
      <c r="C50" s="7" t="s">
        <v>21</v>
      </c>
      <c r="D50" s="39" t="s">
        <v>211</v>
      </c>
      <c r="E50" s="39" t="str">
        <f>VLOOKUP(B50,'[2]Month Total'!$B:$E,4,FALSE)</f>
        <v>Pre-Production</v>
      </c>
      <c r="F50" s="39" t="str">
        <f>VLOOKUP(B50,'[2]Month Total'!$B:$F,5,FALSE)</f>
        <v>Pre-Production</v>
      </c>
      <c r="G50" s="19">
        <v>8901</v>
      </c>
      <c r="H50" s="10">
        <f t="shared" si="5"/>
        <v>0</v>
      </c>
      <c r="I50" s="11">
        <v>8901</v>
      </c>
      <c r="J50" s="11">
        <v>8901</v>
      </c>
      <c r="K50" s="11">
        <f>IF(G50=0,J50-G50,0)</f>
        <v>0</v>
      </c>
      <c r="L50" s="11">
        <f t="shared" si="6"/>
        <v>0</v>
      </c>
      <c r="M50" s="41"/>
      <c r="N50" s="33"/>
    </row>
    <row r="51" spans="1:14" ht="16.5" thickTop="1" thickBot="1" x14ac:dyDescent="0.3">
      <c r="A51" s="5" t="s">
        <v>224</v>
      </c>
      <c r="B51" s="6">
        <v>88603</v>
      </c>
      <c r="C51" s="7" t="s">
        <v>21</v>
      </c>
      <c r="D51" s="39" t="s">
        <v>242</v>
      </c>
      <c r="E51" s="39" t="s">
        <v>13</v>
      </c>
      <c r="F51" s="39" t="s">
        <v>13</v>
      </c>
      <c r="G51" s="9">
        <v>23396</v>
      </c>
      <c r="H51" s="10">
        <f t="shared" si="5"/>
        <v>23396</v>
      </c>
      <c r="I51" s="11">
        <v>46792</v>
      </c>
      <c r="J51" s="11">
        <v>0</v>
      </c>
      <c r="K51" s="11"/>
      <c r="L51" s="11">
        <f t="shared" si="6"/>
        <v>23396</v>
      </c>
      <c r="M51" s="41"/>
      <c r="N51" s="33"/>
    </row>
    <row r="52" spans="1:14" ht="16.5" thickTop="1" thickBot="1" x14ac:dyDescent="0.3">
      <c r="A52" s="5" t="s">
        <v>64</v>
      </c>
      <c r="B52" s="6">
        <v>83172</v>
      </c>
      <c r="C52" s="7" t="s">
        <v>65</v>
      </c>
      <c r="D52" s="8" t="s">
        <v>66</v>
      </c>
      <c r="E52" s="39">
        <f>VLOOKUP(B52,'[2]Month Total'!$B:$E,4,FALSE)</f>
        <v>46003</v>
      </c>
      <c r="F52" s="39" t="str">
        <f>VLOOKUP(B52,'[2]Month Total'!$B:$F,5,FALSE)</f>
        <v>Powder coat</v>
      </c>
      <c r="G52" s="9">
        <v>18356</v>
      </c>
      <c r="H52" s="10">
        <f t="shared" si="5"/>
        <v>-29</v>
      </c>
      <c r="I52" s="11">
        <v>18327</v>
      </c>
      <c r="J52" s="11">
        <v>9164</v>
      </c>
      <c r="K52" s="11">
        <f>IF(G52=0,J52-G52,0)</f>
        <v>0</v>
      </c>
      <c r="L52" s="11">
        <f t="shared" si="6"/>
        <v>9192</v>
      </c>
      <c r="M52" s="41"/>
      <c r="N52" s="33"/>
    </row>
    <row r="53" spans="1:14" ht="16.5" thickTop="1" thickBot="1" x14ac:dyDescent="0.3">
      <c r="A53" s="12" t="s">
        <v>34</v>
      </c>
      <c r="B53" s="13">
        <v>76624</v>
      </c>
      <c r="C53" s="14" t="s">
        <v>14</v>
      </c>
      <c r="D53" s="15" t="s">
        <v>35</v>
      </c>
      <c r="E53" s="40">
        <v>46038</v>
      </c>
      <c r="F53" s="40" t="str">
        <f>VLOOKUP(B53,'[2]Month Total'!$B:$F,5,FALSE)</f>
        <v>Pre-Production</v>
      </c>
      <c r="G53" s="16">
        <v>82176</v>
      </c>
      <c r="H53" s="17">
        <f t="shared" si="5"/>
        <v>82176</v>
      </c>
      <c r="I53" s="18">
        <v>164352</v>
      </c>
      <c r="J53" s="18">
        <v>41088</v>
      </c>
      <c r="K53" s="18">
        <f>IF(G53=0,J53-G53,0)</f>
        <v>0</v>
      </c>
      <c r="L53" s="18">
        <f t="shared" si="6"/>
        <v>41088</v>
      </c>
      <c r="M53" s="41"/>
      <c r="N53" s="33"/>
    </row>
    <row r="54" spans="1:14" ht="16.5" thickTop="1" thickBot="1" x14ac:dyDescent="0.3">
      <c r="A54" s="5" t="s">
        <v>133</v>
      </c>
      <c r="B54" s="6">
        <v>87296</v>
      </c>
      <c r="C54" s="7" t="s">
        <v>21</v>
      </c>
      <c r="D54" s="39">
        <v>45937</v>
      </c>
      <c r="E54" s="39">
        <f>VLOOKUP(B54,'[2]Month Total'!$B:$E,4,FALSE)</f>
        <v>45968</v>
      </c>
      <c r="F54" s="49">
        <v>46045</v>
      </c>
      <c r="G54" s="45">
        <v>0</v>
      </c>
      <c r="H54" s="58"/>
      <c r="I54" s="59"/>
      <c r="J54" s="11">
        <v>35000</v>
      </c>
      <c r="K54" s="11">
        <f>IF(G54=0,J54-G54,0)</f>
        <v>35000</v>
      </c>
      <c r="L54" s="11" t="str">
        <f t="shared" si="6"/>
        <v>Invoiced this Month</v>
      </c>
      <c r="M54" s="41"/>
      <c r="N54" s="33"/>
    </row>
    <row r="55" spans="1:14" ht="16.5" thickTop="1" thickBot="1" x14ac:dyDescent="0.3">
      <c r="A55" s="5" t="s">
        <v>230</v>
      </c>
      <c r="B55" s="6">
        <v>87128</v>
      </c>
      <c r="C55" s="7" t="s">
        <v>254</v>
      </c>
      <c r="D55" s="39" t="s">
        <v>245</v>
      </c>
      <c r="E55" s="39" t="s">
        <v>13</v>
      </c>
      <c r="F55" s="39" t="s">
        <v>13</v>
      </c>
      <c r="G55" s="9">
        <v>25470</v>
      </c>
      <c r="H55" s="10">
        <f t="shared" si="5"/>
        <v>25467</v>
      </c>
      <c r="I55" s="11">
        <v>50937</v>
      </c>
      <c r="J55" s="11">
        <v>0</v>
      </c>
      <c r="K55" s="11"/>
      <c r="L55" s="11">
        <f t="shared" si="6"/>
        <v>25470</v>
      </c>
      <c r="M55" s="41"/>
      <c r="N55" s="33"/>
    </row>
    <row r="56" spans="1:14" ht="16.5" thickTop="1" thickBot="1" x14ac:dyDescent="0.3">
      <c r="A56" s="5" t="s">
        <v>70</v>
      </c>
      <c r="B56" s="6">
        <v>82632</v>
      </c>
      <c r="C56" s="7" t="s">
        <v>71</v>
      </c>
      <c r="D56" s="8" t="s">
        <v>72</v>
      </c>
      <c r="E56" s="39" t="str">
        <f>VLOOKUP(B56,'[2]Month Total'!$B:$E,4,FALSE)</f>
        <v>Pre-Production</v>
      </c>
      <c r="F56" s="39" t="str">
        <f>VLOOKUP(B56,'[2]Month Total'!$B:$F,5,FALSE)</f>
        <v>Pre-Production</v>
      </c>
      <c r="G56" s="9">
        <v>99911</v>
      </c>
      <c r="H56" s="10">
        <f t="shared" si="5"/>
        <v>99911</v>
      </c>
      <c r="I56" s="11">
        <v>199822</v>
      </c>
      <c r="J56" s="11">
        <v>99911</v>
      </c>
      <c r="K56" s="11">
        <f>IF(G56=0,J56-G56,0)</f>
        <v>0</v>
      </c>
      <c r="L56" s="11">
        <f t="shared" si="6"/>
        <v>0</v>
      </c>
      <c r="M56" s="41"/>
      <c r="N56" s="33"/>
    </row>
    <row r="57" spans="1:14" ht="16.5" thickTop="1" thickBot="1" x14ac:dyDescent="0.3">
      <c r="A57" s="5" t="s">
        <v>103</v>
      </c>
      <c r="B57" s="6">
        <v>84210</v>
      </c>
      <c r="C57" s="7" t="s">
        <v>44</v>
      </c>
      <c r="D57" s="39">
        <v>45876</v>
      </c>
      <c r="E57" s="39" t="str">
        <f>VLOOKUP(B57,'[2]Month Total'!$B:$E,4,FALSE)</f>
        <v>Pre-Production</v>
      </c>
      <c r="F57" s="39" t="str">
        <f>VLOOKUP(B57,'[2]Month Total'!$B:$F,5,FALSE)</f>
        <v>Pre-Production</v>
      </c>
      <c r="G57" s="9">
        <v>31567</v>
      </c>
      <c r="H57" s="10">
        <f t="shared" si="5"/>
        <v>46437</v>
      </c>
      <c r="I57" s="11">
        <v>78004</v>
      </c>
      <c r="J57" s="11">
        <v>31567</v>
      </c>
      <c r="K57" s="11">
        <f>IF(G57=0,J57-G57,0)</f>
        <v>0</v>
      </c>
      <c r="L57" s="11">
        <f t="shared" si="6"/>
        <v>0</v>
      </c>
      <c r="M57" s="41"/>
      <c r="N57" s="33"/>
    </row>
    <row r="58" spans="1:14" ht="16.5" thickTop="1" thickBot="1" x14ac:dyDescent="0.3">
      <c r="A58" s="5" t="s">
        <v>231</v>
      </c>
      <c r="B58" s="6">
        <v>88433</v>
      </c>
      <c r="C58" s="7" t="s">
        <v>14</v>
      </c>
      <c r="D58" s="39" t="s">
        <v>246</v>
      </c>
      <c r="E58" s="39" t="s">
        <v>13</v>
      </c>
      <c r="F58" s="39" t="s">
        <v>13</v>
      </c>
      <c r="G58" s="9">
        <v>80538</v>
      </c>
      <c r="H58" s="10">
        <f t="shared" si="5"/>
        <v>80538</v>
      </c>
      <c r="I58" s="11">
        <v>161076</v>
      </c>
      <c r="J58" s="11">
        <v>0</v>
      </c>
      <c r="K58" s="11"/>
      <c r="L58" s="11">
        <f t="shared" si="6"/>
        <v>80538</v>
      </c>
      <c r="M58" s="41"/>
      <c r="N58" s="33"/>
    </row>
    <row r="59" spans="1:14" ht="16.5" thickTop="1" thickBot="1" x14ac:dyDescent="0.3">
      <c r="A59" s="5" t="s">
        <v>234</v>
      </c>
      <c r="B59" s="6">
        <v>87577</v>
      </c>
      <c r="C59" s="7" t="s">
        <v>253</v>
      </c>
      <c r="D59" s="39" t="s">
        <v>248</v>
      </c>
      <c r="E59" s="39" t="s">
        <v>13</v>
      </c>
      <c r="F59" s="39" t="s">
        <v>13</v>
      </c>
      <c r="G59" s="9">
        <v>11785</v>
      </c>
      <c r="H59" s="10">
        <f t="shared" si="5"/>
        <v>11782</v>
      </c>
      <c r="I59" s="11">
        <v>23567</v>
      </c>
      <c r="J59" s="11">
        <v>0</v>
      </c>
      <c r="K59" s="11"/>
      <c r="L59" s="11">
        <f t="shared" si="6"/>
        <v>11785</v>
      </c>
      <c r="M59" s="41"/>
      <c r="N59" s="33"/>
    </row>
    <row r="60" spans="1:14" ht="16.5" thickTop="1" thickBot="1" x14ac:dyDescent="0.3">
      <c r="A60" s="5" t="s">
        <v>184</v>
      </c>
      <c r="B60" s="6">
        <v>87792</v>
      </c>
      <c r="C60" s="7" t="s">
        <v>31</v>
      </c>
      <c r="D60" s="39" t="s">
        <v>193</v>
      </c>
      <c r="E60" s="39">
        <v>46045</v>
      </c>
      <c r="F60" s="39" t="str">
        <f>VLOOKUP(B60,'[2]Month Total'!$B:$F,5,FALSE)</f>
        <v>Pre-Production</v>
      </c>
      <c r="G60" s="9">
        <v>49733</v>
      </c>
      <c r="H60" s="10">
        <f t="shared" si="5"/>
        <v>49713</v>
      </c>
      <c r="I60" s="11">
        <v>99446</v>
      </c>
      <c r="J60" s="11">
        <v>49733</v>
      </c>
      <c r="K60" s="11">
        <f t="shared" ref="K60:K70" si="7">IF(G60=0,J60-G60,0)</f>
        <v>0</v>
      </c>
      <c r="L60" s="11">
        <f t="shared" si="6"/>
        <v>0</v>
      </c>
      <c r="M60" s="41"/>
      <c r="N60" s="33"/>
    </row>
    <row r="61" spans="1:14" ht="16.5" thickTop="1" thickBot="1" x14ac:dyDescent="0.3">
      <c r="A61" s="5" t="s">
        <v>95</v>
      </c>
      <c r="B61" s="6">
        <v>75830</v>
      </c>
      <c r="C61" s="7" t="s">
        <v>19</v>
      </c>
      <c r="D61" s="39">
        <v>45834</v>
      </c>
      <c r="E61" s="39">
        <f>VLOOKUP(B61,'[2]Month Total'!$B:$E,4,FALSE)</f>
        <v>45967</v>
      </c>
      <c r="F61" s="49">
        <v>46045</v>
      </c>
      <c r="G61" s="45">
        <v>0</v>
      </c>
      <c r="H61" s="58"/>
      <c r="I61" s="59"/>
      <c r="J61" s="11">
        <v>87339</v>
      </c>
      <c r="K61" s="11">
        <f t="shared" si="7"/>
        <v>87339</v>
      </c>
      <c r="L61" s="11" t="str">
        <f t="shared" si="6"/>
        <v>Invoiced this Month</v>
      </c>
      <c r="M61" s="41"/>
      <c r="N61" s="33"/>
    </row>
    <row r="62" spans="1:14" ht="16.5" thickTop="1" thickBot="1" x14ac:dyDescent="0.3">
      <c r="A62" s="5" t="s">
        <v>86</v>
      </c>
      <c r="B62" s="6">
        <v>85175</v>
      </c>
      <c r="C62" s="7" t="s">
        <v>87</v>
      </c>
      <c r="D62" s="39">
        <v>45805</v>
      </c>
      <c r="E62" s="39">
        <f>VLOOKUP(B62,'[2]Month Total'!$B:$E,4,FALSE)</f>
        <v>45992</v>
      </c>
      <c r="F62" s="49">
        <v>46052</v>
      </c>
      <c r="G62" s="45">
        <v>0</v>
      </c>
      <c r="H62" s="58"/>
      <c r="I62" s="59"/>
      <c r="J62" s="11">
        <v>280256</v>
      </c>
      <c r="K62" s="11">
        <f t="shared" si="7"/>
        <v>280256</v>
      </c>
      <c r="L62" s="11" t="str">
        <f t="shared" si="6"/>
        <v>Invoiced this Month</v>
      </c>
      <c r="M62" s="38"/>
      <c r="N62" s="33"/>
    </row>
    <row r="63" spans="1:14" ht="16.5" thickTop="1" thickBot="1" x14ac:dyDescent="0.3">
      <c r="A63" s="5" t="s">
        <v>203</v>
      </c>
      <c r="B63" s="6">
        <v>87488</v>
      </c>
      <c r="C63" s="7" t="s">
        <v>14</v>
      </c>
      <c r="D63" s="39" t="s">
        <v>209</v>
      </c>
      <c r="E63" s="39" t="str">
        <f>VLOOKUP(B63,'[2]Month Total'!$B:$E,4,FALSE)</f>
        <v>Pre-Production</v>
      </c>
      <c r="F63" s="39" t="str">
        <f>VLOOKUP(B63,'[2]Month Total'!$B:$F,5,FALSE)</f>
        <v>Pre-Production</v>
      </c>
      <c r="G63" s="9">
        <v>17613</v>
      </c>
      <c r="H63" s="10">
        <f t="shared" si="5"/>
        <v>17612</v>
      </c>
      <c r="I63" s="11">
        <v>35225</v>
      </c>
      <c r="J63" s="11">
        <v>17613</v>
      </c>
      <c r="K63" s="11">
        <f t="shared" si="7"/>
        <v>0</v>
      </c>
      <c r="L63" s="11">
        <f t="shared" si="6"/>
        <v>0</v>
      </c>
      <c r="M63" s="41"/>
      <c r="N63" s="33"/>
    </row>
    <row r="64" spans="1:14" ht="16.5" thickTop="1" thickBot="1" x14ac:dyDescent="0.3">
      <c r="A64" s="5" t="s">
        <v>159</v>
      </c>
      <c r="B64" s="6">
        <v>86855</v>
      </c>
      <c r="C64" s="7" t="s">
        <v>23</v>
      </c>
      <c r="D64" s="39">
        <v>45966</v>
      </c>
      <c r="E64" s="39">
        <f>VLOOKUP(B64,'[2]Month Total'!$B:$E,4,FALSE)</f>
        <v>46020</v>
      </c>
      <c r="F64" s="39" t="str">
        <f>VLOOKUP(B64,'[2]Month Total'!$B:$F,5,FALSE)</f>
        <v>Powder coat</v>
      </c>
      <c r="G64" s="9">
        <v>9717</v>
      </c>
      <c r="H64" s="10">
        <f t="shared" si="5"/>
        <v>9717</v>
      </c>
      <c r="I64" s="11">
        <v>19434</v>
      </c>
      <c r="J64" s="11">
        <v>9717</v>
      </c>
      <c r="K64" s="11">
        <f t="shared" si="7"/>
        <v>0</v>
      </c>
      <c r="L64" s="11">
        <f t="shared" si="6"/>
        <v>0</v>
      </c>
      <c r="M64" s="41"/>
      <c r="N64" s="33"/>
    </row>
    <row r="65" spans="1:14" ht="16.5" thickTop="1" thickBot="1" x14ac:dyDescent="0.3">
      <c r="A65" s="5" t="s">
        <v>140</v>
      </c>
      <c r="B65" s="6">
        <v>86415</v>
      </c>
      <c r="C65" s="7" t="s">
        <v>23</v>
      </c>
      <c r="D65" s="39">
        <v>45951</v>
      </c>
      <c r="E65" s="39">
        <f>VLOOKUP(B65,'[2]Month Total'!$B:$E,4,FALSE)</f>
        <v>46009</v>
      </c>
      <c r="F65" s="49">
        <v>46052</v>
      </c>
      <c r="G65" s="45">
        <v>0</v>
      </c>
      <c r="H65" s="58"/>
      <c r="I65" s="59"/>
      <c r="J65" s="11">
        <v>9678</v>
      </c>
      <c r="K65" s="11">
        <f t="shared" si="7"/>
        <v>9678</v>
      </c>
      <c r="L65" s="11" t="str">
        <f t="shared" si="6"/>
        <v>Invoiced this Month</v>
      </c>
      <c r="M65" s="41"/>
      <c r="N65" s="33"/>
    </row>
    <row r="66" spans="1:14" ht="16.5" thickTop="1" thickBot="1" x14ac:dyDescent="0.3">
      <c r="A66" s="5" t="s">
        <v>183</v>
      </c>
      <c r="B66" s="6">
        <v>88258</v>
      </c>
      <c r="C66" s="7" t="s">
        <v>23</v>
      </c>
      <c r="D66" s="39" t="s">
        <v>193</v>
      </c>
      <c r="E66" s="39" t="str">
        <f>VLOOKUP(B66,'[2]Month Total'!$B:$E,4,FALSE)</f>
        <v>Pre-Production</v>
      </c>
      <c r="F66" s="39" t="str">
        <f>VLOOKUP(B66,'[2]Month Total'!$B:$F,5,FALSE)</f>
        <v>Pre-Production</v>
      </c>
      <c r="G66" s="9">
        <v>9467</v>
      </c>
      <c r="H66" s="10">
        <f t="shared" si="5"/>
        <v>9467</v>
      </c>
      <c r="I66" s="11">
        <v>18934</v>
      </c>
      <c r="J66" s="11">
        <v>9467</v>
      </c>
      <c r="K66" s="11">
        <f t="shared" si="7"/>
        <v>0</v>
      </c>
      <c r="L66" s="11">
        <f t="shared" si="6"/>
        <v>0</v>
      </c>
      <c r="M66" s="41"/>
      <c r="N66" s="33"/>
    </row>
    <row r="67" spans="1:14" ht="16.5" thickTop="1" thickBot="1" x14ac:dyDescent="0.3">
      <c r="A67" s="5" t="s">
        <v>167</v>
      </c>
      <c r="B67" s="6">
        <v>87636</v>
      </c>
      <c r="C67" s="7" t="s">
        <v>16</v>
      </c>
      <c r="D67" s="39" t="s">
        <v>177</v>
      </c>
      <c r="E67" s="39">
        <f>VLOOKUP(B67,'[2]Month Total'!$B:$E,4,FALSE)</f>
        <v>46010</v>
      </c>
      <c r="F67" s="39" t="str">
        <f>VLOOKUP(B67,'[2]Month Total'!$B:$F,5,FALSE)</f>
        <v>On Hold Drawing Change/Cutting</v>
      </c>
      <c r="G67" s="9">
        <v>45837</v>
      </c>
      <c r="H67" s="10">
        <f t="shared" ref="H67:H86" si="8">I67-G67</f>
        <v>44121</v>
      </c>
      <c r="I67" s="11">
        <v>89958</v>
      </c>
      <c r="J67" s="11">
        <v>45837</v>
      </c>
      <c r="K67" s="11">
        <f t="shared" si="7"/>
        <v>0</v>
      </c>
      <c r="L67" s="11">
        <f t="shared" ref="L67:L86" si="9">IF(G67&gt;0,G67-J67,"Invoiced this Month")</f>
        <v>0</v>
      </c>
      <c r="M67" s="41"/>
      <c r="N67" s="33"/>
    </row>
    <row r="68" spans="1:14" ht="16.5" thickTop="1" thickBot="1" x14ac:dyDescent="0.3">
      <c r="A68" s="5" t="s">
        <v>147</v>
      </c>
      <c r="B68" s="6">
        <v>87431</v>
      </c>
      <c r="C68" s="7" t="s">
        <v>23</v>
      </c>
      <c r="D68" s="39">
        <v>45937</v>
      </c>
      <c r="E68" s="39">
        <f>VLOOKUP(B68,'[2]Month Total'!$B:$E,4,FALSE)</f>
        <v>45995</v>
      </c>
      <c r="F68" s="49">
        <v>46052</v>
      </c>
      <c r="G68" s="45">
        <v>0</v>
      </c>
      <c r="H68" s="58"/>
      <c r="I68" s="59"/>
      <c r="J68" s="11">
        <v>12742</v>
      </c>
      <c r="K68" s="11">
        <f t="shared" si="7"/>
        <v>12742</v>
      </c>
      <c r="L68" s="11" t="str">
        <f t="shared" si="9"/>
        <v>Invoiced this Month</v>
      </c>
      <c r="M68" s="41"/>
      <c r="N68" s="33"/>
    </row>
    <row r="69" spans="1:14" ht="16.5" thickTop="1" thickBot="1" x14ac:dyDescent="0.3">
      <c r="A69" s="5" t="s">
        <v>93</v>
      </c>
      <c r="B69" s="6">
        <v>78503</v>
      </c>
      <c r="C69" s="7" t="s">
        <v>28</v>
      </c>
      <c r="D69" s="39">
        <v>45825</v>
      </c>
      <c r="E69" s="39" t="str">
        <f>VLOOKUP(B69,'[2]Month Total'!$B:$E,4,FALSE)</f>
        <v>Pre-Production</v>
      </c>
      <c r="F69" s="39" t="str">
        <f>VLOOKUP(B69,'[2]Month Total'!$B:$F,5,FALSE)</f>
        <v>Pre-Production</v>
      </c>
      <c r="G69" s="9">
        <v>15815</v>
      </c>
      <c r="H69" s="10">
        <f t="shared" si="8"/>
        <v>15814</v>
      </c>
      <c r="I69" s="11">
        <v>31629</v>
      </c>
      <c r="J69" s="11">
        <v>15815</v>
      </c>
      <c r="K69" s="11">
        <f t="shared" si="7"/>
        <v>0</v>
      </c>
      <c r="L69" s="11">
        <f t="shared" si="9"/>
        <v>0</v>
      </c>
      <c r="M69" s="41"/>
      <c r="N69" s="33"/>
    </row>
    <row r="70" spans="1:14" ht="16.5" thickTop="1" thickBot="1" x14ac:dyDescent="0.3">
      <c r="A70" s="5" t="s">
        <v>104</v>
      </c>
      <c r="B70" s="6">
        <v>84268</v>
      </c>
      <c r="C70" s="7" t="s">
        <v>20</v>
      </c>
      <c r="D70" s="39">
        <v>45870</v>
      </c>
      <c r="E70" s="39" t="str">
        <f>VLOOKUP(B70,'[2]Month Total'!$B:$E,4,FALSE)</f>
        <v>Pre-Production</v>
      </c>
      <c r="F70" s="49">
        <v>46043</v>
      </c>
      <c r="G70" s="45">
        <v>0</v>
      </c>
      <c r="H70" s="58"/>
      <c r="I70" s="59"/>
      <c r="J70" s="11">
        <v>14024</v>
      </c>
      <c r="K70" s="11">
        <f t="shared" si="7"/>
        <v>14024</v>
      </c>
      <c r="L70" s="11" t="str">
        <f t="shared" si="9"/>
        <v>Invoiced this Month</v>
      </c>
      <c r="M70" s="41"/>
      <c r="N70" s="33"/>
    </row>
    <row r="71" spans="1:14" ht="16.5" thickTop="1" thickBot="1" x14ac:dyDescent="0.3">
      <c r="A71" s="5" t="s">
        <v>266</v>
      </c>
      <c r="B71" s="6">
        <v>87077</v>
      </c>
      <c r="C71" s="7" t="s">
        <v>40</v>
      </c>
      <c r="D71" s="39" t="s">
        <v>269</v>
      </c>
      <c r="E71" s="39" t="s">
        <v>13</v>
      </c>
      <c r="F71" s="39" t="s">
        <v>13</v>
      </c>
      <c r="G71" s="9">
        <v>11448</v>
      </c>
      <c r="H71" s="10">
        <f t="shared" si="8"/>
        <v>320</v>
      </c>
      <c r="I71" s="11">
        <v>11768</v>
      </c>
      <c r="J71" s="11">
        <v>0</v>
      </c>
      <c r="K71" s="11"/>
      <c r="L71" s="11">
        <f t="shared" si="9"/>
        <v>11448</v>
      </c>
      <c r="M71" s="41"/>
      <c r="N71" s="33"/>
    </row>
    <row r="72" spans="1:14" ht="16.5" thickTop="1" thickBot="1" x14ac:dyDescent="0.3">
      <c r="A72" s="5" t="s">
        <v>241</v>
      </c>
      <c r="B72" s="6">
        <v>87242</v>
      </c>
      <c r="C72" s="7" t="s">
        <v>14</v>
      </c>
      <c r="D72" s="39" t="s">
        <v>252</v>
      </c>
      <c r="E72" s="39" t="s">
        <v>13</v>
      </c>
      <c r="F72" s="39" t="s">
        <v>13</v>
      </c>
      <c r="G72" s="9">
        <v>44650</v>
      </c>
      <c r="H72" s="10">
        <f t="shared" si="8"/>
        <v>45536</v>
      </c>
      <c r="I72" s="11">
        <v>90186</v>
      </c>
      <c r="J72" s="11">
        <v>0</v>
      </c>
      <c r="K72" s="11"/>
      <c r="L72" s="11">
        <f t="shared" si="9"/>
        <v>44650</v>
      </c>
      <c r="M72" s="41"/>
      <c r="N72" s="33"/>
    </row>
    <row r="73" spans="1:14" ht="16.5" thickTop="1" thickBot="1" x14ac:dyDescent="0.3">
      <c r="A73" s="5" t="s">
        <v>142</v>
      </c>
      <c r="B73" s="6">
        <v>85352</v>
      </c>
      <c r="C73" s="7" t="s">
        <v>141</v>
      </c>
      <c r="D73" s="39">
        <v>45952</v>
      </c>
      <c r="E73" s="39" t="str">
        <f>VLOOKUP(B73,'[2]Month Total'!$B:$E,4,FALSE)</f>
        <v>Pre-Production</v>
      </c>
      <c r="F73" s="39" t="str">
        <f>VLOOKUP(B73,'[2]Month Total'!$B:$F,5,FALSE)</f>
        <v>Pre-Production</v>
      </c>
      <c r="G73" s="9">
        <v>16954</v>
      </c>
      <c r="H73" s="10">
        <f t="shared" si="8"/>
        <v>53082</v>
      </c>
      <c r="I73" s="11">
        <v>70036</v>
      </c>
      <c r="J73" s="11">
        <v>16954</v>
      </c>
      <c r="K73" s="11">
        <f>IF(G73=0,J73-G73,0)</f>
        <v>0</v>
      </c>
      <c r="L73" s="11">
        <f t="shared" si="9"/>
        <v>0</v>
      </c>
      <c r="M73" s="41"/>
      <c r="N73" s="33"/>
    </row>
    <row r="74" spans="1:14" ht="16.5" thickTop="1" thickBot="1" x14ac:dyDescent="0.3">
      <c r="A74" s="5" t="s">
        <v>262</v>
      </c>
      <c r="B74" s="6">
        <v>88618</v>
      </c>
      <c r="C74" s="7" t="s">
        <v>21</v>
      </c>
      <c r="D74" s="39" t="s">
        <v>268</v>
      </c>
      <c r="E74" s="39" t="s">
        <v>13</v>
      </c>
      <c r="F74" s="39" t="s">
        <v>13</v>
      </c>
      <c r="G74" s="9">
        <v>6845</v>
      </c>
      <c r="H74" s="10">
        <f t="shared" si="8"/>
        <v>6844</v>
      </c>
      <c r="I74" s="11">
        <v>13689</v>
      </c>
      <c r="J74" s="11">
        <v>0</v>
      </c>
      <c r="K74" s="11"/>
      <c r="L74" s="11">
        <f t="shared" si="9"/>
        <v>6845</v>
      </c>
      <c r="M74" s="41"/>
      <c r="N74" s="33"/>
    </row>
    <row r="75" spans="1:14" ht="16.5" thickTop="1" thickBot="1" x14ac:dyDescent="0.3">
      <c r="A75" s="5" t="s">
        <v>199</v>
      </c>
      <c r="B75" s="6">
        <v>87830</v>
      </c>
      <c r="C75" s="7" t="s">
        <v>33</v>
      </c>
      <c r="D75" s="39">
        <v>46002</v>
      </c>
      <c r="E75" s="39" t="str">
        <f>VLOOKUP(B75,'[2]Month Total'!$B:$E,4,FALSE)</f>
        <v>Pre-Production</v>
      </c>
      <c r="F75" s="39" t="str">
        <f>VLOOKUP(B75,'[2]Month Total'!$B:$F,5,FALSE)</f>
        <v>Pre-Production</v>
      </c>
      <c r="G75" s="9">
        <v>7852</v>
      </c>
      <c r="H75" s="10">
        <f t="shared" si="8"/>
        <v>7852</v>
      </c>
      <c r="I75" s="11">
        <v>15704</v>
      </c>
      <c r="J75" s="11">
        <v>7852</v>
      </c>
      <c r="K75" s="11">
        <f t="shared" ref="K75:K87" si="10">IF(G75=0,J75-G75,0)</f>
        <v>0</v>
      </c>
      <c r="L75" s="11">
        <f t="shared" si="9"/>
        <v>0</v>
      </c>
      <c r="M75" s="41"/>
      <c r="N75" s="33"/>
    </row>
    <row r="76" spans="1:14" ht="16.5" thickTop="1" thickBot="1" x14ac:dyDescent="0.3">
      <c r="A76" s="5" t="s">
        <v>106</v>
      </c>
      <c r="B76" s="6">
        <v>85604</v>
      </c>
      <c r="C76" s="7" t="s">
        <v>17</v>
      </c>
      <c r="D76" s="39">
        <v>45881</v>
      </c>
      <c r="E76" s="39" t="str">
        <f>VLOOKUP(B76,'[2]Month Total'!$B:$E,4,FALSE)</f>
        <v>Pre-Production</v>
      </c>
      <c r="F76" s="39" t="str">
        <f>VLOOKUP(B76,'[2]Month Total'!$B:$F,5,FALSE)</f>
        <v>Pre-Production</v>
      </c>
      <c r="G76" s="19">
        <v>80676.28</v>
      </c>
      <c r="H76" s="10">
        <f t="shared" si="8"/>
        <v>-4388.2799999999988</v>
      </c>
      <c r="I76" s="11">
        <v>76288</v>
      </c>
      <c r="J76" s="11">
        <v>80676.28</v>
      </c>
      <c r="K76" s="11">
        <f t="shared" si="10"/>
        <v>0</v>
      </c>
      <c r="L76" s="11">
        <f t="shared" si="9"/>
        <v>0</v>
      </c>
      <c r="M76" s="41"/>
      <c r="N76" s="33"/>
    </row>
    <row r="77" spans="1:14" ht="16.5" thickTop="1" thickBot="1" x14ac:dyDescent="0.3">
      <c r="A77" s="5" t="s">
        <v>146</v>
      </c>
      <c r="B77" s="6">
        <v>87595</v>
      </c>
      <c r="C77" s="7" t="s">
        <v>14</v>
      </c>
      <c r="D77" s="39">
        <v>45959</v>
      </c>
      <c r="E77" s="39" t="str">
        <f>VLOOKUP(B77,'[2]Month Total'!$B:$E,4,FALSE)</f>
        <v>Pre-Production</v>
      </c>
      <c r="F77" s="39" t="str">
        <f>VLOOKUP(B77,'[2]Month Total'!$B:$F,5,FALSE)</f>
        <v>Pre-Production</v>
      </c>
      <c r="G77" s="9">
        <v>13979.5</v>
      </c>
      <c r="H77" s="10">
        <f t="shared" si="8"/>
        <v>13979.5</v>
      </c>
      <c r="I77" s="11">
        <v>27959</v>
      </c>
      <c r="J77" s="11">
        <v>13979.5</v>
      </c>
      <c r="K77" s="11">
        <f t="shared" si="10"/>
        <v>0</v>
      </c>
      <c r="L77" s="11">
        <f t="shared" si="9"/>
        <v>0</v>
      </c>
      <c r="M77" s="41"/>
      <c r="N77" s="33"/>
    </row>
    <row r="78" spans="1:14" ht="16.5" thickTop="1" thickBot="1" x14ac:dyDescent="0.3">
      <c r="A78" s="5" t="s">
        <v>188</v>
      </c>
      <c r="B78" s="6">
        <v>88335</v>
      </c>
      <c r="C78" s="7" t="s">
        <v>14</v>
      </c>
      <c r="D78" s="39" t="s">
        <v>195</v>
      </c>
      <c r="E78" s="39" t="str">
        <f>VLOOKUP(B78,'[2]Month Total'!$B:$E,4,FALSE)</f>
        <v>Pre-Production</v>
      </c>
      <c r="F78" s="39" t="str">
        <f>VLOOKUP(B78,'[2]Month Total'!$B:$F,5,FALSE)</f>
        <v>Pre-Production</v>
      </c>
      <c r="G78" s="9">
        <v>21104</v>
      </c>
      <c r="H78" s="10">
        <f t="shared" si="8"/>
        <v>21104</v>
      </c>
      <c r="I78" s="11">
        <v>42208</v>
      </c>
      <c r="J78" s="11">
        <v>21104</v>
      </c>
      <c r="K78" s="11">
        <f t="shared" si="10"/>
        <v>0</v>
      </c>
      <c r="L78" s="11">
        <f t="shared" si="9"/>
        <v>0</v>
      </c>
      <c r="M78" s="41"/>
      <c r="N78" s="33"/>
    </row>
    <row r="79" spans="1:14" ht="16.5" thickTop="1" thickBot="1" x14ac:dyDescent="0.3">
      <c r="A79" s="5" t="s">
        <v>41</v>
      </c>
      <c r="B79" s="6">
        <v>79059</v>
      </c>
      <c r="C79" s="7" t="s">
        <v>14</v>
      </c>
      <c r="D79" s="8" t="s">
        <v>42</v>
      </c>
      <c r="E79" s="39" t="str">
        <f>VLOOKUP(B79,'[2]Month Total'!$B:$E,4,FALSE)</f>
        <v>Pre-Production</v>
      </c>
      <c r="F79" s="39" t="str">
        <f>VLOOKUP(B79,'[2]Month Total'!$B:$F,5,FALSE)</f>
        <v>Pre-Production</v>
      </c>
      <c r="G79" s="9">
        <v>43711</v>
      </c>
      <c r="H79" s="10">
        <f t="shared" si="8"/>
        <v>131132</v>
      </c>
      <c r="I79" s="11">
        <v>174843</v>
      </c>
      <c r="J79" s="11">
        <v>43711</v>
      </c>
      <c r="K79" s="11">
        <f t="shared" si="10"/>
        <v>0</v>
      </c>
      <c r="L79" s="11">
        <f t="shared" si="9"/>
        <v>0</v>
      </c>
      <c r="M79" s="41"/>
      <c r="N79" s="33"/>
    </row>
    <row r="80" spans="1:14" ht="16.5" thickTop="1" thickBot="1" x14ac:dyDescent="0.3">
      <c r="A80" s="5" t="s">
        <v>117</v>
      </c>
      <c r="B80" s="6">
        <v>83698</v>
      </c>
      <c r="C80" s="7" t="s">
        <v>14</v>
      </c>
      <c r="D80" s="39">
        <v>45904</v>
      </c>
      <c r="E80" s="39" t="str">
        <f>VLOOKUP(B80,'[2]Month Total'!$B:$E,4,FALSE)</f>
        <v>Pre-Production</v>
      </c>
      <c r="F80" s="39" t="str">
        <f>VLOOKUP(B80,'[2]Month Total'!$B:$F,5,FALSE)</f>
        <v>Pre-Production</v>
      </c>
      <c r="G80" s="9">
        <v>7860</v>
      </c>
      <c r="H80" s="10">
        <f t="shared" si="8"/>
        <v>6740</v>
      </c>
      <c r="I80" s="11">
        <v>14600</v>
      </c>
      <c r="J80" s="11">
        <v>7860</v>
      </c>
      <c r="K80" s="11">
        <f t="shared" si="10"/>
        <v>0</v>
      </c>
      <c r="L80" s="11">
        <f t="shared" si="9"/>
        <v>0</v>
      </c>
      <c r="M80" s="38"/>
      <c r="N80" s="33"/>
    </row>
    <row r="81" spans="1:14" ht="16.5" thickTop="1" thickBot="1" x14ac:dyDescent="0.3">
      <c r="A81" s="5" t="s">
        <v>212</v>
      </c>
      <c r="B81" s="6">
        <v>87641</v>
      </c>
      <c r="C81" s="7" t="s">
        <v>14</v>
      </c>
      <c r="D81" s="39">
        <v>46013</v>
      </c>
      <c r="E81" s="39" t="str">
        <f>VLOOKUP(B81,'[2]Month Total'!$B:$E,4,FALSE)</f>
        <v>Pre-Production</v>
      </c>
      <c r="F81" s="39" t="str">
        <f>VLOOKUP(B81,'[2]Month Total'!$B:$F,5,FALSE)</f>
        <v>Pre-Production</v>
      </c>
      <c r="G81" s="9">
        <v>13019</v>
      </c>
      <c r="H81" s="10">
        <f t="shared" si="8"/>
        <v>13018</v>
      </c>
      <c r="I81" s="11">
        <v>26037</v>
      </c>
      <c r="J81" s="11">
        <v>13019</v>
      </c>
      <c r="K81" s="11">
        <f t="shared" si="10"/>
        <v>0</v>
      </c>
      <c r="L81" s="11">
        <f t="shared" si="9"/>
        <v>0</v>
      </c>
      <c r="M81" s="41"/>
      <c r="N81" s="33"/>
    </row>
    <row r="82" spans="1:14" ht="16.5" thickTop="1" thickBot="1" x14ac:dyDescent="0.3">
      <c r="A82" s="5" t="s">
        <v>112</v>
      </c>
      <c r="B82" s="6">
        <v>86716</v>
      </c>
      <c r="C82" s="7" t="s">
        <v>31</v>
      </c>
      <c r="D82" s="39" t="s">
        <v>114</v>
      </c>
      <c r="E82" s="39">
        <v>45940</v>
      </c>
      <c r="F82" s="39" t="s">
        <v>153</v>
      </c>
      <c r="G82" s="9">
        <v>71405</v>
      </c>
      <c r="H82" s="10">
        <f t="shared" si="8"/>
        <v>77624.320000000007</v>
      </c>
      <c r="I82" s="11">
        <v>149029.32</v>
      </c>
      <c r="J82" s="11">
        <v>71405</v>
      </c>
      <c r="K82" s="11">
        <f t="shared" si="10"/>
        <v>0</v>
      </c>
      <c r="L82" s="11">
        <f t="shared" si="9"/>
        <v>0</v>
      </c>
      <c r="M82" s="41"/>
      <c r="N82" s="33"/>
    </row>
    <row r="83" spans="1:14" ht="16.5" thickTop="1" thickBot="1" x14ac:dyDescent="0.3">
      <c r="A83" s="5" t="s">
        <v>126</v>
      </c>
      <c r="B83" s="6">
        <v>86292</v>
      </c>
      <c r="C83" s="7" t="s">
        <v>23</v>
      </c>
      <c r="D83" s="39" t="s">
        <v>128</v>
      </c>
      <c r="E83" s="39">
        <f>VLOOKUP(B83,'[2]Month Total'!$B:$E,4,FALSE)</f>
        <v>45986</v>
      </c>
      <c r="F83" s="49">
        <v>46038</v>
      </c>
      <c r="G83" s="45">
        <v>0</v>
      </c>
      <c r="H83" s="58"/>
      <c r="I83" s="59"/>
      <c r="J83" s="11">
        <v>28000</v>
      </c>
      <c r="K83" s="11">
        <f t="shared" si="10"/>
        <v>28000</v>
      </c>
      <c r="L83" s="11" t="str">
        <f t="shared" si="9"/>
        <v>Invoiced this Month</v>
      </c>
      <c r="N83" s="33"/>
    </row>
    <row r="84" spans="1:14" ht="16.5" thickTop="1" thickBot="1" x14ac:dyDescent="0.3">
      <c r="A84" s="5" t="s">
        <v>43</v>
      </c>
      <c r="B84" s="6">
        <v>80858</v>
      </c>
      <c r="C84" s="7" t="s">
        <v>44</v>
      </c>
      <c r="D84" s="8" t="s">
        <v>36</v>
      </c>
      <c r="E84" s="39" t="str">
        <f>VLOOKUP(B84,'[2]Month Total'!$B:$E,4,FALSE)</f>
        <v>Pre-Production</v>
      </c>
      <c r="F84" s="39" t="str">
        <f>VLOOKUP(B84,'[2]Month Total'!$B:$F,5,FALSE)</f>
        <v>Pre-Production</v>
      </c>
      <c r="G84" s="9">
        <v>6843</v>
      </c>
      <c r="H84" s="10">
        <f t="shared" si="8"/>
        <v>6843</v>
      </c>
      <c r="I84" s="11">
        <v>13686</v>
      </c>
      <c r="J84" s="11">
        <v>6843</v>
      </c>
      <c r="K84" s="11">
        <f t="shared" si="10"/>
        <v>0</v>
      </c>
      <c r="L84" s="11">
        <f t="shared" si="9"/>
        <v>0</v>
      </c>
      <c r="M84" s="41"/>
      <c r="N84" s="33"/>
    </row>
    <row r="85" spans="1:14" ht="16.5" thickTop="1" thickBot="1" x14ac:dyDescent="0.3">
      <c r="A85" s="5" t="s">
        <v>118</v>
      </c>
      <c r="B85" s="6">
        <v>86420</v>
      </c>
      <c r="C85" s="7" t="s">
        <v>40</v>
      </c>
      <c r="D85" s="39">
        <v>45910</v>
      </c>
      <c r="E85" s="39">
        <f>VLOOKUP(B85,'[2]Month Total'!$B:$E,4,FALSE)</f>
        <v>45992</v>
      </c>
      <c r="F85" s="39" t="str">
        <f>VLOOKUP(B85,'[2]Month Total'!$B:$F,5,FALSE)</f>
        <v>Cutting</v>
      </c>
      <c r="G85" s="9">
        <v>120942</v>
      </c>
      <c r="H85" s="10">
        <f t="shared" si="8"/>
        <v>120942</v>
      </c>
      <c r="I85" s="11">
        <v>241884</v>
      </c>
      <c r="J85" s="11">
        <v>120942</v>
      </c>
      <c r="K85" s="11">
        <f t="shared" si="10"/>
        <v>0</v>
      </c>
      <c r="L85" s="11">
        <f t="shared" si="9"/>
        <v>0</v>
      </c>
      <c r="M85" s="38"/>
      <c r="N85" s="33"/>
    </row>
    <row r="86" spans="1:14" ht="16.5" thickTop="1" thickBot="1" x14ac:dyDescent="0.3">
      <c r="A86" s="5" t="s">
        <v>80</v>
      </c>
      <c r="B86" s="6">
        <v>81326</v>
      </c>
      <c r="C86" s="7" t="s">
        <v>81</v>
      </c>
      <c r="D86" s="8" t="s">
        <v>82</v>
      </c>
      <c r="E86" s="39">
        <v>46037</v>
      </c>
      <c r="F86" s="39" t="str">
        <f>VLOOKUP(B86,'[2]Month Total'!$B:$F,5,FALSE)</f>
        <v>Pre-Production</v>
      </c>
      <c r="G86" s="9">
        <v>7693</v>
      </c>
      <c r="H86" s="10">
        <f t="shared" si="8"/>
        <v>7693</v>
      </c>
      <c r="I86" s="11">
        <v>15386</v>
      </c>
      <c r="J86" s="11">
        <v>7693</v>
      </c>
      <c r="K86" s="11">
        <f t="shared" si="10"/>
        <v>0</v>
      </c>
      <c r="L86" s="11">
        <f t="shared" si="9"/>
        <v>0</v>
      </c>
      <c r="M86" s="41"/>
      <c r="N86" s="33"/>
    </row>
    <row r="87" spans="1:14" ht="16.5" thickTop="1" thickBot="1" x14ac:dyDescent="0.3">
      <c r="A87" s="5" t="s">
        <v>198</v>
      </c>
      <c r="B87" s="6">
        <v>87704</v>
      </c>
      <c r="C87" s="7" t="s">
        <v>21</v>
      </c>
      <c r="D87" s="39">
        <v>46001</v>
      </c>
      <c r="E87" s="39">
        <v>46034</v>
      </c>
      <c r="F87" s="39" t="str">
        <f>VLOOKUP(B87,'[2]Month Total'!$B:$F,5,FALSE)</f>
        <v>Pre-Production</v>
      </c>
      <c r="G87" s="19">
        <v>11648.15</v>
      </c>
      <c r="H87" s="10">
        <f t="shared" ref="H87:H116" si="11">I87-G87</f>
        <v>0</v>
      </c>
      <c r="I87" s="11">
        <v>11648.15</v>
      </c>
      <c r="J87" s="11">
        <v>11648.15</v>
      </c>
      <c r="K87" s="11">
        <f t="shared" si="10"/>
        <v>0</v>
      </c>
      <c r="L87" s="11">
        <v>11648.15</v>
      </c>
      <c r="M87" s="41"/>
      <c r="N87" s="33"/>
    </row>
    <row r="88" spans="1:14" ht="16.5" thickTop="1" thickBot="1" x14ac:dyDescent="0.3">
      <c r="A88" s="5" t="s">
        <v>226</v>
      </c>
      <c r="B88" s="6">
        <v>86639</v>
      </c>
      <c r="C88" s="7" t="s">
        <v>21</v>
      </c>
      <c r="D88" s="39" t="s">
        <v>244</v>
      </c>
      <c r="E88" s="39" t="s">
        <v>13</v>
      </c>
      <c r="F88" s="39" t="s">
        <v>13</v>
      </c>
      <c r="G88" s="9">
        <v>29037</v>
      </c>
      <c r="H88" s="10">
        <f t="shared" si="11"/>
        <v>29037</v>
      </c>
      <c r="I88" s="11">
        <v>58074</v>
      </c>
      <c r="J88" s="11">
        <v>0</v>
      </c>
      <c r="K88" s="11"/>
      <c r="L88" s="11">
        <f t="shared" ref="L88:L119" si="12">IF(G88&gt;0,G88-J88,"Invoiced this Month")</f>
        <v>29037</v>
      </c>
      <c r="M88" s="41"/>
      <c r="N88" s="33"/>
    </row>
    <row r="89" spans="1:14" ht="16.5" thickTop="1" thickBot="1" x14ac:dyDescent="0.3">
      <c r="A89" s="5" t="s">
        <v>239</v>
      </c>
      <c r="B89" s="6">
        <v>86537</v>
      </c>
      <c r="C89" s="7" t="s">
        <v>256</v>
      </c>
      <c r="D89" s="39" t="s">
        <v>251</v>
      </c>
      <c r="E89" s="39" t="s">
        <v>13</v>
      </c>
      <c r="F89" s="39" t="s">
        <v>13</v>
      </c>
      <c r="G89" s="9">
        <v>10013</v>
      </c>
      <c r="H89" s="10">
        <f t="shared" si="11"/>
        <v>10012</v>
      </c>
      <c r="I89" s="11">
        <v>20025</v>
      </c>
      <c r="J89" s="11">
        <v>0</v>
      </c>
      <c r="K89" s="11"/>
      <c r="L89" s="11">
        <f t="shared" si="12"/>
        <v>10013</v>
      </c>
      <c r="M89" s="41"/>
      <c r="N89" s="33"/>
    </row>
    <row r="90" spans="1:14" ht="16.5" thickTop="1" thickBot="1" x14ac:dyDescent="0.3">
      <c r="A90" s="5" t="s">
        <v>200</v>
      </c>
      <c r="B90" s="6">
        <v>80783</v>
      </c>
      <c r="C90" s="7" t="s">
        <v>37</v>
      </c>
      <c r="D90" s="39">
        <v>46003</v>
      </c>
      <c r="E90" s="39">
        <v>46031</v>
      </c>
      <c r="F90" s="39" t="str">
        <f>VLOOKUP(B90,'[2]Month Total'!$B:$F,5,FALSE)</f>
        <v>Pre-Production</v>
      </c>
      <c r="G90" s="9">
        <v>7110</v>
      </c>
      <c r="H90" s="10">
        <f t="shared" si="11"/>
        <v>8595</v>
      </c>
      <c r="I90" s="11">
        <v>15705</v>
      </c>
      <c r="J90" s="11">
        <v>7110</v>
      </c>
      <c r="K90" s="11">
        <f t="shared" ref="K90:K98" si="13">IF(G90=0,J90-G90,0)</f>
        <v>0</v>
      </c>
      <c r="L90" s="11">
        <f t="shared" si="12"/>
        <v>0</v>
      </c>
      <c r="M90" s="41"/>
      <c r="N90" s="33"/>
    </row>
    <row r="91" spans="1:14" ht="16.5" thickTop="1" thickBot="1" x14ac:dyDescent="0.3">
      <c r="A91" s="5" t="s">
        <v>98</v>
      </c>
      <c r="B91" s="6">
        <v>80262</v>
      </c>
      <c r="C91" s="7" t="s">
        <v>14</v>
      </c>
      <c r="D91" s="39">
        <v>45855</v>
      </c>
      <c r="E91" s="39">
        <v>46038</v>
      </c>
      <c r="F91" s="39" t="str">
        <f>VLOOKUP(B91,'[2]Month Total'!$B:$F,5,FALSE)</f>
        <v>Pre-Production</v>
      </c>
      <c r="G91" s="9">
        <v>5445</v>
      </c>
      <c r="H91" s="10">
        <f t="shared" si="11"/>
        <v>5446</v>
      </c>
      <c r="I91" s="11">
        <v>10891</v>
      </c>
      <c r="J91" s="11">
        <v>5445</v>
      </c>
      <c r="K91" s="11">
        <f t="shared" si="13"/>
        <v>0</v>
      </c>
      <c r="L91" s="11">
        <f t="shared" si="12"/>
        <v>0</v>
      </c>
      <c r="M91" s="41"/>
      <c r="N91" s="33"/>
    </row>
    <row r="92" spans="1:14" ht="16.5" thickTop="1" thickBot="1" x14ac:dyDescent="0.3">
      <c r="A92" s="5" t="s">
        <v>132</v>
      </c>
      <c r="B92" s="6">
        <v>86090</v>
      </c>
      <c r="C92" s="7" t="s">
        <v>39</v>
      </c>
      <c r="D92" s="39">
        <v>45936</v>
      </c>
      <c r="E92" s="39">
        <f>VLOOKUP(B92,'[2]Month Total'!$B:$E,4,FALSE)</f>
        <v>45975</v>
      </c>
      <c r="F92" s="39" t="str">
        <f>VLOOKUP(B92,'[2]Month Total'!$B:$F,5,FALSE)</f>
        <v>Coating</v>
      </c>
      <c r="G92" s="9">
        <v>50633.5</v>
      </c>
      <c r="H92" s="10">
        <f t="shared" si="11"/>
        <v>50633.5</v>
      </c>
      <c r="I92" s="11">
        <v>101267</v>
      </c>
      <c r="J92" s="11">
        <v>50633.5</v>
      </c>
      <c r="K92" s="11">
        <f t="shared" si="13"/>
        <v>0</v>
      </c>
      <c r="L92" s="11">
        <f t="shared" si="12"/>
        <v>0</v>
      </c>
      <c r="M92" s="41"/>
      <c r="N92" s="33"/>
    </row>
    <row r="93" spans="1:14" ht="16.5" thickTop="1" thickBot="1" x14ac:dyDescent="0.3">
      <c r="A93" s="5" t="s">
        <v>164</v>
      </c>
      <c r="B93" s="6">
        <v>87645</v>
      </c>
      <c r="C93" s="7" t="s">
        <v>14</v>
      </c>
      <c r="D93" s="39">
        <v>45971</v>
      </c>
      <c r="E93" s="39">
        <v>46027</v>
      </c>
      <c r="F93" s="39" t="str">
        <f>VLOOKUP(B93,'[2]Month Total'!$B:$F,5,FALSE)</f>
        <v>Pre-Production</v>
      </c>
      <c r="G93" s="9">
        <v>13500</v>
      </c>
      <c r="H93" s="10">
        <f t="shared" si="11"/>
        <v>10193</v>
      </c>
      <c r="I93" s="11">
        <v>23693</v>
      </c>
      <c r="J93" s="11">
        <v>13500</v>
      </c>
      <c r="K93" s="11">
        <f t="shared" si="13"/>
        <v>0</v>
      </c>
      <c r="L93" s="11">
        <f t="shared" si="12"/>
        <v>0</v>
      </c>
      <c r="M93" s="41"/>
      <c r="N93" s="33"/>
    </row>
    <row r="94" spans="1:14" ht="16.5" thickTop="1" thickBot="1" x14ac:dyDescent="0.3">
      <c r="A94" s="5" t="s">
        <v>165</v>
      </c>
      <c r="B94" s="6">
        <v>87446</v>
      </c>
      <c r="C94" s="7" t="s">
        <v>33</v>
      </c>
      <c r="D94" s="39">
        <v>45971</v>
      </c>
      <c r="E94" s="39" t="str">
        <f>VLOOKUP(B94,'[2]Month Total'!$B:$E,4,FALSE)</f>
        <v>Pre-Production</v>
      </c>
      <c r="F94" s="39" t="str">
        <f>VLOOKUP(B94,'[2]Month Total'!$B:$F,5,FALSE)</f>
        <v>Pre-Production</v>
      </c>
      <c r="G94" s="9">
        <v>20000</v>
      </c>
      <c r="H94" s="10">
        <f t="shared" si="11"/>
        <v>7230</v>
      </c>
      <c r="I94" s="11">
        <v>27230</v>
      </c>
      <c r="J94" s="11">
        <v>20000</v>
      </c>
      <c r="K94" s="11">
        <f t="shared" si="13"/>
        <v>0</v>
      </c>
      <c r="L94" s="11">
        <f t="shared" si="12"/>
        <v>0</v>
      </c>
      <c r="M94" s="41"/>
      <c r="N94" s="33"/>
    </row>
    <row r="95" spans="1:14" ht="16.5" thickTop="1" thickBot="1" x14ac:dyDescent="0.3">
      <c r="A95" s="5" t="s">
        <v>121</v>
      </c>
      <c r="B95" s="6">
        <v>85104</v>
      </c>
      <c r="C95" s="7" t="s">
        <v>40</v>
      </c>
      <c r="D95" s="39">
        <v>45922</v>
      </c>
      <c r="E95" s="39">
        <f>VLOOKUP(B95,'[2]Month Total'!$B:$E,4,FALSE)</f>
        <v>46001</v>
      </c>
      <c r="F95" s="49">
        <v>46038</v>
      </c>
      <c r="G95" s="45">
        <v>0</v>
      </c>
      <c r="H95" s="58"/>
      <c r="I95" s="59"/>
      <c r="J95" s="11">
        <v>9299.5</v>
      </c>
      <c r="K95" s="11">
        <f t="shared" si="13"/>
        <v>9299.5</v>
      </c>
      <c r="L95" s="11" t="str">
        <f t="shared" si="12"/>
        <v>Invoiced this Month</v>
      </c>
      <c r="M95" s="38"/>
      <c r="N95" s="33"/>
    </row>
    <row r="96" spans="1:14" ht="16.5" thickTop="1" thickBot="1" x14ac:dyDescent="0.3">
      <c r="A96" s="5" t="s">
        <v>127</v>
      </c>
      <c r="B96" s="6">
        <v>86087</v>
      </c>
      <c r="C96" s="7" t="s">
        <v>78</v>
      </c>
      <c r="D96" s="39" t="s">
        <v>129</v>
      </c>
      <c r="E96" s="39" t="str">
        <f>VLOOKUP(B96,'[2]Month Total'!$B:$E,4,FALSE)</f>
        <v>Pre-Production</v>
      </c>
      <c r="F96" s="39" t="str">
        <f>VLOOKUP(B96,'[2]Month Total'!$B:$F,5,FALSE)</f>
        <v>Pre-Production</v>
      </c>
      <c r="G96" s="9">
        <v>16786</v>
      </c>
      <c r="H96" s="10">
        <f t="shared" si="11"/>
        <v>16786</v>
      </c>
      <c r="I96" s="11">
        <v>33572</v>
      </c>
      <c r="J96" s="11">
        <v>16786</v>
      </c>
      <c r="K96" s="11">
        <f t="shared" si="13"/>
        <v>0</v>
      </c>
      <c r="L96" s="11">
        <f t="shared" si="12"/>
        <v>0</v>
      </c>
      <c r="N96" s="33"/>
    </row>
    <row r="97" spans="1:14" ht="16.5" thickTop="1" thickBot="1" x14ac:dyDescent="0.3">
      <c r="A97" s="5" t="s">
        <v>201</v>
      </c>
      <c r="B97" s="6">
        <v>86944</v>
      </c>
      <c r="C97" s="7" t="s">
        <v>23</v>
      </c>
      <c r="D97" s="39" t="s">
        <v>208</v>
      </c>
      <c r="E97" s="39">
        <v>46030</v>
      </c>
      <c r="F97" s="39" t="str">
        <f>VLOOKUP(B97,'[2]Month Total'!$B:$F,5,FALSE)</f>
        <v>Pre-Production</v>
      </c>
      <c r="G97" s="9">
        <v>10965</v>
      </c>
      <c r="H97" s="10">
        <f t="shared" si="11"/>
        <v>10965</v>
      </c>
      <c r="I97" s="11">
        <v>21930</v>
      </c>
      <c r="J97" s="11">
        <v>10965</v>
      </c>
      <c r="K97" s="11">
        <f t="shared" si="13"/>
        <v>0</v>
      </c>
      <c r="L97" s="11">
        <f t="shared" si="12"/>
        <v>0</v>
      </c>
      <c r="M97" s="41"/>
      <c r="N97" s="33"/>
    </row>
    <row r="98" spans="1:14" ht="16.5" thickTop="1" thickBot="1" x14ac:dyDescent="0.3">
      <c r="A98" s="5" t="s">
        <v>46</v>
      </c>
      <c r="B98" s="6">
        <v>80158</v>
      </c>
      <c r="C98" s="7" t="s">
        <v>19</v>
      </c>
      <c r="D98" s="8" t="s">
        <v>30</v>
      </c>
      <c r="E98" s="39">
        <v>45940</v>
      </c>
      <c r="F98" s="49">
        <v>46036</v>
      </c>
      <c r="G98" s="45">
        <v>0</v>
      </c>
      <c r="H98" s="58"/>
      <c r="I98" s="59"/>
      <c r="J98" s="11">
        <v>58887</v>
      </c>
      <c r="K98" s="11">
        <f t="shared" si="13"/>
        <v>58887</v>
      </c>
      <c r="L98" s="11" t="str">
        <f t="shared" si="12"/>
        <v>Invoiced this Month</v>
      </c>
      <c r="M98" s="41"/>
      <c r="N98" s="33"/>
    </row>
    <row r="99" spans="1:14" ht="16.5" thickTop="1" thickBot="1" x14ac:dyDescent="0.3">
      <c r="A99" s="5" t="s">
        <v>259</v>
      </c>
      <c r="B99" s="6">
        <v>88810</v>
      </c>
      <c r="C99" s="7" t="s">
        <v>14</v>
      </c>
      <c r="D99" s="39" t="s">
        <v>267</v>
      </c>
      <c r="E99" s="39" t="s">
        <v>13</v>
      </c>
      <c r="F99" s="39" t="s">
        <v>13</v>
      </c>
      <c r="G99" s="9">
        <v>22507</v>
      </c>
      <c r="H99" s="10">
        <f t="shared" si="11"/>
        <v>22506</v>
      </c>
      <c r="I99" s="11">
        <v>45013</v>
      </c>
      <c r="J99" s="11">
        <v>0</v>
      </c>
      <c r="K99" s="11"/>
      <c r="L99" s="11">
        <f t="shared" si="12"/>
        <v>22507</v>
      </c>
      <c r="M99" s="41"/>
      <c r="N99" s="33"/>
    </row>
    <row r="100" spans="1:14" ht="16.5" thickTop="1" thickBot="1" x14ac:dyDescent="0.3">
      <c r="A100" s="5" t="s">
        <v>99</v>
      </c>
      <c r="B100" s="6">
        <v>81910</v>
      </c>
      <c r="C100" s="7" t="s">
        <v>14</v>
      </c>
      <c r="D100" s="39">
        <v>45859</v>
      </c>
      <c r="E100" s="39" t="str">
        <f>VLOOKUP(B100,'[2]Month Total'!$B:$E,4,FALSE)</f>
        <v>Pre-Production</v>
      </c>
      <c r="F100" s="39" t="str">
        <f>VLOOKUP(B100,'[2]Month Total'!$B:$F,5,FALSE)</f>
        <v>Pre-Production</v>
      </c>
      <c r="G100" s="9">
        <v>13876</v>
      </c>
      <c r="H100" s="10">
        <f t="shared" si="11"/>
        <v>13875</v>
      </c>
      <c r="I100" s="11">
        <v>27751</v>
      </c>
      <c r="J100" s="11">
        <v>13876</v>
      </c>
      <c r="K100" s="11">
        <f t="shared" ref="K100:K107" si="14">IF(G100=0,J100-G100,0)</f>
        <v>0</v>
      </c>
      <c r="L100" s="11">
        <f t="shared" si="12"/>
        <v>0</v>
      </c>
      <c r="M100" s="41"/>
      <c r="N100" s="33"/>
    </row>
    <row r="101" spans="1:14" ht="16.5" thickTop="1" thickBot="1" x14ac:dyDescent="0.3">
      <c r="A101" s="5" t="s">
        <v>213</v>
      </c>
      <c r="B101" s="6">
        <v>88293</v>
      </c>
      <c r="C101" s="7" t="s">
        <v>18</v>
      </c>
      <c r="D101" s="39">
        <v>46015</v>
      </c>
      <c r="E101" s="39">
        <v>46035</v>
      </c>
      <c r="F101" s="39" t="str">
        <f>VLOOKUP(B101,'[2]Month Total'!$B:$F,5,FALSE)</f>
        <v>Pre-Production</v>
      </c>
      <c r="G101" s="9">
        <v>11765</v>
      </c>
      <c r="H101" s="10">
        <f t="shared" si="11"/>
        <v>11764</v>
      </c>
      <c r="I101" s="11">
        <v>23529</v>
      </c>
      <c r="J101" s="11">
        <v>11765</v>
      </c>
      <c r="K101" s="11">
        <f t="shared" si="14"/>
        <v>0</v>
      </c>
      <c r="L101" s="11">
        <f t="shared" si="12"/>
        <v>0</v>
      </c>
      <c r="M101" s="41"/>
      <c r="N101" s="33"/>
    </row>
    <row r="102" spans="1:14" ht="16.5" thickTop="1" thickBot="1" x14ac:dyDescent="0.3">
      <c r="A102" s="5" t="s">
        <v>151</v>
      </c>
      <c r="B102" s="6">
        <v>87532</v>
      </c>
      <c r="C102" s="7" t="s">
        <v>18</v>
      </c>
      <c r="D102" s="39">
        <v>45960</v>
      </c>
      <c r="E102" s="39">
        <f>VLOOKUP(B102,'[2]Month Total'!$B:$E,4,FALSE)</f>
        <v>45992</v>
      </c>
      <c r="F102" s="49">
        <v>46031</v>
      </c>
      <c r="G102" s="45">
        <v>0</v>
      </c>
      <c r="H102" s="58"/>
      <c r="I102" s="59"/>
      <c r="J102" s="11">
        <v>7098</v>
      </c>
      <c r="K102" s="11">
        <f t="shared" si="14"/>
        <v>7098</v>
      </c>
      <c r="L102" s="11" t="str">
        <f t="shared" si="12"/>
        <v>Invoiced this Month</v>
      </c>
      <c r="M102" s="41"/>
      <c r="N102" s="33"/>
    </row>
    <row r="103" spans="1:14" ht="16.5" thickTop="1" thickBot="1" x14ac:dyDescent="0.3">
      <c r="A103" s="5" t="s">
        <v>149</v>
      </c>
      <c r="B103" s="6">
        <v>87713</v>
      </c>
      <c r="C103" s="7" t="s">
        <v>31</v>
      </c>
      <c r="D103" s="39">
        <v>45960</v>
      </c>
      <c r="E103" s="39" t="str">
        <f>VLOOKUP(B103,'[2]Month Total'!$B:$E,4,FALSE)</f>
        <v>Pre-Production</v>
      </c>
      <c r="F103" s="39" t="str">
        <f>VLOOKUP(B103,'[2]Month Total'!$B:$F,5,FALSE)</f>
        <v>Pre-Production</v>
      </c>
      <c r="G103" s="9">
        <v>192821</v>
      </c>
      <c r="H103" s="10">
        <f t="shared" si="11"/>
        <v>192821</v>
      </c>
      <c r="I103" s="11">
        <v>385642</v>
      </c>
      <c r="J103" s="11">
        <v>192821</v>
      </c>
      <c r="K103" s="11">
        <f t="shared" si="14"/>
        <v>0</v>
      </c>
      <c r="L103" s="11">
        <f t="shared" si="12"/>
        <v>0</v>
      </c>
      <c r="M103" s="41"/>
      <c r="N103" s="33"/>
    </row>
    <row r="104" spans="1:14" ht="16.5" thickTop="1" thickBot="1" x14ac:dyDescent="0.3">
      <c r="A104" s="5" t="s">
        <v>150</v>
      </c>
      <c r="B104" s="6">
        <v>87716</v>
      </c>
      <c r="C104" s="7" t="s">
        <v>31</v>
      </c>
      <c r="D104" s="39">
        <v>45960</v>
      </c>
      <c r="E104" s="39" t="str">
        <f>VLOOKUP(B104,'[2]Month Total'!$B:$E,4,FALSE)</f>
        <v>Pre-Production</v>
      </c>
      <c r="F104" s="39" t="str">
        <f>VLOOKUP(B104,'[2]Month Total'!$B:$F,5,FALSE)</f>
        <v>Pre-Production</v>
      </c>
      <c r="G104" s="9">
        <v>94522</v>
      </c>
      <c r="H104" s="10">
        <f t="shared" si="11"/>
        <v>94521</v>
      </c>
      <c r="I104" s="11">
        <v>189043</v>
      </c>
      <c r="J104" s="11">
        <v>94522</v>
      </c>
      <c r="K104" s="11">
        <f t="shared" si="14"/>
        <v>0</v>
      </c>
      <c r="L104" s="11">
        <f t="shared" si="12"/>
        <v>0</v>
      </c>
      <c r="M104" s="41"/>
      <c r="N104" s="33"/>
    </row>
    <row r="105" spans="1:14" ht="16.5" thickTop="1" thickBot="1" x14ac:dyDescent="0.3">
      <c r="A105" s="5" t="s">
        <v>68</v>
      </c>
      <c r="B105" s="6">
        <v>83381</v>
      </c>
      <c r="C105" s="7" t="s">
        <v>33</v>
      </c>
      <c r="D105" s="8" t="s">
        <v>69</v>
      </c>
      <c r="E105" s="39" t="str">
        <f>VLOOKUP(B105,'[2]Month Total'!$B:$E,4,FALSE)</f>
        <v>Pre-Production</v>
      </c>
      <c r="F105" s="39" t="str">
        <f>VLOOKUP(B105,'[2]Month Total'!$B:$F,5,FALSE)</f>
        <v>Pre-Production</v>
      </c>
      <c r="G105" s="9">
        <v>35519.5</v>
      </c>
      <c r="H105" s="10">
        <f t="shared" si="11"/>
        <v>35808.5</v>
      </c>
      <c r="I105" s="11">
        <v>71328</v>
      </c>
      <c r="J105" s="11">
        <v>35519.5</v>
      </c>
      <c r="K105" s="11">
        <f t="shared" si="14"/>
        <v>0</v>
      </c>
      <c r="L105" s="11">
        <f t="shared" si="12"/>
        <v>0</v>
      </c>
      <c r="M105" s="41"/>
      <c r="N105" s="33"/>
    </row>
    <row r="106" spans="1:14" ht="16.5" thickTop="1" thickBot="1" x14ac:dyDescent="0.3">
      <c r="A106" s="5" t="s">
        <v>152</v>
      </c>
      <c r="B106" s="6">
        <v>86800</v>
      </c>
      <c r="C106" s="7" t="s">
        <v>45</v>
      </c>
      <c r="D106" s="39">
        <v>45960</v>
      </c>
      <c r="E106" s="39">
        <f>VLOOKUP(B106,'[2]Month Total'!$B:$E,4,FALSE)</f>
        <v>46003</v>
      </c>
      <c r="F106" s="39" t="str">
        <f>VLOOKUP(B106,'[2]Month Total'!$B:$F,5,FALSE)</f>
        <v>Powder coat</v>
      </c>
      <c r="G106" s="9">
        <v>20000</v>
      </c>
      <c r="H106" s="10">
        <f t="shared" si="11"/>
        <v>13441</v>
      </c>
      <c r="I106" s="11">
        <v>33441</v>
      </c>
      <c r="J106" s="11">
        <v>20000</v>
      </c>
      <c r="K106" s="11">
        <f t="shared" si="14"/>
        <v>0</v>
      </c>
      <c r="L106" s="11">
        <f t="shared" si="12"/>
        <v>0</v>
      </c>
      <c r="M106" s="41"/>
      <c r="N106" s="33"/>
    </row>
    <row r="107" spans="1:14" ht="16.5" thickTop="1" thickBot="1" x14ac:dyDescent="0.3">
      <c r="A107" s="5" t="s">
        <v>171</v>
      </c>
      <c r="B107" s="6">
        <v>87145</v>
      </c>
      <c r="C107" s="7" t="s">
        <v>23</v>
      </c>
      <c r="D107" s="39" t="s">
        <v>179</v>
      </c>
      <c r="E107" s="39" t="str">
        <f>VLOOKUP(B107,'[2]Month Total'!$B:$E,4,FALSE)</f>
        <v>Pre-Production</v>
      </c>
      <c r="F107" s="39" t="str">
        <f>VLOOKUP(B107,'[2]Month Total'!$B:$F,5,FALSE)</f>
        <v>Pre-Production</v>
      </c>
      <c r="G107" s="9">
        <v>100990</v>
      </c>
      <c r="H107" s="10">
        <f t="shared" si="11"/>
        <v>99937</v>
      </c>
      <c r="I107" s="11">
        <v>200927</v>
      </c>
      <c r="J107" s="11">
        <v>100990</v>
      </c>
      <c r="K107" s="11">
        <f t="shared" si="14"/>
        <v>0</v>
      </c>
      <c r="L107" s="11">
        <f t="shared" si="12"/>
        <v>0</v>
      </c>
      <c r="M107" s="41"/>
      <c r="N107" s="33"/>
    </row>
    <row r="108" spans="1:14" ht="16.5" thickTop="1" thickBot="1" x14ac:dyDescent="0.3">
      <c r="A108" s="5" t="s">
        <v>238</v>
      </c>
      <c r="B108" s="6">
        <v>88897</v>
      </c>
      <c r="C108" s="7" t="s">
        <v>11</v>
      </c>
      <c r="D108" s="39" t="s">
        <v>250</v>
      </c>
      <c r="E108" s="39" t="s">
        <v>13</v>
      </c>
      <c r="F108" s="39" t="s">
        <v>13</v>
      </c>
      <c r="G108" s="9">
        <v>11041</v>
      </c>
      <c r="H108" s="10">
        <f t="shared" si="11"/>
        <v>11041</v>
      </c>
      <c r="I108" s="11">
        <v>22082</v>
      </c>
      <c r="J108" s="11">
        <v>0</v>
      </c>
      <c r="K108" s="11"/>
      <c r="L108" s="11">
        <f t="shared" si="12"/>
        <v>11041</v>
      </c>
      <c r="M108" s="41"/>
      <c r="N108" s="33"/>
    </row>
    <row r="109" spans="1:14" ht="16.5" thickTop="1" thickBot="1" x14ac:dyDescent="0.3">
      <c r="A109" s="5" t="s">
        <v>124</v>
      </c>
      <c r="B109" s="6">
        <v>87412</v>
      </c>
      <c r="C109" s="7" t="s">
        <v>23</v>
      </c>
      <c r="D109" s="39">
        <v>45926</v>
      </c>
      <c r="E109" s="39" t="str">
        <f>VLOOKUP(B109,'[2]Month Total'!$B:$E,4,FALSE)</f>
        <v>Pre-Production</v>
      </c>
      <c r="F109" s="39" t="str">
        <f>VLOOKUP(B109,'[2]Month Total'!$B:$F,5,FALSE)</f>
        <v>Pre-Production</v>
      </c>
      <c r="G109" s="9">
        <v>44034</v>
      </c>
      <c r="H109" s="10">
        <f t="shared" si="11"/>
        <v>44034</v>
      </c>
      <c r="I109" s="11">
        <v>88068</v>
      </c>
      <c r="J109" s="11">
        <v>44034</v>
      </c>
      <c r="K109" s="11">
        <f>IF(G109=0,J109-G109,0)</f>
        <v>0</v>
      </c>
      <c r="L109" s="11">
        <f t="shared" si="12"/>
        <v>0</v>
      </c>
      <c r="M109" s="38"/>
      <c r="N109" s="33"/>
    </row>
    <row r="110" spans="1:14" ht="16.5" thickTop="1" thickBot="1" x14ac:dyDescent="0.3">
      <c r="A110" s="5" t="s">
        <v>192</v>
      </c>
      <c r="B110" s="6">
        <v>88305</v>
      </c>
      <c r="C110" s="7" t="s">
        <v>23</v>
      </c>
      <c r="D110" s="39" t="s">
        <v>197</v>
      </c>
      <c r="E110" s="39">
        <f>VLOOKUP(B110,'[2]Month Total'!$B:$E,4,FALSE)</f>
        <v>46009</v>
      </c>
      <c r="F110" s="39" t="str">
        <f>VLOOKUP(B110,'[2]Month Total'!$B:$F,5,FALSE)</f>
        <v>Powder coat</v>
      </c>
      <c r="G110" s="9">
        <v>4175.82</v>
      </c>
      <c r="H110" s="10">
        <f t="shared" si="11"/>
        <v>4259.18</v>
      </c>
      <c r="I110" s="11">
        <v>8435</v>
      </c>
      <c r="J110" s="11">
        <v>4175.82</v>
      </c>
      <c r="K110" s="11">
        <f>IF(G110=0,J110-G110,0)</f>
        <v>0</v>
      </c>
      <c r="L110" s="11">
        <f t="shared" si="12"/>
        <v>0</v>
      </c>
      <c r="M110" s="41"/>
      <c r="N110" s="33"/>
    </row>
    <row r="111" spans="1:14" ht="16.5" thickTop="1" thickBot="1" x14ac:dyDescent="0.3">
      <c r="A111" s="5" t="s">
        <v>202</v>
      </c>
      <c r="B111" s="6">
        <v>87088</v>
      </c>
      <c r="C111" s="7" t="s">
        <v>23</v>
      </c>
      <c r="D111" s="39" t="s">
        <v>209</v>
      </c>
      <c r="E111" s="39" t="str">
        <f>VLOOKUP(B111,'[2]Month Total'!$B:$E,4,FALSE)</f>
        <v>Pre-Production</v>
      </c>
      <c r="F111" s="39" t="str">
        <f>VLOOKUP(B111,'[2]Month Total'!$B:$F,5,FALSE)</f>
        <v>Pre-Production</v>
      </c>
      <c r="G111" s="9">
        <v>1253.3399999999999</v>
      </c>
      <c r="H111" s="10">
        <f t="shared" si="11"/>
        <v>1277.6600000000001</v>
      </c>
      <c r="I111" s="11">
        <v>2531</v>
      </c>
      <c r="J111" s="11">
        <v>1253.3399999999999</v>
      </c>
      <c r="K111" s="11">
        <f>IF(G111=0,J111-G111,0)</f>
        <v>0</v>
      </c>
      <c r="L111" s="11">
        <f t="shared" si="12"/>
        <v>0</v>
      </c>
      <c r="M111" s="41"/>
      <c r="N111" s="33"/>
    </row>
    <row r="112" spans="1:14" ht="16.5" thickTop="1" thickBot="1" x14ac:dyDescent="0.3">
      <c r="A112" s="5" t="s">
        <v>264</v>
      </c>
      <c r="B112" s="6">
        <v>87390</v>
      </c>
      <c r="C112" s="7" t="s">
        <v>23</v>
      </c>
      <c r="D112" s="39" t="s">
        <v>268</v>
      </c>
      <c r="E112" s="39" t="s">
        <v>13</v>
      </c>
      <c r="F112" s="39" t="s">
        <v>13</v>
      </c>
      <c r="G112" s="9">
        <v>12751.2</v>
      </c>
      <c r="H112" s="10">
        <f t="shared" si="11"/>
        <v>13007.8</v>
      </c>
      <c r="I112" s="11">
        <v>25759</v>
      </c>
      <c r="J112" s="11">
        <v>0</v>
      </c>
      <c r="K112" s="11"/>
      <c r="L112" s="11">
        <f t="shared" si="12"/>
        <v>12751.2</v>
      </c>
      <c r="M112" s="41"/>
      <c r="N112" s="33"/>
    </row>
    <row r="113" spans="1:14" ht="16.5" thickTop="1" thickBot="1" x14ac:dyDescent="0.3">
      <c r="A113" s="5" t="s">
        <v>160</v>
      </c>
      <c r="B113" s="6">
        <v>88001</v>
      </c>
      <c r="C113" s="7" t="s">
        <v>23</v>
      </c>
      <c r="D113" s="39">
        <v>45966</v>
      </c>
      <c r="E113" s="39" t="str">
        <f>VLOOKUP(B113,'[2]Month Total'!$B:$E,4,FALSE)</f>
        <v>Pre-Production</v>
      </c>
      <c r="F113" s="39" t="str">
        <f>VLOOKUP(B113,'[2]Month Total'!$B:$F,5,FALSE)</f>
        <v>Pre-Production</v>
      </c>
      <c r="G113" s="9">
        <v>4514.3999999999996</v>
      </c>
      <c r="H113" s="10">
        <f t="shared" si="11"/>
        <v>4604.6000000000004</v>
      </c>
      <c r="I113" s="11">
        <v>9119</v>
      </c>
      <c r="J113" s="11">
        <v>4514.3999999999996</v>
      </c>
      <c r="K113" s="11">
        <f>IF(G113=0,J113-G113,0)</f>
        <v>0</v>
      </c>
      <c r="L113" s="11">
        <f t="shared" si="12"/>
        <v>0</v>
      </c>
      <c r="M113" s="41"/>
      <c r="N113" s="33"/>
    </row>
    <row r="114" spans="1:14" ht="16.5" thickTop="1" thickBot="1" x14ac:dyDescent="0.3">
      <c r="A114" s="5" t="s">
        <v>155</v>
      </c>
      <c r="B114" s="6">
        <v>87908</v>
      </c>
      <c r="C114" s="7" t="s">
        <v>57</v>
      </c>
      <c r="D114" s="39">
        <v>45964</v>
      </c>
      <c r="E114" s="39">
        <f>VLOOKUP(B114,'[2]Month Total'!$B:$E,4,FALSE)</f>
        <v>46010</v>
      </c>
      <c r="F114" s="39" t="str">
        <f>VLOOKUP(B114,'[2]Month Total'!$B:$F,5,FALSE)</f>
        <v>Powder coat</v>
      </c>
      <c r="G114" s="9">
        <v>1507.77</v>
      </c>
      <c r="H114" s="10">
        <f t="shared" si="11"/>
        <v>1538.23</v>
      </c>
      <c r="I114" s="11">
        <v>3046</v>
      </c>
      <c r="J114" s="11">
        <v>1507.77</v>
      </c>
      <c r="K114" s="11">
        <f>IF(G114=0,J114-G114,0)</f>
        <v>0</v>
      </c>
      <c r="L114" s="11">
        <f t="shared" si="12"/>
        <v>0</v>
      </c>
      <c r="M114" s="41"/>
      <c r="N114" s="33"/>
    </row>
    <row r="115" spans="1:14" ht="16.5" thickTop="1" thickBot="1" x14ac:dyDescent="0.3">
      <c r="A115" s="5" t="s">
        <v>225</v>
      </c>
      <c r="B115" s="6">
        <v>88670</v>
      </c>
      <c r="C115" s="7" t="s">
        <v>57</v>
      </c>
      <c r="D115" s="39" t="s">
        <v>243</v>
      </c>
      <c r="E115" s="39" t="s">
        <v>13</v>
      </c>
      <c r="F115" s="39" t="s">
        <v>13</v>
      </c>
      <c r="G115" s="9">
        <v>8423</v>
      </c>
      <c r="H115" s="10">
        <f t="shared" si="11"/>
        <v>8423</v>
      </c>
      <c r="I115" s="11">
        <v>16846</v>
      </c>
      <c r="J115" s="11">
        <v>0</v>
      </c>
      <c r="K115" s="11"/>
      <c r="L115" s="11">
        <f t="shared" si="12"/>
        <v>8423</v>
      </c>
      <c r="M115" s="41"/>
      <c r="N115" s="33"/>
    </row>
    <row r="116" spans="1:14" ht="16.5" thickTop="1" thickBot="1" x14ac:dyDescent="0.3">
      <c r="A116" s="5" t="s">
        <v>162</v>
      </c>
      <c r="B116" s="6">
        <v>85711</v>
      </c>
      <c r="C116" s="7" t="s">
        <v>57</v>
      </c>
      <c r="D116" s="39">
        <v>45967</v>
      </c>
      <c r="E116" s="39">
        <f>VLOOKUP(B116,'[2]Month Total'!$B:$E,4,FALSE)</f>
        <v>46008</v>
      </c>
      <c r="F116" s="39" t="str">
        <f>VLOOKUP(B116,'[2]Month Total'!$B:$F,5,FALSE)</f>
        <v>Pull Material</v>
      </c>
      <c r="G116" s="9">
        <v>56739.87</v>
      </c>
      <c r="H116" s="10">
        <f t="shared" si="11"/>
        <v>57886.13</v>
      </c>
      <c r="I116" s="11">
        <v>114626</v>
      </c>
      <c r="J116" s="11">
        <v>56739.87</v>
      </c>
      <c r="K116" s="11">
        <f>IF(G116=0,J116-G116,0)</f>
        <v>0</v>
      </c>
      <c r="L116" s="11">
        <f t="shared" si="12"/>
        <v>0</v>
      </c>
      <c r="M116" s="41"/>
      <c r="N116" s="33"/>
    </row>
    <row r="117" spans="1:14" ht="16.5" thickTop="1" thickBot="1" x14ac:dyDescent="0.3">
      <c r="A117" s="5" t="s">
        <v>186</v>
      </c>
      <c r="B117" s="6">
        <v>87922</v>
      </c>
      <c r="C117" s="7" t="s">
        <v>57</v>
      </c>
      <c r="D117" s="39" t="s">
        <v>194</v>
      </c>
      <c r="E117" s="39">
        <f>VLOOKUP(B117,'[2]Month Total'!$B:$E,4,FALSE)</f>
        <v>46002</v>
      </c>
      <c r="F117" s="49">
        <v>46036</v>
      </c>
      <c r="G117" s="45">
        <v>0</v>
      </c>
      <c r="H117" s="58"/>
      <c r="I117" s="59"/>
      <c r="J117" s="11">
        <v>1472.13</v>
      </c>
      <c r="K117" s="11">
        <f>IF(G117=0,J117-G117,0)</f>
        <v>1472.13</v>
      </c>
      <c r="L117" s="11" t="str">
        <f t="shared" si="12"/>
        <v>Invoiced this Month</v>
      </c>
      <c r="M117" s="41"/>
      <c r="N117" s="33"/>
    </row>
    <row r="118" spans="1:14" ht="16.5" thickTop="1" thickBot="1" x14ac:dyDescent="0.3">
      <c r="A118" s="5" t="s">
        <v>137</v>
      </c>
      <c r="B118" s="6">
        <v>87399</v>
      </c>
      <c r="C118" s="7" t="s">
        <v>57</v>
      </c>
      <c r="D118" s="39">
        <v>45944</v>
      </c>
      <c r="E118" s="39">
        <f>VLOOKUP(B118,'[2]Month Total'!$B:$E,4,FALSE)</f>
        <v>45994</v>
      </c>
      <c r="F118" s="49">
        <v>46038</v>
      </c>
      <c r="G118" s="45">
        <v>0</v>
      </c>
      <c r="H118" s="58"/>
      <c r="I118" s="59"/>
      <c r="J118" s="11">
        <v>15570.72</v>
      </c>
      <c r="K118" s="11">
        <f>IF(G118=0,J118-G118,0)</f>
        <v>15570.72</v>
      </c>
      <c r="L118" s="11" t="str">
        <f t="shared" si="12"/>
        <v>Invoiced this Month</v>
      </c>
      <c r="M118" s="41"/>
      <c r="N118" s="33"/>
    </row>
    <row r="119" spans="1:14" ht="16.5" thickTop="1" thickBot="1" x14ac:dyDescent="0.3">
      <c r="A119" s="5" t="s">
        <v>154</v>
      </c>
      <c r="B119" s="6">
        <v>87007</v>
      </c>
      <c r="C119" s="7" t="s">
        <v>57</v>
      </c>
      <c r="D119" s="39">
        <v>45964</v>
      </c>
      <c r="E119" s="39">
        <f>VLOOKUP(B119,'[2]Month Total'!$B:$E,4,FALSE)</f>
        <v>46000</v>
      </c>
      <c r="F119" s="49">
        <v>46037</v>
      </c>
      <c r="G119" s="45">
        <v>0</v>
      </c>
      <c r="H119" s="58"/>
      <c r="I119" s="59"/>
      <c r="J119" s="11">
        <v>4888.62</v>
      </c>
      <c r="K119" s="11">
        <f>IF(G119=0,J119-G119,0)</f>
        <v>4888.62</v>
      </c>
      <c r="L119" s="11" t="str">
        <f t="shared" si="12"/>
        <v>Invoiced this Month</v>
      </c>
      <c r="M119" s="41"/>
      <c r="N119" s="33"/>
    </row>
    <row r="120" spans="1:14" ht="16.5" thickTop="1" thickBot="1" x14ac:dyDescent="0.3">
      <c r="A120" s="5" t="s">
        <v>263</v>
      </c>
      <c r="B120" s="6">
        <v>88892</v>
      </c>
      <c r="C120" s="7" t="s">
        <v>57</v>
      </c>
      <c r="D120" s="39" t="s">
        <v>268</v>
      </c>
      <c r="E120" s="39" t="s">
        <v>13</v>
      </c>
      <c r="F120" s="39" t="s">
        <v>13</v>
      </c>
      <c r="G120" s="9">
        <v>1058.31</v>
      </c>
      <c r="H120" s="10">
        <f t="shared" ref="H120:H142" si="15">I120-G120</f>
        <v>1079.69</v>
      </c>
      <c r="I120" s="11">
        <v>2138</v>
      </c>
      <c r="J120" s="11">
        <v>0</v>
      </c>
      <c r="K120" s="11"/>
      <c r="L120" s="11">
        <f t="shared" ref="L120:L151" si="16">IF(G120&gt;0,G120-J120,"Invoiced this Month")</f>
        <v>1058.31</v>
      </c>
      <c r="M120" s="41"/>
      <c r="N120" s="33"/>
    </row>
    <row r="121" spans="1:14" ht="16.5" thickTop="1" thickBot="1" x14ac:dyDescent="0.3">
      <c r="A121" s="5" t="s">
        <v>204</v>
      </c>
      <c r="B121" s="6">
        <v>88500</v>
      </c>
      <c r="C121" s="7" t="s">
        <v>57</v>
      </c>
      <c r="D121" s="39" t="s">
        <v>210</v>
      </c>
      <c r="E121" s="39">
        <v>46028</v>
      </c>
      <c r="F121" s="39" t="str">
        <f>VLOOKUP(B121,'[2]Month Total'!$B:$F,5,FALSE)</f>
        <v>Pre-Production</v>
      </c>
      <c r="G121" s="9">
        <v>1886</v>
      </c>
      <c r="H121" s="10">
        <f t="shared" si="15"/>
        <v>1885</v>
      </c>
      <c r="I121" s="11">
        <v>3771</v>
      </c>
      <c r="J121" s="11">
        <v>1886</v>
      </c>
      <c r="K121" s="11">
        <f t="shared" ref="K121:K128" si="17">IF(G121=0,J121-G121,0)</f>
        <v>0</v>
      </c>
      <c r="L121" s="11">
        <f t="shared" si="16"/>
        <v>0</v>
      </c>
      <c r="M121" s="41"/>
      <c r="N121" s="33"/>
    </row>
    <row r="122" spans="1:14" ht="16.5" thickTop="1" thickBot="1" x14ac:dyDescent="0.3">
      <c r="A122" s="5" t="s">
        <v>109</v>
      </c>
      <c r="B122" s="6">
        <v>86334</v>
      </c>
      <c r="C122" s="7" t="s">
        <v>23</v>
      </c>
      <c r="D122" s="39">
        <v>45890</v>
      </c>
      <c r="E122" s="39" t="str">
        <f>VLOOKUP(B122,'[2]Month Total'!$B:$E,4,FALSE)</f>
        <v>Pre-Production</v>
      </c>
      <c r="F122" s="39" t="str">
        <f>VLOOKUP(B122,'[2]Month Total'!$B:$F,5,FALSE)</f>
        <v>Pre-Production</v>
      </c>
      <c r="G122" s="9">
        <f>5145-51.45</f>
        <v>5093.55</v>
      </c>
      <c r="H122" s="10">
        <f t="shared" si="15"/>
        <v>5195.45</v>
      </c>
      <c r="I122" s="11">
        <v>10289</v>
      </c>
      <c r="J122" s="11">
        <v>5093.55</v>
      </c>
      <c r="K122" s="11">
        <f t="shared" si="17"/>
        <v>0</v>
      </c>
      <c r="L122" s="11">
        <f t="shared" si="16"/>
        <v>0</v>
      </c>
      <c r="M122" s="41"/>
      <c r="N122" s="33"/>
    </row>
    <row r="123" spans="1:14" ht="16.5" thickTop="1" thickBot="1" x14ac:dyDescent="0.3">
      <c r="A123" s="5" t="s">
        <v>185</v>
      </c>
      <c r="B123" s="6">
        <v>87980</v>
      </c>
      <c r="C123" s="7" t="s">
        <v>20</v>
      </c>
      <c r="D123" s="39" t="s">
        <v>194</v>
      </c>
      <c r="E123" s="39">
        <f>VLOOKUP(B123,'[2]Month Total'!$B:$E,4,FALSE)</f>
        <v>46003</v>
      </c>
      <c r="F123" s="49">
        <v>46051</v>
      </c>
      <c r="G123" s="45">
        <v>0</v>
      </c>
      <c r="H123" s="58"/>
      <c r="I123" s="59"/>
      <c r="J123" s="11">
        <v>16321.14</v>
      </c>
      <c r="K123" s="11">
        <f t="shared" si="17"/>
        <v>16321.14</v>
      </c>
      <c r="L123" s="11" t="str">
        <f t="shared" si="16"/>
        <v>Invoiced this Month</v>
      </c>
      <c r="M123" s="41"/>
      <c r="N123" s="33"/>
    </row>
    <row r="124" spans="1:14" ht="16.5" thickTop="1" thickBot="1" x14ac:dyDescent="0.3">
      <c r="A124" s="5" t="s">
        <v>191</v>
      </c>
      <c r="B124" s="6">
        <v>87232</v>
      </c>
      <c r="C124" s="7" t="s">
        <v>11</v>
      </c>
      <c r="D124" s="39" t="s">
        <v>196</v>
      </c>
      <c r="E124" s="39" t="str">
        <f>VLOOKUP(B124,'[2]Month Total'!$B:$E,4,FALSE)</f>
        <v>Pre-Production</v>
      </c>
      <c r="F124" s="39" t="str">
        <f>VLOOKUP(B124,'[2]Month Total'!$B:$F,5,FALSE)</f>
        <v>Pre-Production</v>
      </c>
      <c r="G124" s="9">
        <v>23575</v>
      </c>
      <c r="H124" s="10">
        <f t="shared" si="15"/>
        <v>26472</v>
      </c>
      <c r="I124" s="11">
        <v>50047</v>
      </c>
      <c r="J124" s="11">
        <v>23575</v>
      </c>
      <c r="K124" s="11">
        <f t="shared" si="17"/>
        <v>0</v>
      </c>
      <c r="L124" s="11">
        <f t="shared" si="16"/>
        <v>0</v>
      </c>
      <c r="M124" s="41"/>
      <c r="N124" s="33"/>
    </row>
    <row r="125" spans="1:14" ht="16.5" thickTop="1" thickBot="1" x14ac:dyDescent="0.3">
      <c r="A125" s="5" t="s">
        <v>110</v>
      </c>
      <c r="B125" s="6">
        <v>84075</v>
      </c>
      <c r="C125" s="7" t="s">
        <v>14</v>
      </c>
      <c r="D125" s="39">
        <v>45894</v>
      </c>
      <c r="E125" s="39">
        <v>46048</v>
      </c>
      <c r="F125" s="39" t="str">
        <f>VLOOKUP(B125,'[2]Month Total'!$B:$F,5,FALSE)</f>
        <v>Pre-Production</v>
      </c>
      <c r="G125" s="9">
        <v>13567</v>
      </c>
      <c r="H125" s="10">
        <f t="shared" si="15"/>
        <v>13566</v>
      </c>
      <c r="I125" s="11">
        <v>27133</v>
      </c>
      <c r="J125" s="11">
        <v>13567</v>
      </c>
      <c r="K125" s="11">
        <f t="shared" si="17"/>
        <v>0</v>
      </c>
      <c r="L125" s="11">
        <f t="shared" si="16"/>
        <v>0</v>
      </c>
      <c r="M125" s="41"/>
      <c r="N125" s="33"/>
    </row>
    <row r="126" spans="1:14" ht="16.5" thickTop="1" thickBot="1" x14ac:dyDescent="0.3">
      <c r="A126" s="5" t="s">
        <v>97</v>
      </c>
      <c r="B126" s="6">
        <v>84726</v>
      </c>
      <c r="C126" s="7" t="s">
        <v>14</v>
      </c>
      <c r="D126" s="39">
        <v>45845</v>
      </c>
      <c r="E126" s="39" t="str">
        <f>VLOOKUP(B126,'[2]Month Total'!$B:$E,4,FALSE)</f>
        <v>Pre-Production</v>
      </c>
      <c r="F126" s="39" t="str">
        <f>VLOOKUP(B126,'[2]Month Total'!$B:$F,5,FALSE)</f>
        <v>Pre-Production</v>
      </c>
      <c r="G126" s="9">
        <v>231351</v>
      </c>
      <c r="H126" s="10">
        <f t="shared" si="15"/>
        <v>231350</v>
      </c>
      <c r="I126" s="11">
        <v>462701</v>
      </c>
      <c r="J126" s="11">
        <v>231351</v>
      </c>
      <c r="K126" s="11">
        <f t="shared" si="17"/>
        <v>0</v>
      </c>
      <c r="L126" s="11">
        <f t="shared" si="16"/>
        <v>0</v>
      </c>
      <c r="M126" s="41"/>
      <c r="N126" s="33"/>
    </row>
    <row r="127" spans="1:14" ht="16.5" thickTop="1" thickBot="1" x14ac:dyDescent="0.3">
      <c r="A127" s="5" t="s">
        <v>96</v>
      </c>
      <c r="B127" s="6">
        <v>84719</v>
      </c>
      <c r="C127" s="7" t="s">
        <v>14</v>
      </c>
      <c r="D127" s="39">
        <v>45845</v>
      </c>
      <c r="E127" s="39" t="str">
        <f>VLOOKUP(B127,'[2]Month Total'!$B:$E,4,FALSE)</f>
        <v>Pre-Production</v>
      </c>
      <c r="F127" s="39" t="str">
        <f>VLOOKUP(B127,'[2]Month Total'!$B:$F,5,FALSE)</f>
        <v>Pre-Production</v>
      </c>
      <c r="G127" s="9">
        <v>416603</v>
      </c>
      <c r="H127" s="10">
        <f t="shared" si="15"/>
        <v>416602</v>
      </c>
      <c r="I127" s="11">
        <v>833205</v>
      </c>
      <c r="J127" s="11">
        <v>416603</v>
      </c>
      <c r="K127" s="11">
        <f t="shared" si="17"/>
        <v>0</v>
      </c>
      <c r="L127" s="11">
        <f t="shared" si="16"/>
        <v>0</v>
      </c>
      <c r="M127" s="41"/>
      <c r="N127" s="33"/>
    </row>
    <row r="128" spans="1:14" ht="16.5" thickTop="1" thickBot="1" x14ac:dyDescent="0.3">
      <c r="A128" s="12" t="s">
        <v>47</v>
      </c>
      <c r="B128" s="13">
        <v>79488</v>
      </c>
      <c r="C128" s="14" t="s">
        <v>28</v>
      </c>
      <c r="D128" s="15" t="s">
        <v>48</v>
      </c>
      <c r="E128" s="40">
        <f>VLOOKUP(B128,'[2]Month Total'!$B:$E,4,FALSE)</f>
        <v>46015</v>
      </c>
      <c r="F128" s="40" t="str">
        <f>VLOOKUP(B128,'[2]Month Total'!$B:$F,5,FALSE)</f>
        <v>Powder coat</v>
      </c>
      <c r="G128" s="16">
        <f>18017+5751</f>
        <v>23768</v>
      </c>
      <c r="H128" s="17">
        <f t="shared" si="15"/>
        <v>12266</v>
      </c>
      <c r="I128" s="18">
        <v>36034</v>
      </c>
      <c r="J128" s="18">
        <v>23768</v>
      </c>
      <c r="K128" s="18">
        <f t="shared" si="17"/>
        <v>0</v>
      </c>
      <c r="L128" s="18">
        <f t="shared" si="16"/>
        <v>0</v>
      </c>
      <c r="M128" s="41"/>
      <c r="N128" s="33"/>
    </row>
    <row r="129" spans="1:14" ht="16.5" thickTop="1" thickBot="1" x14ac:dyDescent="0.3">
      <c r="A129" s="5" t="s">
        <v>261</v>
      </c>
      <c r="B129" s="6">
        <v>88206</v>
      </c>
      <c r="C129" s="7" t="s">
        <v>14</v>
      </c>
      <c r="D129" s="39" t="s">
        <v>267</v>
      </c>
      <c r="E129" s="39" t="s">
        <v>13</v>
      </c>
      <c r="F129" s="39" t="s">
        <v>13</v>
      </c>
      <c r="G129" s="9">
        <v>42008</v>
      </c>
      <c r="H129" s="10">
        <f t="shared" si="15"/>
        <v>42008</v>
      </c>
      <c r="I129" s="11">
        <v>84016</v>
      </c>
      <c r="J129" s="11">
        <v>0</v>
      </c>
      <c r="K129" s="11"/>
      <c r="L129" s="11">
        <f t="shared" si="16"/>
        <v>42008</v>
      </c>
      <c r="M129" s="41"/>
      <c r="N129" s="33"/>
    </row>
    <row r="130" spans="1:14" ht="16.5" thickTop="1" thickBot="1" x14ac:dyDescent="0.3">
      <c r="A130" s="5" t="s">
        <v>83</v>
      </c>
      <c r="B130" s="6">
        <v>82562</v>
      </c>
      <c r="C130" s="7" t="s">
        <v>14</v>
      </c>
      <c r="D130" s="39">
        <v>45792</v>
      </c>
      <c r="E130" s="39">
        <f>VLOOKUP(B130,'[2]Month Total'!$B:$E,4,FALSE)</f>
        <v>46022</v>
      </c>
      <c r="F130" s="39" t="str">
        <f>VLOOKUP(B130,'[2]Month Total'!$B:$F,5,FALSE)</f>
        <v>Pull Material</v>
      </c>
      <c r="G130" s="9">
        <v>82502</v>
      </c>
      <c r="H130" s="10">
        <f t="shared" si="15"/>
        <v>79424</v>
      </c>
      <c r="I130" s="11">
        <v>161926</v>
      </c>
      <c r="J130" s="11">
        <v>82502</v>
      </c>
      <c r="K130" s="11">
        <f>IF(G130=0,J130-G130,0)</f>
        <v>0</v>
      </c>
      <c r="L130" s="11">
        <f t="shared" si="16"/>
        <v>0</v>
      </c>
      <c r="M130" s="41"/>
      <c r="N130" s="33"/>
    </row>
    <row r="131" spans="1:14" ht="16.5" thickTop="1" thickBot="1" x14ac:dyDescent="0.3">
      <c r="A131" s="5" t="s">
        <v>240</v>
      </c>
      <c r="B131" s="6">
        <v>86373</v>
      </c>
      <c r="C131" s="7" t="s">
        <v>39</v>
      </c>
      <c r="D131" s="39" t="s">
        <v>252</v>
      </c>
      <c r="E131" s="39" t="s">
        <v>13</v>
      </c>
      <c r="F131" s="39" t="s">
        <v>13</v>
      </c>
      <c r="G131" s="9">
        <v>12125</v>
      </c>
      <c r="H131" s="10">
        <f t="shared" si="15"/>
        <v>12125</v>
      </c>
      <c r="I131" s="11">
        <v>24250</v>
      </c>
      <c r="J131" s="11">
        <v>0</v>
      </c>
      <c r="K131" s="11"/>
      <c r="L131" s="11">
        <f t="shared" si="16"/>
        <v>12125</v>
      </c>
      <c r="M131" s="41"/>
      <c r="N131" s="33"/>
    </row>
    <row r="132" spans="1:14" ht="16.5" thickTop="1" thickBot="1" x14ac:dyDescent="0.3">
      <c r="A132" s="5" t="s">
        <v>233</v>
      </c>
      <c r="B132" s="6">
        <v>86089</v>
      </c>
      <c r="C132" s="7" t="s">
        <v>23</v>
      </c>
      <c r="D132" s="39" t="s">
        <v>248</v>
      </c>
      <c r="E132" s="39" t="s">
        <v>13</v>
      </c>
      <c r="F132" s="39" t="s">
        <v>13</v>
      </c>
      <c r="G132" s="9">
        <v>204790</v>
      </c>
      <c r="H132" s="10">
        <f t="shared" si="15"/>
        <v>624113</v>
      </c>
      <c r="I132" s="11">
        <v>828903</v>
      </c>
      <c r="J132" s="11">
        <v>0</v>
      </c>
      <c r="K132" s="11"/>
      <c r="L132" s="11">
        <f t="shared" si="16"/>
        <v>204790</v>
      </c>
      <c r="M132" s="41"/>
      <c r="N132" s="33"/>
    </row>
    <row r="133" spans="1:14" ht="16.5" thickTop="1" thickBot="1" x14ac:dyDescent="0.3">
      <c r="A133" s="5" t="s">
        <v>102</v>
      </c>
      <c r="B133" s="6">
        <v>85857</v>
      </c>
      <c r="C133" s="7" t="s">
        <v>14</v>
      </c>
      <c r="D133" s="39">
        <v>45873</v>
      </c>
      <c r="E133" s="39">
        <f>VLOOKUP(B133,'[2]Month Total'!$B:$E,4,FALSE)</f>
        <v>46008</v>
      </c>
      <c r="F133" s="39" t="str">
        <f>VLOOKUP(B133,'[2]Month Total'!$B:$F,5,FALSE)</f>
        <v xml:space="preserve">Assembly </v>
      </c>
      <c r="G133" s="9">
        <v>30415</v>
      </c>
      <c r="H133" s="10">
        <f t="shared" si="15"/>
        <v>30414</v>
      </c>
      <c r="I133" s="11">
        <v>60829</v>
      </c>
      <c r="J133" s="11">
        <v>30415</v>
      </c>
      <c r="K133" s="11">
        <f>IF(G133=0,J133-G133,0)</f>
        <v>0</v>
      </c>
      <c r="L133" s="11">
        <f t="shared" si="16"/>
        <v>0</v>
      </c>
      <c r="M133" s="41"/>
      <c r="N133" s="33"/>
    </row>
    <row r="134" spans="1:14" ht="16.5" thickTop="1" thickBot="1" x14ac:dyDescent="0.3">
      <c r="A134" s="5" t="s">
        <v>236</v>
      </c>
      <c r="B134" s="6">
        <v>88403</v>
      </c>
      <c r="C134" s="7" t="s">
        <v>255</v>
      </c>
      <c r="D134" s="39" t="s">
        <v>249</v>
      </c>
      <c r="E134" s="39" t="s">
        <v>13</v>
      </c>
      <c r="F134" s="39" t="s">
        <v>13</v>
      </c>
      <c r="G134" s="9">
        <v>8650</v>
      </c>
      <c r="H134" s="10">
        <f t="shared" si="15"/>
        <v>8650</v>
      </c>
      <c r="I134" s="11">
        <v>17300</v>
      </c>
      <c r="J134" s="11">
        <v>0</v>
      </c>
      <c r="K134" s="11"/>
      <c r="L134" s="11">
        <f t="shared" si="16"/>
        <v>8650</v>
      </c>
      <c r="M134" s="41"/>
      <c r="N134" s="33"/>
    </row>
    <row r="135" spans="1:14" ht="16.5" thickTop="1" thickBot="1" x14ac:dyDescent="0.3">
      <c r="A135" s="12" t="s">
        <v>49</v>
      </c>
      <c r="B135" s="13">
        <v>73738</v>
      </c>
      <c r="C135" s="14" t="s">
        <v>40</v>
      </c>
      <c r="D135" s="15" t="s">
        <v>50</v>
      </c>
      <c r="E135" s="40" t="str">
        <f>VLOOKUP(B135,'[2]Month Total'!$B:$E,4,FALSE)</f>
        <v>Pre-Production</v>
      </c>
      <c r="F135" s="40" t="str">
        <f>VLOOKUP(B135,'[2]Month Total'!$B:$F,5,FALSE)</f>
        <v>Pre-Production</v>
      </c>
      <c r="G135" s="16">
        <v>30878</v>
      </c>
      <c r="H135" s="17">
        <f t="shared" si="15"/>
        <v>28163</v>
      </c>
      <c r="I135" s="18">
        <v>59041</v>
      </c>
      <c r="J135" s="18">
        <v>5000</v>
      </c>
      <c r="K135" s="18">
        <f>IF(G135=0,J135-G135,0)</f>
        <v>0</v>
      </c>
      <c r="L135" s="18">
        <f t="shared" si="16"/>
        <v>25878</v>
      </c>
      <c r="M135" s="41"/>
      <c r="N135" s="33"/>
    </row>
    <row r="136" spans="1:14" ht="16.5" thickTop="1" thickBot="1" x14ac:dyDescent="0.3">
      <c r="A136" s="5" t="s">
        <v>94</v>
      </c>
      <c r="B136" s="6">
        <v>85860</v>
      </c>
      <c r="C136" s="7" t="s">
        <v>38</v>
      </c>
      <c r="D136" s="39">
        <v>45826</v>
      </c>
      <c r="E136" s="39" t="str">
        <f>VLOOKUP(B136,'[2]Month Total'!$B:$E,4,FALSE)</f>
        <v>Pre-Production</v>
      </c>
      <c r="F136" s="39" t="str">
        <f>VLOOKUP(B136,'[2]Month Total'!$B:$F,5,FALSE)</f>
        <v>Pre-Production</v>
      </c>
      <c r="G136" s="9">
        <v>68221</v>
      </c>
      <c r="H136" s="10">
        <f t="shared" si="15"/>
        <v>75946</v>
      </c>
      <c r="I136" s="11">
        <v>144167</v>
      </c>
      <c r="J136" s="11">
        <v>68221</v>
      </c>
      <c r="K136" s="11">
        <f>IF(G136=0,J136-G136,0)</f>
        <v>0</v>
      </c>
      <c r="L136" s="11">
        <f t="shared" si="16"/>
        <v>0</v>
      </c>
      <c r="M136" s="41"/>
      <c r="N136" s="33"/>
    </row>
    <row r="137" spans="1:14" ht="16.5" thickTop="1" thickBot="1" x14ac:dyDescent="0.3">
      <c r="A137" s="5" t="s">
        <v>190</v>
      </c>
      <c r="B137" s="6">
        <v>84246</v>
      </c>
      <c r="C137" s="7" t="s">
        <v>21</v>
      </c>
      <c r="D137" s="39" t="s">
        <v>195</v>
      </c>
      <c r="E137" s="39" t="str">
        <f>VLOOKUP(B137,'[2]Month Total'!$B:$E,4,FALSE)</f>
        <v>Pre-Production</v>
      </c>
      <c r="F137" s="39" t="str">
        <f>VLOOKUP(B137,'[2]Month Total'!$B:$F,5,FALSE)</f>
        <v>Pre-Production</v>
      </c>
      <c r="G137" s="9">
        <v>17115</v>
      </c>
      <c r="H137" s="10">
        <f t="shared" si="15"/>
        <v>17115</v>
      </c>
      <c r="I137" s="11">
        <v>34230</v>
      </c>
      <c r="J137" s="11">
        <v>17115</v>
      </c>
      <c r="K137" s="11">
        <f>IF(G137=0,J137-G137,0)</f>
        <v>0</v>
      </c>
      <c r="L137" s="11">
        <f t="shared" si="16"/>
        <v>0</v>
      </c>
      <c r="M137" s="41"/>
      <c r="N137" s="33"/>
    </row>
    <row r="138" spans="1:14" ht="16.5" thickTop="1" thickBot="1" x14ac:dyDescent="0.3">
      <c r="A138" s="5" t="s">
        <v>260</v>
      </c>
      <c r="B138" s="6">
        <v>88889</v>
      </c>
      <c r="C138" s="7" t="s">
        <v>11</v>
      </c>
      <c r="D138" s="39" t="s">
        <v>267</v>
      </c>
      <c r="E138" s="39" t="s">
        <v>13</v>
      </c>
      <c r="F138" s="39" t="s">
        <v>13</v>
      </c>
      <c r="G138" s="9">
        <v>4060</v>
      </c>
      <c r="H138" s="10">
        <f t="shared" si="15"/>
        <v>4060</v>
      </c>
      <c r="I138" s="11">
        <v>8120</v>
      </c>
      <c r="J138" s="11">
        <v>0</v>
      </c>
      <c r="K138" s="11"/>
      <c r="L138" s="11">
        <f t="shared" si="16"/>
        <v>4060</v>
      </c>
      <c r="M138" s="41"/>
      <c r="N138" s="33"/>
    </row>
    <row r="139" spans="1:14" ht="16.5" thickTop="1" thickBot="1" x14ac:dyDescent="0.3">
      <c r="A139" s="5" t="s">
        <v>100</v>
      </c>
      <c r="B139" s="6">
        <v>84221</v>
      </c>
      <c r="C139" s="7" t="s">
        <v>58</v>
      </c>
      <c r="D139" s="39">
        <v>45863</v>
      </c>
      <c r="E139" s="39" t="str">
        <f>VLOOKUP(B139,'[2]Month Total'!$B:$E,4,FALSE)</f>
        <v>Pre-Production</v>
      </c>
      <c r="F139" s="39" t="str">
        <f>VLOOKUP(B139,'[2]Month Total'!$B:$F,5,FALSE)</f>
        <v>Pre-Production</v>
      </c>
      <c r="G139" s="9">
        <v>68175</v>
      </c>
      <c r="H139" s="10">
        <f t="shared" si="15"/>
        <v>204522</v>
      </c>
      <c r="I139" s="11">
        <v>272697</v>
      </c>
      <c r="J139" s="11">
        <v>68175</v>
      </c>
      <c r="K139" s="11">
        <f>IF(G139=0,J139-G139,0)</f>
        <v>0</v>
      </c>
      <c r="L139" s="11">
        <f t="shared" si="16"/>
        <v>0</v>
      </c>
      <c r="M139" s="41"/>
      <c r="N139" s="33"/>
    </row>
    <row r="140" spans="1:14" ht="16.5" thickTop="1" thickBot="1" x14ac:dyDescent="0.3">
      <c r="A140" s="5" t="s">
        <v>232</v>
      </c>
      <c r="B140" s="6">
        <v>88448</v>
      </c>
      <c r="C140" s="7" t="s">
        <v>21</v>
      </c>
      <c r="D140" s="39" t="s">
        <v>247</v>
      </c>
      <c r="E140" s="39" t="s">
        <v>13</v>
      </c>
      <c r="F140" s="39" t="s">
        <v>13</v>
      </c>
      <c r="G140" s="9">
        <v>37830</v>
      </c>
      <c r="H140" s="10">
        <f t="shared" si="15"/>
        <v>42288</v>
      </c>
      <c r="I140" s="11">
        <v>80118</v>
      </c>
      <c r="J140" s="11">
        <v>0</v>
      </c>
      <c r="K140" s="11"/>
      <c r="L140" s="11">
        <f t="shared" si="16"/>
        <v>37830</v>
      </c>
      <c r="M140" s="41"/>
      <c r="N140" s="33"/>
    </row>
    <row r="141" spans="1:14" ht="16.5" thickTop="1" thickBot="1" x14ac:dyDescent="0.3">
      <c r="A141" s="5" t="s">
        <v>51</v>
      </c>
      <c r="B141" s="6">
        <v>75028</v>
      </c>
      <c r="C141" s="7" t="s">
        <v>45</v>
      </c>
      <c r="D141" s="8" t="s">
        <v>22</v>
      </c>
      <c r="E141" s="39">
        <f>VLOOKUP(B141,'[2]Month Total'!$B:$E,4,FALSE)</f>
        <v>46001</v>
      </c>
      <c r="F141" s="49">
        <v>46041</v>
      </c>
      <c r="G141" s="45">
        <v>0</v>
      </c>
      <c r="H141" s="58"/>
      <c r="I141" s="59"/>
      <c r="J141" s="11">
        <v>255401</v>
      </c>
      <c r="K141" s="11">
        <f>IF(G141=0,J141-G141,0)</f>
        <v>255401</v>
      </c>
      <c r="L141" s="11" t="str">
        <f t="shared" si="16"/>
        <v>Invoiced this Month</v>
      </c>
      <c r="M141" s="41"/>
      <c r="N141" s="33"/>
    </row>
    <row r="142" spans="1:14" ht="16.5" thickTop="1" thickBot="1" x14ac:dyDescent="0.3">
      <c r="A142" s="5" t="s">
        <v>228</v>
      </c>
      <c r="B142" s="6">
        <v>83501</v>
      </c>
      <c r="C142" s="7" t="s">
        <v>27</v>
      </c>
      <c r="D142" s="39" t="s">
        <v>244</v>
      </c>
      <c r="E142" s="39" t="s">
        <v>13</v>
      </c>
      <c r="F142" s="39" t="s">
        <v>13</v>
      </c>
      <c r="G142" s="9">
        <v>17221</v>
      </c>
      <c r="H142" s="10">
        <f t="shared" si="15"/>
        <v>17220</v>
      </c>
      <c r="I142" s="11">
        <v>34441</v>
      </c>
      <c r="J142" s="11">
        <v>0</v>
      </c>
      <c r="K142" s="11"/>
      <c r="L142" s="11">
        <f t="shared" si="16"/>
        <v>17221</v>
      </c>
      <c r="M142" s="41"/>
      <c r="N142" s="33"/>
    </row>
    <row r="143" spans="1:14" ht="16.5" thickTop="1" thickBot="1" x14ac:dyDescent="0.3">
      <c r="A143" s="5" t="s">
        <v>111</v>
      </c>
      <c r="B143" s="6">
        <v>82413</v>
      </c>
      <c r="C143" s="7" t="s">
        <v>27</v>
      </c>
      <c r="D143" s="39" t="s">
        <v>113</v>
      </c>
      <c r="E143" s="39" t="str">
        <f>VLOOKUP(B143,'[2]Month Total'!$B:$E,4,FALSE)</f>
        <v>Pre-Production</v>
      </c>
      <c r="F143" s="39" t="str">
        <f>VLOOKUP(B143,'[2]Month Total'!$B:$F,5,FALSE)</f>
        <v>Pre-Production</v>
      </c>
      <c r="G143" s="9">
        <v>16601</v>
      </c>
      <c r="H143" s="10">
        <f>35982.68-16601</f>
        <v>19381.68</v>
      </c>
      <c r="I143" s="11">
        <f>G143+H143</f>
        <v>35982.68</v>
      </c>
      <c r="J143" s="11">
        <v>16601</v>
      </c>
      <c r="K143" s="11">
        <f t="shared" ref="K143:K151" si="18">IF(G143=0,J143-G143,0)</f>
        <v>0</v>
      </c>
      <c r="L143" s="11">
        <f t="shared" si="16"/>
        <v>0</v>
      </c>
      <c r="M143" s="41"/>
      <c r="N143" s="33"/>
    </row>
    <row r="144" spans="1:14" ht="16.5" thickTop="1" thickBot="1" x14ac:dyDescent="0.3">
      <c r="A144" s="5" t="s">
        <v>116</v>
      </c>
      <c r="B144" s="6">
        <v>86496</v>
      </c>
      <c r="C144" s="7" t="s">
        <v>62</v>
      </c>
      <c r="D144" s="39">
        <v>45903</v>
      </c>
      <c r="E144" s="39" t="str">
        <f>VLOOKUP(B144,'[2]Month Total'!$B:$E,4,FALSE)</f>
        <v>Pre-Production</v>
      </c>
      <c r="F144" s="39" t="str">
        <f>VLOOKUP(B144,'[2]Month Total'!$B:$F,5,FALSE)</f>
        <v>Pre-Production</v>
      </c>
      <c r="G144" s="9">
        <v>52666</v>
      </c>
      <c r="H144" s="10">
        <f t="shared" ref="H144:H151" si="19">I144-G144</f>
        <v>19881</v>
      </c>
      <c r="I144" s="11">
        <v>72547</v>
      </c>
      <c r="J144" s="11">
        <v>5641</v>
      </c>
      <c r="K144" s="11">
        <f t="shared" si="18"/>
        <v>0</v>
      </c>
      <c r="L144" s="11">
        <f t="shared" si="16"/>
        <v>47025</v>
      </c>
      <c r="M144" s="38"/>
      <c r="N144" s="33"/>
    </row>
    <row r="145" spans="1:14" ht="16.5" thickTop="1" thickBot="1" x14ac:dyDescent="0.3">
      <c r="A145" s="5" t="s">
        <v>207</v>
      </c>
      <c r="B145" s="6">
        <v>88423</v>
      </c>
      <c r="C145" s="7" t="s">
        <v>32</v>
      </c>
      <c r="D145" s="39" t="s">
        <v>211</v>
      </c>
      <c r="E145" s="39" t="str">
        <f>VLOOKUP(B145,'[2]Month Total'!$B:$E,4,FALSE)</f>
        <v>Pre-Production</v>
      </c>
      <c r="F145" s="39" t="str">
        <f>VLOOKUP(B145,'[2]Month Total'!$B:$F,5,FALSE)</f>
        <v>Pre-Production</v>
      </c>
      <c r="G145" s="9">
        <v>9886</v>
      </c>
      <c r="H145" s="10">
        <f t="shared" si="19"/>
        <v>9886</v>
      </c>
      <c r="I145" s="11">
        <v>19772</v>
      </c>
      <c r="J145" s="11">
        <v>9886</v>
      </c>
      <c r="K145" s="11">
        <f t="shared" si="18"/>
        <v>0</v>
      </c>
      <c r="L145" s="11">
        <f t="shared" si="16"/>
        <v>0</v>
      </c>
      <c r="M145" s="41"/>
      <c r="N145" s="33"/>
    </row>
    <row r="146" spans="1:14" ht="16.5" thickTop="1" thickBot="1" x14ac:dyDescent="0.3">
      <c r="A146" s="5" t="s">
        <v>74</v>
      </c>
      <c r="B146" s="6">
        <v>84638</v>
      </c>
      <c r="C146" s="7" t="s">
        <v>32</v>
      </c>
      <c r="D146" s="8" t="s">
        <v>73</v>
      </c>
      <c r="E146" s="39">
        <f>VLOOKUP(B146,'[2]Month Total'!$B:$E,4,FALSE)</f>
        <v>46001</v>
      </c>
      <c r="F146" s="39" t="str">
        <f>VLOOKUP(B146,'[2]Month Total'!$B:$F,5,FALSE)</f>
        <v>Powder coat</v>
      </c>
      <c r="G146" s="9">
        <f>112123+21466</f>
        <v>133589</v>
      </c>
      <c r="H146" s="10">
        <f t="shared" si="19"/>
        <v>90657</v>
      </c>
      <c r="I146" s="11">
        <v>224246</v>
      </c>
      <c r="J146" s="11">
        <v>133589</v>
      </c>
      <c r="K146" s="11">
        <f t="shared" si="18"/>
        <v>0</v>
      </c>
      <c r="L146" s="11">
        <f t="shared" si="16"/>
        <v>0</v>
      </c>
      <c r="M146" s="41"/>
      <c r="N146" s="33"/>
    </row>
    <row r="147" spans="1:14" ht="16.5" thickTop="1" thickBot="1" x14ac:dyDescent="0.3">
      <c r="A147" s="5" t="s">
        <v>125</v>
      </c>
      <c r="B147" s="6">
        <v>86988</v>
      </c>
      <c r="C147" s="7" t="s">
        <v>32</v>
      </c>
      <c r="D147" s="39" t="s">
        <v>128</v>
      </c>
      <c r="E147" s="39" t="str">
        <f>VLOOKUP(B147,'[2]Month Total'!$B:$E,4,FALSE)</f>
        <v>Pre-Production</v>
      </c>
      <c r="F147" s="39" t="str">
        <f>VLOOKUP(B147,'[2]Month Total'!$B:$F,5,FALSE)</f>
        <v>Pre-Production</v>
      </c>
      <c r="G147" s="9">
        <v>61093</v>
      </c>
      <c r="H147" s="10">
        <f t="shared" si="19"/>
        <v>61093</v>
      </c>
      <c r="I147" s="11">
        <v>122186</v>
      </c>
      <c r="J147" s="11">
        <v>61093</v>
      </c>
      <c r="K147" s="11">
        <f t="shared" si="18"/>
        <v>0</v>
      </c>
      <c r="L147" s="11">
        <f t="shared" si="16"/>
        <v>0</v>
      </c>
      <c r="N147" s="33"/>
    </row>
    <row r="148" spans="1:14" ht="16.5" thickTop="1" thickBot="1" x14ac:dyDescent="0.3">
      <c r="A148" s="5" t="s">
        <v>131</v>
      </c>
      <c r="B148" s="6">
        <v>87254</v>
      </c>
      <c r="C148" s="7" t="s">
        <v>19</v>
      </c>
      <c r="D148" s="39">
        <v>45932</v>
      </c>
      <c r="E148" s="39">
        <f>VLOOKUP(B148,'[2]Month Total'!$B:$E,4,FALSE)</f>
        <v>45980</v>
      </c>
      <c r="F148" s="39" t="str">
        <f>VLOOKUP(B148,'[2]Month Total'!$B:$F,5,FALSE)</f>
        <v>CNC</v>
      </c>
      <c r="G148" s="9">
        <v>29345</v>
      </c>
      <c r="H148" s="10">
        <f t="shared" si="19"/>
        <v>29345</v>
      </c>
      <c r="I148" s="11">
        <v>58690</v>
      </c>
      <c r="J148" s="11">
        <v>29345</v>
      </c>
      <c r="K148" s="11">
        <f t="shared" si="18"/>
        <v>0</v>
      </c>
      <c r="L148" s="11">
        <f t="shared" si="16"/>
        <v>0</v>
      </c>
      <c r="M148" s="41"/>
      <c r="N148" s="33"/>
    </row>
    <row r="149" spans="1:14" ht="16.5" thickTop="1" thickBot="1" x14ac:dyDescent="0.3">
      <c r="A149" s="5" t="s">
        <v>52</v>
      </c>
      <c r="B149" s="6">
        <v>80868</v>
      </c>
      <c r="C149" s="7" t="s">
        <v>19</v>
      </c>
      <c r="D149" s="8" t="s">
        <v>12</v>
      </c>
      <c r="E149" s="39" t="s">
        <v>130</v>
      </c>
      <c r="F149" s="49">
        <v>46045</v>
      </c>
      <c r="G149" s="45">
        <v>0</v>
      </c>
      <c r="H149" s="58"/>
      <c r="I149" s="59"/>
      <c r="J149" s="11">
        <v>84654</v>
      </c>
      <c r="K149" s="11">
        <f t="shared" si="18"/>
        <v>84654</v>
      </c>
      <c r="L149" s="11" t="str">
        <f t="shared" si="16"/>
        <v>Invoiced this Month</v>
      </c>
      <c r="M149" s="41"/>
      <c r="N149" s="33"/>
    </row>
    <row r="150" spans="1:14" ht="16.5" thickTop="1" thickBot="1" x14ac:dyDescent="0.3">
      <c r="A150" s="5" t="s">
        <v>84</v>
      </c>
      <c r="B150" s="6">
        <v>84816</v>
      </c>
      <c r="C150" s="7" t="s">
        <v>19</v>
      </c>
      <c r="D150" s="39">
        <v>45799</v>
      </c>
      <c r="E150" s="39" t="str">
        <f>VLOOKUP(B150,'[2]Month Total'!$B:$E,4,FALSE)</f>
        <v>Pre-Production</v>
      </c>
      <c r="F150" s="39" t="str">
        <f>VLOOKUP(B150,'[2]Month Total'!$B:$F,5,FALSE)</f>
        <v>Pre-Production</v>
      </c>
      <c r="G150" s="9">
        <v>26193</v>
      </c>
      <c r="H150" s="10">
        <f t="shared" si="19"/>
        <v>26193</v>
      </c>
      <c r="I150" s="11">
        <v>52386</v>
      </c>
      <c r="J150" s="11">
        <v>26193</v>
      </c>
      <c r="K150" s="11">
        <f t="shared" si="18"/>
        <v>0</v>
      </c>
      <c r="L150" s="11">
        <f t="shared" si="16"/>
        <v>0</v>
      </c>
      <c r="M150" s="41"/>
      <c r="N150" s="33"/>
    </row>
    <row r="151" spans="1:14" ht="16.5" thickTop="1" thickBot="1" x14ac:dyDescent="0.3">
      <c r="A151" s="5" t="s">
        <v>139</v>
      </c>
      <c r="B151" s="6">
        <v>87067</v>
      </c>
      <c r="C151" s="7" t="s">
        <v>29</v>
      </c>
      <c r="D151" s="39">
        <v>45947</v>
      </c>
      <c r="E151" s="39">
        <f>VLOOKUP(B151,'[2]Month Total'!$B:$E,4,FALSE)</f>
        <v>46014</v>
      </c>
      <c r="F151" s="39" t="str">
        <f>VLOOKUP(B151,'[2]Month Total'!$B:$F,5,FALSE)</f>
        <v>Powder coat</v>
      </c>
      <c r="G151" s="9">
        <v>10217</v>
      </c>
      <c r="H151" s="10">
        <f t="shared" si="19"/>
        <v>10217</v>
      </c>
      <c r="I151" s="11">
        <v>20434</v>
      </c>
      <c r="J151" s="11">
        <v>10217</v>
      </c>
      <c r="K151" s="11">
        <f t="shared" si="18"/>
        <v>0</v>
      </c>
      <c r="L151" s="11">
        <f t="shared" si="16"/>
        <v>0</v>
      </c>
      <c r="M151" s="41"/>
      <c r="N151" s="33"/>
    </row>
    <row r="152" spans="1:14" ht="16.5" thickTop="1" thickBot="1" x14ac:dyDescent="0.3">
      <c r="A152" s="5"/>
      <c r="B152" s="6"/>
      <c r="C152" s="7"/>
      <c r="D152" s="39"/>
      <c r="E152" s="39"/>
      <c r="F152" s="39"/>
      <c r="G152" s="9"/>
      <c r="H152" s="10"/>
      <c r="I152" s="11"/>
      <c r="J152" s="11"/>
      <c r="K152" s="11"/>
      <c r="L152" s="11"/>
      <c r="M152" s="41"/>
      <c r="N152" s="33"/>
    </row>
    <row r="153" spans="1:14" ht="16.5" thickTop="1" thickBot="1" x14ac:dyDescent="0.3">
      <c r="A153" s="5"/>
      <c r="B153" s="6"/>
      <c r="C153" s="7"/>
      <c r="D153" s="39"/>
      <c r="E153" s="39"/>
      <c r="F153" s="39"/>
      <c r="G153" s="9"/>
      <c r="H153" s="10"/>
      <c r="I153" s="11"/>
      <c r="J153" s="11"/>
      <c r="K153" s="11"/>
      <c r="L153" s="11"/>
    </row>
    <row r="154" spans="1:14" ht="16.5" thickTop="1" thickBot="1" x14ac:dyDescent="0.3">
      <c r="A154" s="22" t="s">
        <v>221</v>
      </c>
      <c r="B154" s="23"/>
      <c r="C154" s="24" t="s">
        <v>115</v>
      </c>
      <c r="D154" s="25" t="s">
        <v>53</v>
      </c>
      <c r="E154" s="26"/>
      <c r="F154" s="27"/>
      <c r="G154" s="28">
        <f>SUM(G2:G152)</f>
        <v>5557056.5299999993</v>
      </c>
      <c r="H154" s="28">
        <f>SUM(H2:H152)</f>
        <v>6615569.4399999995</v>
      </c>
      <c r="I154" s="28">
        <f>SUM(I2:I152)</f>
        <v>12172625.970000001</v>
      </c>
      <c r="J154" s="28">
        <f>SUM(J2:J152)</f>
        <v>5817345.9299999997</v>
      </c>
      <c r="K154" s="28">
        <f>SUM(K2:K123)</f>
        <v>900385.61</v>
      </c>
      <c r="L154" s="28">
        <f>SUM(L2:L153)</f>
        <v>944977.44000000006</v>
      </c>
    </row>
    <row r="155" spans="1:14" ht="15.75" thickTop="1" x14ac:dyDescent="0.25">
      <c r="J155" s="33"/>
    </row>
    <row r="156" spans="1:14" x14ac:dyDescent="0.25">
      <c r="D156" s="30" t="s">
        <v>63</v>
      </c>
      <c r="F156" s="35" t="s">
        <v>220</v>
      </c>
      <c r="G156" s="36"/>
      <c r="J156" s="33"/>
      <c r="L156" s="33"/>
    </row>
    <row r="158" spans="1:14" x14ac:dyDescent="0.25">
      <c r="F158" s="35" t="s">
        <v>54</v>
      </c>
      <c r="G158" s="36">
        <f>G154-G156</f>
        <v>5557056.5299999993</v>
      </c>
      <c r="H158" s="33">
        <f>J154+L154-K154-G158</f>
        <v>304881.23000000045</v>
      </c>
      <c r="I158" s="38">
        <f>G154</f>
        <v>5557056.5299999993</v>
      </c>
    </row>
    <row r="159" spans="1:14" x14ac:dyDescent="0.25">
      <c r="I159" s="38">
        <f>-5557056.53</f>
        <v>-5557056.5300000003</v>
      </c>
      <c r="J159" t="s">
        <v>55</v>
      </c>
      <c r="K159" s="34" t="s">
        <v>85</v>
      </c>
    </row>
    <row r="160" spans="1:14" x14ac:dyDescent="0.25">
      <c r="F160" s="31" t="s">
        <v>56</v>
      </c>
      <c r="G160" s="32">
        <f>G158+I159</f>
        <v>0</v>
      </c>
    </row>
    <row r="161" spans="5:10" x14ac:dyDescent="0.25">
      <c r="E161">
        <v>50</v>
      </c>
      <c r="I161" s="37">
        <f>I158++I159</f>
        <v>0</v>
      </c>
      <c r="J161" t="s">
        <v>257</v>
      </c>
    </row>
  </sheetData>
  <autoFilter ref="A1:N151" xr:uid="{214646C9-B2A6-4C79-BD2F-B4A39DF1EDF4}"/>
  <sortState xmlns:xlrd2="http://schemas.microsoft.com/office/spreadsheetml/2017/richdata2" ref="A2:N151">
    <sortCondition ref="A2:A151"/>
  </sortState>
  <conditionalFormatting sqref="A48:A49">
    <cfRule type="duplicateValues" dxfId="2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052D-CC0E-40C2-B1C9-215CDC04425D}">
  <dimension ref="A1:N186"/>
  <sheetViews>
    <sheetView topLeftCell="A159" workbookViewId="0">
      <selection activeCell="B67" sqref="B67"/>
    </sheetView>
  </sheetViews>
  <sheetFormatPr defaultRowHeight="15" x14ac:dyDescent="0.25"/>
  <cols>
    <col min="1" max="1" width="75.28515625" customWidth="1"/>
    <col min="2" max="2" width="13.28515625" style="29" customWidth="1"/>
    <col min="3" max="3" width="11.28515625" customWidth="1"/>
    <col min="4" max="4" width="13.28515625" style="30" customWidth="1"/>
    <col min="5" max="5" width="19.140625" customWidth="1"/>
    <col min="6" max="6" width="32.85546875" style="31" customWidth="1"/>
    <col min="7" max="7" width="16" style="32" customWidth="1"/>
    <col min="8" max="8" width="17.5703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3" max="13" width="11.5703125" bestFit="1" customWidth="1"/>
    <col min="14" max="14" width="28.5703125" bestFit="1" customWidth="1"/>
  </cols>
  <sheetData>
    <row r="1" spans="1:14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4" ht="16.5" thickTop="1" thickBot="1" x14ac:dyDescent="0.3">
      <c r="A2" s="5" t="s">
        <v>318</v>
      </c>
      <c r="B2" s="6">
        <v>87616</v>
      </c>
      <c r="C2" s="7" t="s">
        <v>15</v>
      </c>
      <c r="D2" s="39" t="s">
        <v>315</v>
      </c>
      <c r="E2" s="39" t="s">
        <v>13</v>
      </c>
      <c r="F2" s="39" t="s">
        <v>13</v>
      </c>
      <c r="G2" s="9">
        <v>35586</v>
      </c>
      <c r="H2" s="10">
        <f>I2-G2</f>
        <v>9375</v>
      </c>
      <c r="I2" s="11">
        <v>44961</v>
      </c>
      <c r="J2" s="11">
        <v>0</v>
      </c>
      <c r="K2" s="11">
        <f t="shared" ref="K2:K17" si="0">IF(G2=0,J2-G2,0)</f>
        <v>0</v>
      </c>
      <c r="L2" s="11">
        <f t="shared" ref="L2:L33" si="1">IF(G2&gt;0,G2-J2,"Invoiced this Month")</f>
        <v>35586</v>
      </c>
      <c r="M2" s="41"/>
      <c r="N2" s="33"/>
    </row>
    <row r="3" spans="1:14" ht="16.5" thickTop="1" thickBot="1" x14ac:dyDescent="0.3">
      <c r="A3" s="5" t="s">
        <v>136</v>
      </c>
      <c r="B3" s="6">
        <v>84541</v>
      </c>
      <c r="C3" s="7" t="s">
        <v>15</v>
      </c>
      <c r="D3" s="39">
        <v>45943</v>
      </c>
      <c r="E3" s="39" t="s">
        <v>13</v>
      </c>
      <c r="F3" s="39" t="s">
        <v>13</v>
      </c>
      <c r="G3" s="9">
        <v>10262</v>
      </c>
      <c r="H3" s="10">
        <f>I3-G3</f>
        <v>10261</v>
      </c>
      <c r="I3" s="11">
        <v>20523</v>
      </c>
      <c r="J3" s="11">
        <f>VLOOKUP(A3,'Feb 26'!A:G,7,FALSE)</f>
        <v>10262</v>
      </c>
      <c r="K3" s="11">
        <f t="shared" si="0"/>
        <v>0</v>
      </c>
      <c r="L3" s="11">
        <f t="shared" si="1"/>
        <v>0</v>
      </c>
      <c r="M3" s="41"/>
      <c r="N3" s="33"/>
    </row>
    <row r="4" spans="1:14" ht="16.5" thickTop="1" thickBot="1" x14ac:dyDescent="0.3">
      <c r="A4" s="5" t="s">
        <v>189</v>
      </c>
      <c r="B4" s="6">
        <v>87185</v>
      </c>
      <c r="C4" s="7" t="s">
        <v>21</v>
      </c>
      <c r="D4" s="39" t="s">
        <v>195</v>
      </c>
      <c r="E4" s="39" t="s">
        <v>13</v>
      </c>
      <c r="F4" s="39" t="s">
        <v>13</v>
      </c>
      <c r="G4" s="9">
        <v>31515</v>
      </c>
      <c r="H4" s="10">
        <f>I4-G4</f>
        <v>31514</v>
      </c>
      <c r="I4" s="11">
        <v>63029</v>
      </c>
      <c r="J4" s="11">
        <f>VLOOKUP(A4,'Jan 26'!A:G,7,FALSE)</f>
        <v>31515</v>
      </c>
      <c r="K4" s="11">
        <f t="shared" si="0"/>
        <v>0</v>
      </c>
      <c r="L4" s="11">
        <f t="shared" si="1"/>
        <v>0</v>
      </c>
      <c r="M4" s="41"/>
      <c r="N4" s="33"/>
    </row>
    <row r="5" spans="1:14" ht="16.5" thickTop="1" thickBot="1" x14ac:dyDescent="0.3">
      <c r="A5" s="5" t="s">
        <v>61</v>
      </c>
      <c r="B5" s="6">
        <v>78377</v>
      </c>
      <c r="C5" s="7" t="s">
        <v>62</v>
      </c>
      <c r="D5" s="8" t="s">
        <v>60</v>
      </c>
      <c r="E5" s="39">
        <v>46007</v>
      </c>
      <c r="F5" s="39" t="s">
        <v>349</v>
      </c>
      <c r="G5" s="9">
        <v>342623.5</v>
      </c>
      <c r="H5" s="10">
        <f>I5-G5</f>
        <v>342623.5</v>
      </c>
      <c r="I5" s="11">
        <v>685247</v>
      </c>
      <c r="J5" s="11">
        <f>VLOOKUP(A5,'Jan 26'!A:G,7,FALSE)</f>
        <v>342623.5</v>
      </c>
      <c r="K5" s="11">
        <f t="shared" si="0"/>
        <v>0</v>
      </c>
      <c r="L5" s="11">
        <f t="shared" si="1"/>
        <v>0</v>
      </c>
      <c r="N5" s="33"/>
    </row>
    <row r="6" spans="1:14" ht="16.5" thickTop="1" thickBot="1" x14ac:dyDescent="0.3">
      <c r="A6" s="5" t="s">
        <v>143</v>
      </c>
      <c r="B6" s="6">
        <v>86050</v>
      </c>
      <c r="C6" s="7" t="s">
        <v>62</v>
      </c>
      <c r="D6" s="39">
        <v>45954</v>
      </c>
      <c r="E6" s="39">
        <v>46030</v>
      </c>
      <c r="F6" s="49">
        <v>46072</v>
      </c>
      <c r="G6" s="45">
        <v>0</v>
      </c>
      <c r="H6" s="58"/>
      <c r="I6" s="59"/>
      <c r="J6" s="11">
        <f>VLOOKUP(A6,'Jan 26'!A:G,7,FALSE)</f>
        <v>68086</v>
      </c>
      <c r="K6" s="11">
        <f t="shared" si="0"/>
        <v>68086</v>
      </c>
      <c r="L6" s="11" t="str">
        <f t="shared" si="1"/>
        <v>Invoiced this Month</v>
      </c>
      <c r="M6" s="41"/>
      <c r="N6" s="33"/>
    </row>
    <row r="7" spans="1:14" ht="16.5" thickTop="1" thickBot="1" x14ac:dyDescent="0.3">
      <c r="A7" s="5" t="s">
        <v>105</v>
      </c>
      <c r="B7" s="6">
        <v>83846</v>
      </c>
      <c r="C7" s="7" t="s">
        <v>62</v>
      </c>
      <c r="D7" s="39">
        <v>45880</v>
      </c>
      <c r="E7" s="39">
        <v>46076</v>
      </c>
      <c r="F7" s="39" t="s">
        <v>13</v>
      </c>
      <c r="G7" s="9">
        <f>77743+30779.5</f>
        <v>108522.5</v>
      </c>
      <c r="H7" s="10">
        <f>I7-G7</f>
        <v>108521.5</v>
      </c>
      <c r="I7" s="11">
        <v>217044</v>
      </c>
      <c r="J7" s="11">
        <f>VLOOKUP(A7,'Jan 26'!A:G,7,FALSE)</f>
        <v>77743</v>
      </c>
      <c r="K7" s="11">
        <f t="shared" si="0"/>
        <v>0</v>
      </c>
      <c r="L7" s="11">
        <f t="shared" si="1"/>
        <v>30779.5</v>
      </c>
      <c r="M7" s="38"/>
      <c r="N7" s="33"/>
    </row>
    <row r="8" spans="1:14" ht="16.5" thickTop="1" thickBot="1" x14ac:dyDescent="0.3">
      <c r="A8" s="5" t="s">
        <v>88</v>
      </c>
      <c r="B8" s="6">
        <v>85639</v>
      </c>
      <c r="C8" s="7" t="s">
        <v>14</v>
      </c>
      <c r="D8" s="39">
        <v>45805</v>
      </c>
      <c r="E8" s="39">
        <v>46015</v>
      </c>
      <c r="F8" s="39" t="s">
        <v>350</v>
      </c>
      <c r="G8" s="9">
        <v>11673</v>
      </c>
      <c r="H8" s="10">
        <f>I8-G8</f>
        <v>11672</v>
      </c>
      <c r="I8" s="11">
        <v>23345</v>
      </c>
      <c r="J8" s="11">
        <f>VLOOKUP(A8,'Jan 26'!A:G,7,FALSE)</f>
        <v>11673</v>
      </c>
      <c r="K8" s="11">
        <f t="shared" si="0"/>
        <v>0</v>
      </c>
      <c r="L8" s="11">
        <f t="shared" si="1"/>
        <v>0</v>
      </c>
      <c r="N8" s="33"/>
    </row>
    <row r="9" spans="1:14" ht="16.5" thickTop="1" thickBot="1" x14ac:dyDescent="0.3">
      <c r="A9" s="5" t="s">
        <v>158</v>
      </c>
      <c r="B9" s="6">
        <v>86924</v>
      </c>
      <c r="C9" s="7" t="s">
        <v>157</v>
      </c>
      <c r="D9" s="39">
        <v>45965</v>
      </c>
      <c r="E9" s="39">
        <v>46013</v>
      </c>
      <c r="F9" s="49">
        <v>46057</v>
      </c>
      <c r="G9" s="45">
        <v>0</v>
      </c>
      <c r="H9" s="58"/>
      <c r="I9" s="59"/>
      <c r="J9" s="11">
        <f>VLOOKUP(A9,'Jan 26'!A:G,7,FALSE)</f>
        <v>40090</v>
      </c>
      <c r="K9" s="11">
        <f t="shared" si="0"/>
        <v>40090</v>
      </c>
      <c r="L9" s="11" t="str">
        <f t="shared" si="1"/>
        <v>Invoiced this Month</v>
      </c>
      <c r="M9" s="41"/>
      <c r="N9" s="33"/>
    </row>
    <row r="10" spans="1:14" ht="16.5" thickTop="1" thickBot="1" x14ac:dyDescent="0.3">
      <c r="A10" s="5" t="s">
        <v>91</v>
      </c>
      <c r="B10" s="6">
        <v>84044</v>
      </c>
      <c r="C10" s="7" t="s">
        <v>14</v>
      </c>
      <c r="D10" s="39">
        <v>45811</v>
      </c>
      <c r="E10" s="39">
        <v>46002</v>
      </c>
      <c r="F10" s="39" t="s">
        <v>351</v>
      </c>
      <c r="G10" s="9">
        <v>93528</v>
      </c>
      <c r="H10" s="10">
        <f>I10-G10</f>
        <v>-28848</v>
      </c>
      <c r="I10" s="11">
        <v>64680</v>
      </c>
      <c r="J10" s="11">
        <f>VLOOKUP(A10,'Jan 26'!A:G,7,FALSE)</f>
        <v>93528</v>
      </c>
      <c r="K10" s="11">
        <f t="shared" si="0"/>
        <v>0</v>
      </c>
      <c r="L10" s="11">
        <f t="shared" si="1"/>
        <v>0</v>
      </c>
      <c r="N10" s="33"/>
    </row>
    <row r="11" spans="1:14" ht="16.5" thickTop="1" thickBot="1" x14ac:dyDescent="0.3">
      <c r="A11" s="5" t="s">
        <v>92</v>
      </c>
      <c r="B11" s="6">
        <v>84046</v>
      </c>
      <c r="C11" s="7" t="s">
        <v>14</v>
      </c>
      <c r="D11" s="39">
        <v>45811</v>
      </c>
      <c r="E11" s="39">
        <v>46002</v>
      </c>
      <c r="F11" s="39" t="s">
        <v>351</v>
      </c>
      <c r="G11" s="9">
        <v>97035</v>
      </c>
      <c r="H11" s="10">
        <f>I11-G11</f>
        <v>38165</v>
      </c>
      <c r="I11" s="11">
        <v>135200</v>
      </c>
      <c r="J11" s="11">
        <f>VLOOKUP(A11,'Jan 26'!A:G,7,FALSE)</f>
        <v>97035</v>
      </c>
      <c r="K11" s="11">
        <f t="shared" si="0"/>
        <v>0</v>
      </c>
      <c r="L11" s="11">
        <f t="shared" si="1"/>
        <v>0</v>
      </c>
      <c r="N11" s="33"/>
    </row>
    <row r="12" spans="1:14" ht="16.5" thickTop="1" thickBot="1" x14ac:dyDescent="0.3">
      <c r="A12" s="5" t="s">
        <v>166</v>
      </c>
      <c r="B12" s="6">
        <v>82690</v>
      </c>
      <c r="C12" s="7" t="s">
        <v>14</v>
      </c>
      <c r="D12" s="39" t="s">
        <v>176</v>
      </c>
      <c r="E12" s="39" t="s">
        <v>13</v>
      </c>
      <c r="F12" s="39" t="s">
        <v>13</v>
      </c>
      <c r="G12" s="9">
        <v>13744</v>
      </c>
      <c r="H12" s="10">
        <f>I12-G12</f>
        <v>12649</v>
      </c>
      <c r="I12" s="11">
        <v>26393</v>
      </c>
      <c r="J12" s="11">
        <f>VLOOKUP(A12,'Jan 26'!A:G,7,FALSE)</f>
        <v>13744</v>
      </c>
      <c r="K12" s="11">
        <f t="shared" si="0"/>
        <v>0</v>
      </c>
      <c r="L12" s="11">
        <f t="shared" si="1"/>
        <v>0</v>
      </c>
      <c r="M12" s="41"/>
      <c r="N12" s="33"/>
    </row>
    <row r="13" spans="1:14" ht="16.5" thickTop="1" thickBot="1" x14ac:dyDescent="0.3">
      <c r="A13" s="5" t="s">
        <v>108</v>
      </c>
      <c r="B13" s="6">
        <v>84790</v>
      </c>
      <c r="C13" s="7" t="s">
        <v>16</v>
      </c>
      <c r="D13" s="39">
        <v>45890</v>
      </c>
      <c r="E13" s="39">
        <v>45973</v>
      </c>
      <c r="F13" s="49">
        <v>46069</v>
      </c>
      <c r="G13" s="45">
        <v>0</v>
      </c>
      <c r="H13" s="58"/>
      <c r="I13" s="59"/>
      <c r="J13" s="11">
        <f>VLOOKUP(A13,'Jan 26'!A:G,7,FALSE)</f>
        <v>37869</v>
      </c>
      <c r="K13" s="11">
        <f t="shared" si="0"/>
        <v>37869</v>
      </c>
      <c r="L13" s="11" t="str">
        <f t="shared" si="1"/>
        <v>Invoiced this Month</v>
      </c>
      <c r="M13" s="38"/>
      <c r="N13" s="33"/>
    </row>
    <row r="14" spans="1:14" ht="16.5" thickTop="1" thickBot="1" x14ac:dyDescent="0.3">
      <c r="A14" s="5" t="s">
        <v>134</v>
      </c>
      <c r="B14" s="6">
        <v>87402</v>
      </c>
      <c r="C14" s="7" t="s">
        <v>21</v>
      </c>
      <c r="D14" s="39">
        <v>45939</v>
      </c>
      <c r="E14" s="39" t="s">
        <v>13</v>
      </c>
      <c r="F14" s="39" t="s">
        <v>13</v>
      </c>
      <c r="G14" s="9">
        <v>20000</v>
      </c>
      <c r="H14" s="10">
        <f t="shared" ref="H14:H21" si="2">I14-G14</f>
        <v>19516</v>
      </c>
      <c r="I14" s="11">
        <v>39516</v>
      </c>
      <c r="J14" s="11">
        <f>VLOOKUP(A14,'Jan 26'!A:G,7,FALSE)</f>
        <v>20000</v>
      </c>
      <c r="K14" s="11">
        <f t="shared" si="0"/>
        <v>0</v>
      </c>
      <c r="L14" s="11">
        <f t="shared" si="1"/>
        <v>0</v>
      </c>
      <c r="M14" s="41"/>
      <c r="N14" s="33"/>
    </row>
    <row r="15" spans="1:14" ht="16.5" thickTop="1" thickBot="1" x14ac:dyDescent="0.3">
      <c r="A15" s="5" t="s">
        <v>169</v>
      </c>
      <c r="B15" s="6">
        <v>87022</v>
      </c>
      <c r="C15" s="7" t="s">
        <v>14</v>
      </c>
      <c r="D15" s="39" t="s">
        <v>178</v>
      </c>
      <c r="E15" s="39" t="s">
        <v>13</v>
      </c>
      <c r="F15" s="39" t="s">
        <v>13</v>
      </c>
      <c r="G15" s="9">
        <v>60823</v>
      </c>
      <c r="H15" s="10">
        <f t="shared" si="2"/>
        <v>60822</v>
      </c>
      <c r="I15" s="11">
        <v>121645</v>
      </c>
      <c r="J15" s="11">
        <f>VLOOKUP(A15,'Jan 26'!A:G,7,FALSE)</f>
        <v>60823</v>
      </c>
      <c r="K15" s="11">
        <f t="shared" si="0"/>
        <v>0</v>
      </c>
      <c r="L15" s="11">
        <f t="shared" si="1"/>
        <v>0</v>
      </c>
      <c r="M15" s="41"/>
      <c r="N15" s="33"/>
    </row>
    <row r="16" spans="1:14" ht="16.5" thickTop="1" thickBot="1" x14ac:dyDescent="0.3">
      <c r="A16" s="5" t="s">
        <v>135</v>
      </c>
      <c r="B16" s="6">
        <v>87104</v>
      </c>
      <c r="C16" s="7" t="s">
        <v>26</v>
      </c>
      <c r="D16" s="39">
        <v>45939</v>
      </c>
      <c r="E16" s="39">
        <v>46072</v>
      </c>
      <c r="F16" s="39" t="s">
        <v>13</v>
      </c>
      <c r="G16" s="19">
        <v>24528.82</v>
      </c>
      <c r="H16" s="10">
        <f t="shared" si="2"/>
        <v>0</v>
      </c>
      <c r="I16" s="11">
        <v>24528.82</v>
      </c>
      <c r="J16" s="11">
        <f>VLOOKUP(A16,'Jan 26'!A:G,7,FALSE)</f>
        <v>24528.82</v>
      </c>
      <c r="K16" s="11">
        <f t="shared" si="0"/>
        <v>0</v>
      </c>
      <c r="L16" s="11">
        <f t="shared" si="1"/>
        <v>0</v>
      </c>
      <c r="M16" s="41"/>
      <c r="N16" s="33"/>
    </row>
    <row r="17" spans="1:14" ht="16.5" thickTop="1" thickBot="1" x14ac:dyDescent="0.3">
      <c r="A17" s="5" t="s">
        <v>280</v>
      </c>
      <c r="B17" s="6">
        <v>88961</v>
      </c>
      <c r="C17" s="7" t="s">
        <v>11</v>
      </c>
      <c r="D17" s="39">
        <v>46062</v>
      </c>
      <c r="E17" s="39" t="s">
        <v>13</v>
      </c>
      <c r="F17" s="39" t="s">
        <v>13</v>
      </c>
      <c r="G17" s="9">
        <v>22865</v>
      </c>
      <c r="H17" s="10">
        <f t="shared" si="2"/>
        <v>22864</v>
      </c>
      <c r="I17" s="11">
        <v>45729</v>
      </c>
      <c r="J17" s="11">
        <v>0</v>
      </c>
      <c r="K17" s="11">
        <f t="shared" si="0"/>
        <v>0</v>
      </c>
      <c r="L17" s="11">
        <f t="shared" si="1"/>
        <v>22865</v>
      </c>
      <c r="M17" s="41"/>
      <c r="N17" s="33"/>
    </row>
    <row r="18" spans="1:14" ht="16.5" thickTop="1" thickBot="1" x14ac:dyDescent="0.3">
      <c r="A18" s="5" t="s">
        <v>265</v>
      </c>
      <c r="B18" s="6">
        <v>88921</v>
      </c>
      <c r="C18" s="7" t="s">
        <v>21</v>
      </c>
      <c r="D18" s="39" t="s">
        <v>269</v>
      </c>
      <c r="E18" s="39" t="s">
        <v>13</v>
      </c>
      <c r="F18" s="39" t="s">
        <v>13</v>
      </c>
      <c r="G18" s="9">
        <v>18436</v>
      </c>
      <c r="H18" s="10">
        <f t="shared" si="2"/>
        <v>18436</v>
      </c>
      <c r="I18" s="11">
        <v>36872</v>
      </c>
      <c r="J18" s="11">
        <f>VLOOKUP(A18,'Jan 26'!A:G,7,FALSE)</f>
        <v>18436</v>
      </c>
      <c r="K18" s="11"/>
      <c r="L18" s="11">
        <f t="shared" si="1"/>
        <v>0</v>
      </c>
      <c r="M18" s="41"/>
      <c r="N18" s="33"/>
    </row>
    <row r="19" spans="1:14" ht="16.5" thickTop="1" thickBot="1" x14ac:dyDescent="0.3">
      <c r="A19" s="5" t="s">
        <v>272</v>
      </c>
      <c r="B19" s="6">
        <v>87591</v>
      </c>
      <c r="C19" s="7" t="s">
        <v>281</v>
      </c>
      <c r="D19" s="39">
        <v>46058</v>
      </c>
      <c r="E19" s="39" t="s">
        <v>13</v>
      </c>
      <c r="F19" s="39" t="s">
        <v>13</v>
      </c>
      <c r="G19" s="9">
        <v>25317</v>
      </c>
      <c r="H19" s="10">
        <f t="shared" si="2"/>
        <v>25316</v>
      </c>
      <c r="I19" s="11">
        <v>50633</v>
      </c>
      <c r="J19" s="11">
        <v>0</v>
      </c>
      <c r="K19" s="11">
        <f t="shared" ref="K19:K25" si="3">IF(G19=0,J19-G19,0)</f>
        <v>0</v>
      </c>
      <c r="L19" s="11">
        <f t="shared" si="1"/>
        <v>25317</v>
      </c>
      <c r="M19" s="41"/>
      <c r="N19" s="33"/>
    </row>
    <row r="20" spans="1:14" ht="16.5" thickTop="1" thickBot="1" x14ac:dyDescent="0.3">
      <c r="A20" s="5" t="s">
        <v>270</v>
      </c>
      <c r="B20" s="6">
        <v>88674</v>
      </c>
      <c r="C20" s="7" t="s">
        <v>31</v>
      </c>
      <c r="D20" s="39">
        <v>46055</v>
      </c>
      <c r="E20" s="39" t="s">
        <v>13</v>
      </c>
      <c r="F20" s="39" t="s">
        <v>13</v>
      </c>
      <c r="G20" s="9">
        <v>238760</v>
      </c>
      <c r="H20" s="10">
        <f t="shared" si="2"/>
        <v>238759</v>
      </c>
      <c r="I20" s="11">
        <v>477519</v>
      </c>
      <c r="J20" s="11">
        <v>0</v>
      </c>
      <c r="K20" s="11">
        <f t="shared" si="3"/>
        <v>0</v>
      </c>
      <c r="L20" s="11">
        <f t="shared" si="1"/>
        <v>238760</v>
      </c>
      <c r="M20" s="41"/>
      <c r="N20" s="33"/>
    </row>
    <row r="21" spans="1:14" ht="16.5" thickTop="1" thickBot="1" x14ac:dyDescent="0.3">
      <c r="A21" s="5" t="s">
        <v>144</v>
      </c>
      <c r="B21" s="6">
        <v>85791</v>
      </c>
      <c r="C21" s="7" t="s">
        <v>23</v>
      </c>
      <c r="D21" s="39">
        <v>45959</v>
      </c>
      <c r="E21" s="39" t="s">
        <v>13</v>
      </c>
      <c r="F21" s="46" t="s">
        <v>13</v>
      </c>
      <c r="G21" s="9">
        <v>8977.7000000000007</v>
      </c>
      <c r="H21" s="10">
        <f t="shared" si="2"/>
        <v>80799.3</v>
      </c>
      <c r="I21" s="11">
        <v>89777</v>
      </c>
      <c r="J21" s="11">
        <f>VLOOKUP(A21,'Jan 26'!A:G,7,FALSE)</f>
        <v>8977.7000000000007</v>
      </c>
      <c r="K21" s="11">
        <f t="shared" si="3"/>
        <v>0</v>
      </c>
      <c r="L21" s="11">
        <f t="shared" si="1"/>
        <v>0</v>
      </c>
      <c r="M21" s="41"/>
      <c r="N21" s="33"/>
    </row>
    <row r="22" spans="1:14" ht="16.5" thickTop="1" thickBot="1" x14ac:dyDescent="0.3">
      <c r="A22" s="5" t="s">
        <v>161</v>
      </c>
      <c r="B22" s="6">
        <v>87898</v>
      </c>
      <c r="C22" s="7" t="s">
        <v>23</v>
      </c>
      <c r="D22" s="39">
        <v>45967</v>
      </c>
      <c r="E22" s="39">
        <v>46000</v>
      </c>
      <c r="F22" s="49">
        <v>46063</v>
      </c>
      <c r="G22" s="45">
        <v>0</v>
      </c>
      <c r="H22" s="58"/>
      <c r="I22" s="59"/>
      <c r="J22" s="11">
        <f>VLOOKUP(A22,'Jan 26'!A:G,7,FALSE)</f>
        <v>6997.5</v>
      </c>
      <c r="K22" s="11">
        <f t="shared" si="3"/>
        <v>6997.5</v>
      </c>
      <c r="L22" s="11" t="str">
        <f t="shared" si="1"/>
        <v>Invoiced this Month</v>
      </c>
      <c r="M22" s="41"/>
      <c r="N22" s="33"/>
    </row>
    <row r="23" spans="1:14" ht="16.5" thickTop="1" thickBot="1" x14ac:dyDescent="0.3">
      <c r="A23" s="5" t="s">
        <v>317</v>
      </c>
      <c r="B23" s="6">
        <v>88582</v>
      </c>
      <c r="C23" s="7" t="s">
        <v>23</v>
      </c>
      <c r="D23" s="39" t="s">
        <v>315</v>
      </c>
      <c r="E23" s="39" t="s">
        <v>13</v>
      </c>
      <c r="F23" s="39" t="s">
        <v>13</v>
      </c>
      <c r="G23" s="9">
        <v>4551</v>
      </c>
      <c r="H23" s="10">
        <f>I23-G23</f>
        <v>4551</v>
      </c>
      <c r="I23" s="11">
        <v>9102</v>
      </c>
      <c r="J23" s="11">
        <v>0</v>
      </c>
      <c r="K23" s="11">
        <f t="shared" si="3"/>
        <v>0</v>
      </c>
      <c r="L23" s="11">
        <f t="shared" si="1"/>
        <v>4551</v>
      </c>
      <c r="M23" s="41"/>
      <c r="N23" s="33"/>
    </row>
    <row r="24" spans="1:14" ht="16.5" thickTop="1" thickBot="1" x14ac:dyDescent="0.3">
      <c r="A24" s="5" t="s">
        <v>273</v>
      </c>
      <c r="B24" s="6">
        <v>88115</v>
      </c>
      <c r="C24" s="7" t="s">
        <v>14</v>
      </c>
      <c r="D24" s="39">
        <v>46059</v>
      </c>
      <c r="E24" s="39" t="s">
        <v>13</v>
      </c>
      <c r="F24" s="39" t="s">
        <v>13</v>
      </c>
      <c r="G24" s="9">
        <v>62150.5</v>
      </c>
      <c r="H24" s="10">
        <f>I24-G24</f>
        <v>62150.5</v>
      </c>
      <c r="I24" s="11">
        <v>124301</v>
      </c>
      <c r="J24" s="11">
        <v>0</v>
      </c>
      <c r="K24" s="11">
        <f t="shared" si="3"/>
        <v>0</v>
      </c>
      <c r="L24" s="11">
        <f t="shared" si="1"/>
        <v>62150.5</v>
      </c>
      <c r="M24" s="41"/>
      <c r="N24" s="33"/>
    </row>
    <row r="25" spans="1:14" ht="16.5" thickTop="1" thickBot="1" x14ac:dyDescent="0.3">
      <c r="A25" s="5" t="s">
        <v>145</v>
      </c>
      <c r="B25" s="6">
        <v>83690</v>
      </c>
      <c r="C25" s="7" t="s">
        <v>23</v>
      </c>
      <c r="D25" s="39">
        <v>45959</v>
      </c>
      <c r="E25" s="39" t="s">
        <v>13</v>
      </c>
      <c r="F25" s="39" t="s">
        <v>13</v>
      </c>
      <c r="G25" s="9">
        <v>41681.4</v>
      </c>
      <c r="H25" s="10">
        <f>I25-G25</f>
        <v>375132.6</v>
      </c>
      <c r="I25" s="11">
        <v>416814</v>
      </c>
      <c r="J25" s="11">
        <f>VLOOKUP(A25,'Jan 26'!A:G,7,FALSE)</f>
        <v>41681.4</v>
      </c>
      <c r="K25" s="11">
        <f t="shared" si="3"/>
        <v>0</v>
      </c>
      <c r="L25" s="11">
        <f t="shared" si="1"/>
        <v>0</v>
      </c>
      <c r="M25" s="41"/>
      <c r="N25" s="33"/>
    </row>
    <row r="26" spans="1:14" ht="16.5" thickTop="1" thickBot="1" x14ac:dyDescent="0.3">
      <c r="A26" s="5" t="s">
        <v>227</v>
      </c>
      <c r="B26" s="6">
        <v>86318</v>
      </c>
      <c r="C26" s="7" t="s">
        <v>14</v>
      </c>
      <c r="D26" s="39" t="s">
        <v>244</v>
      </c>
      <c r="E26" s="39" t="s">
        <v>13</v>
      </c>
      <c r="F26" s="39" t="s">
        <v>13</v>
      </c>
      <c r="G26" s="9">
        <v>26483.5</v>
      </c>
      <c r="H26" s="10">
        <f>I26-G26</f>
        <v>26483.5</v>
      </c>
      <c r="I26" s="11">
        <v>52967</v>
      </c>
      <c r="J26" s="11">
        <f>VLOOKUP(A26,'Jan 26'!A:G,7,FALSE)</f>
        <v>26483.5</v>
      </c>
      <c r="K26" s="11"/>
      <c r="L26" s="11">
        <f t="shared" si="1"/>
        <v>0</v>
      </c>
      <c r="M26" s="41"/>
      <c r="N26" s="33"/>
    </row>
    <row r="27" spans="1:14" ht="16.5" thickTop="1" thickBot="1" x14ac:dyDescent="0.3">
      <c r="A27" s="5" t="s">
        <v>214</v>
      </c>
      <c r="B27" s="6">
        <v>88100</v>
      </c>
      <c r="C27" s="7" t="s">
        <v>23</v>
      </c>
      <c r="D27" s="39" t="s">
        <v>217</v>
      </c>
      <c r="E27" s="39">
        <v>46062</v>
      </c>
      <c r="F27" s="39" t="s">
        <v>13</v>
      </c>
      <c r="G27" s="9">
        <v>8674</v>
      </c>
      <c r="H27" s="10">
        <f>I27-G27</f>
        <v>8673</v>
      </c>
      <c r="I27" s="11">
        <v>17347</v>
      </c>
      <c r="J27" s="11">
        <f>VLOOKUP(A27,'Jan 26'!A:G,7,FALSE)</f>
        <v>8674</v>
      </c>
      <c r="K27" s="11">
        <f>IF(G27=0,J27-G27,0)</f>
        <v>0</v>
      </c>
      <c r="L27" s="11">
        <f t="shared" si="1"/>
        <v>0</v>
      </c>
      <c r="M27" s="41"/>
      <c r="N27" s="33"/>
    </row>
    <row r="28" spans="1:14" ht="16.5" thickTop="1" thickBot="1" x14ac:dyDescent="0.3">
      <c r="A28" s="5" t="s">
        <v>237</v>
      </c>
      <c r="B28" s="6">
        <v>88570</v>
      </c>
      <c r="C28" s="7" t="s">
        <v>11</v>
      </c>
      <c r="D28" s="39" t="s">
        <v>249</v>
      </c>
      <c r="E28" s="39">
        <v>46055</v>
      </c>
      <c r="F28" s="49">
        <v>46077</v>
      </c>
      <c r="G28" s="45">
        <v>0</v>
      </c>
      <c r="H28" s="58"/>
      <c r="I28" s="59"/>
      <c r="J28" s="11">
        <f>VLOOKUP(A28,'Jan 26'!A:G,7,FALSE)</f>
        <v>8743</v>
      </c>
      <c r="K28" s="11">
        <f>IF(G28=0,J28-G28,0)</f>
        <v>8743</v>
      </c>
      <c r="L28" s="11" t="str">
        <f t="shared" si="1"/>
        <v>Invoiced this Month</v>
      </c>
      <c r="M28" s="41"/>
      <c r="N28" s="33"/>
    </row>
    <row r="29" spans="1:14" ht="16.5" thickTop="1" thickBot="1" x14ac:dyDescent="0.3">
      <c r="A29" s="5" t="s">
        <v>229</v>
      </c>
      <c r="B29" s="6">
        <v>87633</v>
      </c>
      <c r="C29" s="7" t="s">
        <v>27</v>
      </c>
      <c r="D29" s="39" t="s">
        <v>244</v>
      </c>
      <c r="E29" s="39">
        <v>46072</v>
      </c>
      <c r="F29" s="39" t="s">
        <v>13</v>
      </c>
      <c r="G29" s="9">
        <v>39028</v>
      </c>
      <c r="H29" s="10">
        <f>I29-G29</f>
        <v>39027</v>
      </c>
      <c r="I29" s="11">
        <v>78055</v>
      </c>
      <c r="J29" s="11">
        <f>VLOOKUP(A29,'Jan 26'!A:G,7,FALSE)</f>
        <v>39028</v>
      </c>
      <c r="K29" s="11"/>
      <c r="L29" s="11">
        <f t="shared" si="1"/>
        <v>0</v>
      </c>
      <c r="M29" s="41"/>
      <c r="N29" s="33"/>
    </row>
    <row r="30" spans="1:14" ht="16.5" thickTop="1" thickBot="1" x14ac:dyDescent="0.3">
      <c r="A30" s="5" t="s">
        <v>278</v>
      </c>
      <c r="B30" s="6">
        <v>88240</v>
      </c>
      <c r="C30" s="7" t="s">
        <v>283</v>
      </c>
      <c r="D30" s="39">
        <v>46062</v>
      </c>
      <c r="E30" s="39" t="s">
        <v>13</v>
      </c>
      <c r="F30" s="39" t="s">
        <v>13</v>
      </c>
      <c r="G30" s="9">
        <v>16435.5</v>
      </c>
      <c r="H30" s="10">
        <f>I30-G30</f>
        <v>16435.5</v>
      </c>
      <c r="I30" s="11">
        <v>32871</v>
      </c>
      <c r="J30" s="11">
        <v>0</v>
      </c>
      <c r="K30" s="11">
        <f t="shared" ref="K30:K37" si="4">IF(G30=0,J30-G30,0)</f>
        <v>0</v>
      </c>
      <c r="L30" s="11">
        <f t="shared" si="1"/>
        <v>16435.5</v>
      </c>
      <c r="M30" s="41"/>
      <c r="N30" s="33"/>
    </row>
    <row r="31" spans="1:14" ht="16.5" thickTop="1" thickBot="1" x14ac:dyDescent="0.3">
      <c r="A31" s="5" t="s">
        <v>168</v>
      </c>
      <c r="B31" s="6">
        <v>85440</v>
      </c>
      <c r="C31" s="7" t="s">
        <v>14</v>
      </c>
      <c r="D31" s="39" t="s">
        <v>177</v>
      </c>
      <c r="E31" s="39">
        <v>46044</v>
      </c>
      <c r="F31" s="39" t="s">
        <v>351</v>
      </c>
      <c r="G31" s="9">
        <v>15439</v>
      </c>
      <c r="H31" s="10">
        <f>I31-G31</f>
        <v>15438</v>
      </c>
      <c r="I31" s="11">
        <v>30877</v>
      </c>
      <c r="J31" s="11">
        <f>VLOOKUP(A31,'Jan 26'!A:G,7,FALSE)</f>
        <v>15439</v>
      </c>
      <c r="K31" s="11">
        <f t="shared" si="4"/>
        <v>0</v>
      </c>
      <c r="L31" s="11">
        <f t="shared" si="1"/>
        <v>0</v>
      </c>
      <c r="M31" s="41"/>
      <c r="N31" s="33"/>
    </row>
    <row r="32" spans="1:14" ht="16.5" thickTop="1" thickBot="1" x14ac:dyDescent="0.3">
      <c r="A32" s="5" t="s">
        <v>215</v>
      </c>
      <c r="B32" s="6">
        <v>88227</v>
      </c>
      <c r="C32" s="7" t="s">
        <v>14</v>
      </c>
      <c r="D32" s="39" t="s">
        <v>217</v>
      </c>
      <c r="E32" s="39" t="s">
        <v>13</v>
      </c>
      <c r="F32" s="39" t="s">
        <v>13</v>
      </c>
      <c r="G32" s="9">
        <v>32005</v>
      </c>
      <c r="H32" s="10">
        <f>I32-G32</f>
        <v>32005</v>
      </c>
      <c r="I32" s="11">
        <v>64010</v>
      </c>
      <c r="J32" s="11">
        <f>VLOOKUP(A32,'Jan 26'!A:G,7,FALSE)</f>
        <v>32005</v>
      </c>
      <c r="K32" s="11">
        <f t="shared" si="4"/>
        <v>0</v>
      </c>
      <c r="L32" s="11">
        <f t="shared" si="1"/>
        <v>0</v>
      </c>
      <c r="M32" s="41"/>
      <c r="N32" s="33"/>
    </row>
    <row r="33" spans="1:14" ht="16.5" thickTop="1" thickBot="1" x14ac:dyDescent="0.3">
      <c r="A33" s="43" t="s">
        <v>119</v>
      </c>
      <c r="B33" s="6">
        <v>87308</v>
      </c>
      <c r="C33" s="7" t="s">
        <v>120</v>
      </c>
      <c r="D33" s="39">
        <v>45918</v>
      </c>
      <c r="E33" s="39">
        <v>45996</v>
      </c>
      <c r="F33" s="49">
        <v>46071</v>
      </c>
      <c r="G33" s="45">
        <v>0</v>
      </c>
      <c r="H33" s="58"/>
      <c r="I33" s="59"/>
      <c r="J33" s="11">
        <f>VLOOKUP(A33,'Jan 26'!A:G,7,FALSE)</f>
        <v>57207</v>
      </c>
      <c r="K33" s="11">
        <f t="shared" si="4"/>
        <v>57207</v>
      </c>
      <c r="L33" s="11" t="str">
        <f t="shared" si="1"/>
        <v>Invoiced this Month</v>
      </c>
      <c r="M33" s="38"/>
      <c r="N33" s="33"/>
    </row>
    <row r="34" spans="1:14" ht="16.5" thickTop="1" thickBot="1" x14ac:dyDescent="0.3">
      <c r="A34" s="20" t="s">
        <v>24</v>
      </c>
      <c r="B34" s="13" t="s">
        <v>89</v>
      </c>
      <c r="C34" s="14"/>
      <c r="D34" s="15" t="s">
        <v>25</v>
      </c>
      <c r="E34" s="15" t="s">
        <v>13</v>
      </c>
      <c r="F34" s="40" t="s">
        <v>13</v>
      </c>
      <c r="G34" s="21">
        <v>4108</v>
      </c>
      <c r="H34" s="17">
        <f>I34-G34</f>
        <v>0</v>
      </c>
      <c r="I34" s="18">
        <v>4108</v>
      </c>
      <c r="J34" s="18">
        <f>VLOOKUP(A34,'Jan 26'!A:G,7,FALSE)</f>
        <v>4108</v>
      </c>
      <c r="K34" s="18">
        <f t="shared" si="4"/>
        <v>0</v>
      </c>
      <c r="L34" s="18">
        <f t="shared" ref="L34:L57" si="5">IF(G34&gt;0,G34-J34,"Invoiced this Month")</f>
        <v>0</v>
      </c>
      <c r="M34" s="41"/>
      <c r="N34" s="33"/>
    </row>
    <row r="35" spans="1:14" ht="16.5" thickTop="1" thickBot="1" x14ac:dyDescent="0.3">
      <c r="A35" s="5" t="s">
        <v>175</v>
      </c>
      <c r="B35" s="6">
        <v>86866</v>
      </c>
      <c r="C35" s="7" t="s">
        <v>23</v>
      </c>
      <c r="D35" s="39" t="s">
        <v>181</v>
      </c>
      <c r="E35" s="39">
        <v>46015</v>
      </c>
      <c r="F35" s="49">
        <v>46072</v>
      </c>
      <c r="G35" s="45">
        <v>0</v>
      </c>
      <c r="H35" s="58"/>
      <c r="I35" s="59"/>
      <c r="J35" s="11">
        <f>VLOOKUP(A35,'Jan 26'!A:G,7,FALSE)</f>
        <v>12000</v>
      </c>
      <c r="K35" s="11">
        <f t="shared" si="4"/>
        <v>12000</v>
      </c>
      <c r="L35" s="11" t="str">
        <f t="shared" si="5"/>
        <v>Invoiced this Month</v>
      </c>
      <c r="N35" s="33"/>
    </row>
    <row r="36" spans="1:14" ht="16.5" thickTop="1" thickBot="1" x14ac:dyDescent="0.3">
      <c r="A36" s="5" t="s">
        <v>332</v>
      </c>
      <c r="B36" s="6">
        <v>86825</v>
      </c>
      <c r="C36" s="7" t="s">
        <v>16</v>
      </c>
      <c r="D36" s="39" t="s">
        <v>343</v>
      </c>
      <c r="E36" s="39" t="s">
        <v>13</v>
      </c>
      <c r="F36" s="39" t="s">
        <v>13</v>
      </c>
      <c r="G36" s="9">
        <v>6409</v>
      </c>
      <c r="H36" s="10">
        <f t="shared" ref="H36:H42" si="6">I36-G36</f>
        <v>6408</v>
      </c>
      <c r="I36" s="11">
        <v>12817</v>
      </c>
      <c r="J36" s="11">
        <v>0</v>
      </c>
      <c r="K36" s="11">
        <f t="shared" si="4"/>
        <v>0</v>
      </c>
      <c r="L36" s="11">
        <f t="shared" si="5"/>
        <v>6409</v>
      </c>
      <c r="M36" s="41"/>
      <c r="N36" s="33"/>
    </row>
    <row r="37" spans="1:14" ht="16.5" thickTop="1" thickBot="1" x14ac:dyDescent="0.3">
      <c r="A37" s="5" t="s">
        <v>274</v>
      </c>
      <c r="B37" s="6">
        <v>88868</v>
      </c>
      <c r="C37" s="7" t="s">
        <v>45</v>
      </c>
      <c r="D37" s="39">
        <v>46059</v>
      </c>
      <c r="E37" s="39" t="s">
        <v>13</v>
      </c>
      <c r="F37" s="39" t="s">
        <v>13</v>
      </c>
      <c r="G37" s="9">
        <v>17321</v>
      </c>
      <c r="H37" s="10">
        <f t="shared" si="6"/>
        <v>17321</v>
      </c>
      <c r="I37" s="11">
        <v>34642</v>
      </c>
      <c r="J37" s="11">
        <v>0</v>
      </c>
      <c r="K37" s="11">
        <f t="shared" si="4"/>
        <v>0</v>
      </c>
      <c r="L37" s="11">
        <f t="shared" si="5"/>
        <v>17321</v>
      </c>
      <c r="M37" s="41"/>
      <c r="N37" s="33"/>
    </row>
    <row r="38" spans="1:14" ht="16.5" thickTop="1" thickBot="1" x14ac:dyDescent="0.3">
      <c r="A38" s="5" t="s">
        <v>235</v>
      </c>
      <c r="B38" s="6">
        <v>88131</v>
      </c>
      <c r="C38" s="7" t="s">
        <v>19</v>
      </c>
      <c r="D38" s="39" t="s">
        <v>249</v>
      </c>
      <c r="E38" s="39">
        <v>46076</v>
      </c>
      <c r="F38" s="39" t="s">
        <v>13</v>
      </c>
      <c r="G38" s="9">
        <v>33237</v>
      </c>
      <c r="H38" s="10">
        <f t="shared" si="6"/>
        <v>33236</v>
      </c>
      <c r="I38" s="11">
        <v>66473</v>
      </c>
      <c r="J38" s="11">
        <f>VLOOKUP(A38,'Jan 26'!A:G,7,FALSE)</f>
        <v>33237</v>
      </c>
      <c r="K38" s="11"/>
      <c r="L38" s="11">
        <f t="shared" si="5"/>
        <v>0</v>
      </c>
      <c r="M38" s="41"/>
      <c r="N38" s="33"/>
    </row>
    <row r="39" spans="1:14" ht="16.5" thickTop="1" thickBot="1" x14ac:dyDescent="0.3">
      <c r="A39" s="5" t="s">
        <v>205</v>
      </c>
      <c r="B39" s="6">
        <v>87218</v>
      </c>
      <c r="C39" s="7" t="s">
        <v>67</v>
      </c>
      <c r="D39" s="39" t="s">
        <v>211</v>
      </c>
      <c r="E39" s="39">
        <v>46028</v>
      </c>
      <c r="F39" s="39" t="s">
        <v>352</v>
      </c>
      <c r="G39" s="9">
        <v>7433</v>
      </c>
      <c r="H39" s="10">
        <f t="shared" si="6"/>
        <v>7432</v>
      </c>
      <c r="I39" s="11">
        <v>14865</v>
      </c>
      <c r="J39" s="11">
        <f>VLOOKUP(A39,'Jan 26'!A:G,7,FALSE)</f>
        <v>7433</v>
      </c>
      <c r="K39" s="11">
        <f t="shared" ref="K39:K50" si="7">IF(G39=0,J39-G39,0)</f>
        <v>0</v>
      </c>
      <c r="L39" s="11">
        <f t="shared" si="5"/>
        <v>0</v>
      </c>
      <c r="M39" s="41"/>
      <c r="N39" s="33"/>
    </row>
    <row r="40" spans="1:14" ht="16.5" thickTop="1" thickBot="1" x14ac:dyDescent="0.3">
      <c r="A40" s="5" t="s">
        <v>170</v>
      </c>
      <c r="B40" s="6">
        <v>83937</v>
      </c>
      <c r="C40" s="7" t="s">
        <v>182</v>
      </c>
      <c r="D40" s="39" t="s">
        <v>178</v>
      </c>
      <c r="E40" s="39">
        <v>46071</v>
      </c>
      <c r="F40" s="39" t="s">
        <v>13</v>
      </c>
      <c r="G40" s="9">
        <v>59570.5</v>
      </c>
      <c r="H40" s="10">
        <f t="shared" si="6"/>
        <v>59590.5</v>
      </c>
      <c r="I40" s="11">
        <v>119161</v>
      </c>
      <c r="J40" s="11">
        <f>VLOOKUP(A40,'Jan 26'!A:G,7,FALSE)</f>
        <v>59570.5</v>
      </c>
      <c r="K40" s="11">
        <f t="shared" si="7"/>
        <v>0</v>
      </c>
      <c r="L40" s="11">
        <f t="shared" si="5"/>
        <v>0</v>
      </c>
      <c r="M40" s="41"/>
      <c r="N40" s="33"/>
    </row>
    <row r="41" spans="1:14" ht="16.5" thickTop="1" thickBot="1" x14ac:dyDescent="0.3">
      <c r="A41" s="5" t="s">
        <v>75</v>
      </c>
      <c r="B41" s="6">
        <v>83108</v>
      </c>
      <c r="C41" s="7" t="s">
        <v>76</v>
      </c>
      <c r="D41" s="8" t="s">
        <v>77</v>
      </c>
      <c r="E41" s="39" t="s">
        <v>13</v>
      </c>
      <c r="F41" s="39" t="s">
        <v>13</v>
      </c>
      <c r="G41" s="9">
        <v>172204.5</v>
      </c>
      <c r="H41" s="10">
        <f t="shared" si="6"/>
        <v>172204.5</v>
      </c>
      <c r="I41" s="11">
        <v>344409</v>
      </c>
      <c r="J41" s="11">
        <f>VLOOKUP(A41,'Jan 26'!A:G,7,FALSE)</f>
        <v>172204.5</v>
      </c>
      <c r="K41" s="11">
        <f t="shared" si="7"/>
        <v>0</v>
      </c>
      <c r="L41" s="11">
        <f t="shared" si="5"/>
        <v>0</v>
      </c>
      <c r="M41" s="41"/>
      <c r="N41" s="33"/>
    </row>
    <row r="42" spans="1:14" ht="16.5" thickTop="1" thickBot="1" x14ac:dyDescent="0.3">
      <c r="A42" s="5" t="s">
        <v>138</v>
      </c>
      <c r="B42" s="6">
        <v>84134</v>
      </c>
      <c r="C42" s="7" t="s">
        <v>14</v>
      </c>
      <c r="D42" s="39">
        <v>45945</v>
      </c>
      <c r="E42" s="39" t="s">
        <v>13</v>
      </c>
      <c r="F42" s="39" t="s">
        <v>13</v>
      </c>
      <c r="G42" s="9">
        <v>64205</v>
      </c>
      <c r="H42" s="10">
        <f t="shared" si="6"/>
        <v>61477</v>
      </c>
      <c r="I42" s="11">
        <v>125682</v>
      </c>
      <c r="J42" s="11">
        <f>VLOOKUP(A42,'Jan 26'!A:G,7,FALSE)</f>
        <v>64205</v>
      </c>
      <c r="K42" s="11">
        <f t="shared" si="7"/>
        <v>0</v>
      </c>
      <c r="L42" s="11">
        <f t="shared" si="5"/>
        <v>0</v>
      </c>
      <c r="M42" s="41"/>
      <c r="N42" s="33"/>
    </row>
    <row r="43" spans="1:14" ht="16.5" thickTop="1" thickBot="1" x14ac:dyDescent="0.3">
      <c r="A43" s="5" t="s">
        <v>163</v>
      </c>
      <c r="B43" s="6">
        <v>87768</v>
      </c>
      <c r="C43" s="7" t="s">
        <v>29</v>
      </c>
      <c r="D43" s="39">
        <v>45971</v>
      </c>
      <c r="E43" s="39">
        <v>46000</v>
      </c>
      <c r="F43" s="49">
        <v>46064</v>
      </c>
      <c r="G43" s="45"/>
      <c r="H43" s="58"/>
      <c r="I43" s="59"/>
      <c r="J43" s="11">
        <f>VLOOKUP(A43,'Jan 26'!A:G,7,FALSE)</f>
        <v>25537</v>
      </c>
      <c r="K43" s="11">
        <f t="shared" si="7"/>
        <v>25537</v>
      </c>
      <c r="L43" s="11" t="str">
        <f t="shared" si="5"/>
        <v>Invoiced this Month</v>
      </c>
      <c r="M43" s="41"/>
      <c r="N43" s="33"/>
    </row>
    <row r="44" spans="1:14" ht="16.5" thickTop="1" thickBot="1" x14ac:dyDescent="0.3">
      <c r="A44" s="60" t="s">
        <v>173</v>
      </c>
      <c r="B44" s="6">
        <v>87822</v>
      </c>
      <c r="C44" s="7" t="s">
        <v>29</v>
      </c>
      <c r="D44" s="39" t="s">
        <v>180</v>
      </c>
      <c r="E44" s="39">
        <v>46001</v>
      </c>
      <c r="F44" s="49">
        <v>46058</v>
      </c>
      <c r="G44" s="45">
        <v>0</v>
      </c>
      <c r="H44" s="58"/>
      <c r="I44" s="59"/>
      <c r="J44" s="11">
        <f>VLOOKUP(A44,'Jan 26'!A:G,7,FALSE)</f>
        <v>115956</v>
      </c>
      <c r="K44" s="11">
        <f t="shared" si="7"/>
        <v>115956</v>
      </c>
      <c r="L44" s="11" t="str">
        <f t="shared" si="5"/>
        <v>Invoiced this Month</v>
      </c>
      <c r="M44" s="41"/>
      <c r="N44" s="33"/>
    </row>
    <row r="45" spans="1:14" ht="16.5" thickTop="1" thickBot="1" x14ac:dyDescent="0.3">
      <c r="A45" s="47" t="s">
        <v>288</v>
      </c>
      <c r="B45" s="6">
        <v>88087</v>
      </c>
      <c r="C45" s="7" t="s">
        <v>295</v>
      </c>
      <c r="D45" s="39" t="s">
        <v>292</v>
      </c>
      <c r="E45" s="39" t="s">
        <v>13</v>
      </c>
      <c r="F45" s="39" t="s">
        <v>13</v>
      </c>
      <c r="G45" s="9">
        <v>123085</v>
      </c>
      <c r="H45" s="10">
        <f t="shared" ref="H45:H51" si="8">I45-G45</f>
        <v>123084</v>
      </c>
      <c r="I45" s="11">
        <v>246169</v>
      </c>
      <c r="J45" s="11">
        <v>0</v>
      </c>
      <c r="K45" s="11">
        <f t="shared" si="7"/>
        <v>0</v>
      </c>
      <c r="L45" s="11">
        <f t="shared" si="5"/>
        <v>123085</v>
      </c>
      <c r="M45" s="41"/>
      <c r="N45" s="33"/>
    </row>
    <row r="46" spans="1:14" ht="16.5" thickTop="1" thickBot="1" x14ac:dyDescent="0.3">
      <c r="A46" s="5" t="s">
        <v>79</v>
      </c>
      <c r="B46" s="6">
        <v>83623</v>
      </c>
      <c r="C46" s="7" t="s">
        <v>59</v>
      </c>
      <c r="D46" s="39">
        <v>45859</v>
      </c>
      <c r="E46" s="39">
        <v>46020</v>
      </c>
      <c r="F46" s="39" t="s">
        <v>350</v>
      </c>
      <c r="G46" s="9">
        <v>75227</v>
      </c>
      <c r="H46" s="10">
        <f t="shared" si="8"/>
        <v>75226</v>
      </c>
      <c r="I46" s="11">
        <v>150453</v>
      </c>
      <c r="J46" s="11">
        <f>VLOOKUP(A46,'Jan 26'!A:G,7,FALSE)</f>
        <v>75227</v>
      </c>
      <c r="K46" s="11">
        <f t="shared" si="7"/>
        <v>0</v>
      </c>
      <c r="L46" s="11">
        <f t="shared" si="5"/>
        <v>0</v>
      </c>
      <c r="M46" s="41"/>
      <c r="N46" s="33"/>
    </row>
    <row r="47" spans="1:14" ht="16.5" thickTop="1" thickBot="1" x14ac:dyDescent="0.3">
      <c r="A47" s="5" t="s">
        <v>122</v>
      </c>
      <c r="B47" s="6">
        <v>87161</v>
      </c>
      <c r="C47" s="7" t="s">
        <v>23</v>
      </c>
      <c r="D47" s="39">
        <v>45924</v>
      </c>
      <c r="E47" s="39">
        <v>45992</v>
      </c>
      <c r="F47" s="39" t="s">
        <v>353</v>
      </c>
      <c r="G47" s="9">
        <v>17417</v>
      </c>
      <c r="H47" s="10">
        <f t="shared" si="8"/>
        <v>17417</v>
      </c>
      <c r="I47" s="11">
        <v>34834</v>
      </c>
      <c r="J47" s="11">
        <f>VLOOKUP(A47,'Jan 26'!A:G,7,FALSE)</f>
        <v>17417</v>
      </c>
      <c r="K47" s="11">
        <f t="shared" si="7"/>
        <v>0</v>
      </c>
      <c r="L47" s="11">
        <f t="shared" si="5"/>
        <v>0</v>
      </c>
      <c r="M47" s="38"/>
      <c r="N47" s="33"/>
    </row>
    <row r="48" spans="1:14" ht="16.5" thickTop="1" thickBot="1" x14ac:dyDescent="0.3">
      <c r="A48" s="5" t="s">
        <v>336</v>
      </c>
      <c r="B48" s="6">
        <v>88180</v>
      </c>
      <c r="C48" s="7" t="s">
        <v>21</v>
      </c>
      <c r="D48" s="39" t="s">
        <v>345</v>
      </c>
      <c r="E48" s="39" t="s">
        <v>13</v>
      </c>
      <c r="F48" s="39" t="s">
        <v>13</v>
      </c>
      <c r="G48" s="9">
        <v>38957</v>
      </c>
      <c r="H48" s="10">
        <f t="shared" si="8"/>
        <v>38957</v>
      </c>
      <c r="I48" s="11">
        <v>77914</v>
      </c>
      <c r="J48" s="11">
        <v>0</v>
      </c>
      <c r="K48" s="11">
        <f t="shared" si="7"/>
        <v>0</v>
      </c>
      <c r="L48" s="11">
        <f t="shared" si="5"/>
        <v>38957</v>
      </c>
      <c r="M48" s="41"/>
      <c r="N48" s="33"/>
    </row>
    <row r="49" spans="1:14" ht="16.5" thickTop="1" thickBot="1" x14ac:dyDescent="0.3">
      <c r="A49" s="5" t="s">
        <v>123</v>
      </c>
      <c r="B49" s="6">
        <v>86965</v>
      </c>
      <c r="C49" s="7" t="s">
        <v>33</v>
      </c>
      <c r="D49" s="39">
        <v>45924</v>
      </c>
      <c r="E49" s="39">
        <v>46048</v>
      </c>
      <c r="F49" s="39" t="s">
        <v>353</v>
      </c>
      <c r="G49" s="9">
        <v>49026</v>
      </c>
      <c r="H49" s="10">
        <f t="shared" si="8"/>
        <v>51328</v>
      </c>
      <c r="I49" s="11">
        <v>100354</v>
      </c>
      <c r="J49" s="11">
        <f>VLOOKUP(A49,'Jan 26'!A:G,7,FALSE)</f>
        <v>49026</v>
      </c>
      <c r="K49" s="11">
        <f t="shared" si="7"/>
        <v>0</v>
      </c>
      <c r="L49" s="11">
        <f t="shared" si="5"/>
        <v>0</v>
      </c>
      <c r="M49" s="38"/>
      <c r="N49" s="33"/>
    </row>
    <row r="50" spans="1:14" ht="16.5" thickTop="1" thickBot="1" x14ac:dyDescent="0.3">
      <c r="A50" s="5" t="s">
        <v>323</v>
      </c>
      <c r="B50" s="6">
        <v>88511</v>
      </c>
      <c r="C50" s="7" t="s">
        <v>23</v>
      </c>
      <c r="D50" s="39" t="s">
        <v>322</v>
      </c>
      <c r="E50" s="39" t="s">
        <v>13</v>
      </c>
      <c r="F50" s="39" t="s">
        <v>13</v>
      </c>
      <c r="G50" s="9">
        <v>19222</v>
      </c>
      <c r="H50" s="10">
        <f t="shared" si="8"/>
        <v>19222</v>
      </c>
      <c r="I50" s="11">
        <v>38444</v>
      </c>
      <c r="J50" s="11">
        <v>0</v>
      </c>
      <c r="K50" s="11">
        <f t="shared" si="7"/>
        <v>0</v>
      </c>
      <c r="L50" s="11">
        <f t="shared" si="5"/>
        <v>19222</v>
      </c>
      <c r="M50" s="41"/>
      <c r="N50" s="33"/>
    </row>
    <row r="51" spans="1:14" ht="16.5" thickTop="1" thickBot="1" x14ac:dyDescent="0.3">
      <c r="A51" s="5" t="s">
        <v>223</v>
      </c>
      <c r="B51" s="6">
        <v>83729</v>
      </c>
      <c r="C51" s="7" t="s">
        <v>23</v>
      </c>
      <c r="D51" s="39" t="s">
        <v>242</v>
      </c>
      <c r="E51" s="39" t="s">
        <v>13</v>
      </c>
      <c r="F51" s="39" t="s">
        <v>13</v>
      </c>
      <c r="G51" s="9">
        <v>31223</v>
      </c>
      <c r="H51" s="10">
        <f t="shared" si="8"/>
        <v>27501</v>
      </c>
      <c r="I51" s="11">
        <v>58724</v>
      </c>
      <c r="J51" s="11">
        <f>VLOOKUP(A51,'Jan 26'!A:G,7,FALSE)</f>
        <v>31223</v>
      </c>
      <c r="K51" s="11"/>
      <c r="L51" s="11">
        <f t="shared" si="5"/>
        <v>0</v>
      </c>
      <c r="M51" s="41"/>
      <c r="N51" s="33"/>
    </row>
    <row r="52" spans="1:14" ht="16.5" thickTop="1" thickBot="1" x14ac:dyDescent="0.3">
      <c r="A52" s="5" t="s">
        <v>187</v>
      </c>
      <c r="B52" s="6">
        <v>88210</v>
      </c>
      <c r="C52" s="7" t="s">
        <v>40</v>
      </c>
      <c r="D52" s="39" t="s">
        <v>194</v>
      </c>
      <c r="E52" s="39">
        <v>46015</v>
      </c>
      <c r="F52" s="49">
        <v>46069</v>
      </c>
      <c r="G52" s="45">
        <v>0</v>
      </c>
      <c r="H52" s="58"/>
      <c r="I52" s="59"/>
      <c r="J52" s="11">
        <f>VLOOKUP(A52,'Jan 26'!A:G,7,FALSE)</f>
        <v>14200</v>
      </c>
      <c r="K52" s="11">
        <f>IF(G52=0,J52-G52,0)</f>
        <v>14200</v>
      </c>
      <c r="L52" s="11" t="str">
        <f t="shared" si="5"/>
        <v>Invoiced this Month</v>
      </c>
      <c r="M52" s="41"/>
      <c r="N52" s="33"/>
    </row>
    <row r="53" spans="1:14" ht="16.5" thickTop="1" thickBot="1" x14ac:dyDescent="0.3">
      <c r="A53" s="5" t="s">
        <v>156</v>
      </c>
      <c r="B53" s="6">
        <v>86439</v>
      </c>
      <c r="C53" s="7" t="s">
        <v>20</v>
      </c>
      <c r="D53" s="39">
        <v>45964</v>
      </c>
      <c r="E53" s="39">
        <v>46015</v>
      </c>
      <c r="F53" s="49">
        <v>46062</v>
      </c>
      <c r="G53" s="45">
        <v>0</v>
      </c>
      <c r="H53" s="58"/>
      <c r="I53" s="59"/>
      <c r="J53" s="11">
        <f>VLOOKUP(A53,'Jan 26'!A:G,7,FALSE)</f>
        <v>54101</v>
      </c>
      <c r="K53" s="11">
        <f>IF(G53=0,J53-G53,0)</f>
        <v>54101</v>
      </c>
      <c r="L53" s="11" t="str">
        <f t="shared" si="5"/>
        <v>Invoiced this Month</v>
      </c>
      <c r="M53" s="41"/>
      <c r="N53" s="33"/>
    </row>
    <row r="54" spans="1:14" ht="16.5" thickTop="1" thickBot="1" x14ac:dyDescent="0.3">
      <c r="A54" s="5" t="s">
        <v>216</v>
      </c>
      <c r="B54" s="6">
        <v>85454</v>
      </c>
      <c r="C54" s="7" t="s">
        <v>38</v>
      </c>
      <c r="D54" s="39" t="s">
        <v>218</v>
      </c>
      <c r="E54" s="39">
        <v>46044</v>
      </c>
      <c r="F54" s="39" t="s">
        <v>153</v>
      </c>
      <c r="G54" s="9">
        <v>14438</v>
      </c>
      <c r="H54" s="10">
        <f t="shared" ref="H54:H64" si="9">I54-G54</f>
        <v>14438</v>
      </c>
      <c r="I54" s="11">
        <v>28876</v>
      </c>
      <c r="J54" s="11">
        <f>VLOOKUP(A54,'Jan 26'!A:G,7,FALSE)</f>
        <v>14438</v>
      </c>
      <c r="K54" s="11">
        <f>IF(G54=0,J54-G54,0)</f>
        <v>0</v>
      </c>
      <c r="L54" s="11">
        <f t="shared" si="5"/>
        <v>0</v>
      </c>
      <c r="M54" s="41"/>
      <c r="N54" s="33"/>
    </row>
    <row r="55" spans="1:14" ht="16.5" thickTop="1" thickBot="1" x14ac:dyDescent="0.3">
      <c r="A55" s="5" t="s">
        <v>258</v>
      </c>
      <c r="B55" s="6">
        <v>85838</v>
      </c>
      <c r="C55" s="7" t="s">
        <v>21</v>
      </c>
      <c r="D55" s="39" t="s">
        <v>252</v>
      </c>
      <c r="E55" s="39">
        <v>46077</v>
      </c>
      <c r="F55" s="39" t="s">
        <v>13</v>
      </c>
      <c r="G55" s="9">
        <v>3386</v>
      </c>
      <c r="H55" s="10">
        <f t="shared" si="9"/>
        <v>3385</v>
      </c>
      <c r="I55" s="11">
        <v>6771</v>
      </c>
      <c r="J55" s="11">
        <f>VLOOKUP(A55,'Jan 26'!A:G,7,FALSE)</f>
        <v>3386</v>
      </c>
      <c r="K55" s="11"/>
      <c r="L55" s="11">
        <f t="shared" si="5"/>
        <v>0</v>
      </c>
      <c r="M55" s="41"/>
      <c r="N55" s="33"/>
    </row>
    <row r="56" spans="1:14" ht="16.5" thickTop="1" thickBot="1" x14ac:dyDescent="0.3">
      <c r="A56" s="5" t="s">
        <v>174</v>
      </c>
      <c r="B56" s="6">
        <v>86960</v>
      </c>
      <c r="C56" s="7" t="s">
        <v>38</v>
      </c>
      <c r="D56" s="39" t="s">
        <v>181</v>
      </c>
      <c r="E56" s="39" t="s">
        <v>13</v>
      </c>
      <c r="F56" s="39" t="s">
        <v>13</v>
      </c>
      <c r="G56" s="9">
        <v>8962</v>
      </c>
      <c r="H56" s="10">
        <f t="shared" si="9"/>
        <v>26885</v>
      </c>
      <c r="I56" s="11">
        <v>35847</v>
      </c>
      <c r="J56" s="11">
        <f>VLOOKUP(A56,'Jan 26'!A:G,7,FALSE)</f>
        <v>8962</v>
      </c>
      <c r="K56" s="11">
        <f>IF(G56=0,J56-G56,0)</f>
        <v>0</v>
      </c>
      <c r="L56" s="11">
        <f t="shared" si="5"/>
        <v>0</v>
      </c>
      <c r="M56" s="41"/>
      <c r="N56" s="33"/>
    </row>
    <row r="57" spans="1:14" ht="16.5" thickTop="1" thickBot="1" x14ac:dyDescent="0.3">
      <c r="A57" s="5" t="s">
        <v>334</v>
      </c>
      <c r="B57" s="6">
        <v>84692</v>
      </c>
      <c r="C57" s="7" t="s">
        <v>62</v>
      </c>
      <c r="D57" s="39" t="s">
        <v>343</v>
      </c>
      <c r="E57" s="39" t="s">
        <v>13</v>
      </c>
      <c r="F57" s="39" t="s">
        <v>13</v>
      </c>
      <c r="G57" s="9">
        <v>5345</v>
      </c>
      <c r="H57" s="10">
        <f t="shared" si="9"/>
        <v>5344</v>
      </c>
      <c r="I57" s="11">
        <v>10689</v>
      </c>
      <c r="J57" s="11">
        <v>0</v>
      </c>
      <c r="K57" s="11">
        <f>IF(G57=0,J57-G57,0)</f>
        <v>0</v>
      </c>
      <c r="L57" s="11">
        <f t="shared" si="5"/>
        <v>5345</v>
      </c>
      <c r="M57" s="41"/>
      <c r="N57" s="33"/>
    </row>
    <row r="58" spans="1:14" ht="16.5" thickTop="1" thickBot="1" x14ac:dyDescent="0.3">
      <c r="A58" s="5" t="s">
        <v>382</v>
      </c>
      <c r="B58" s="6">
        <v>84161</v>
      </c>
      <c r="C58" s="7" t="s">
        <v>76</v>
      </c>
      <c r="D58" s="39">
        <v>46013</v>
      </c>
      <c r="E58" s="39" t="s">
        <v>13</v>
      </c>
      <c r="F58" s="39" t="s">
        <v>13</v>
      </c>
      <c r="G58" s="9">
        <v>46821.919999999998</v>
      </c>
      <c r="H58" s="10">
        <f t="shared" si="9"/>
        <v>306551.08</v>
      </c>
      <c r="I58" s="11">
        <v>353373</v>
      </c>
      <c r="J58" s="11"/>
      <c r="K58" s="11"/>
      <c r="L58" s="11"/>
      <c r="M58" s="41"/>
      <c r="N58" s="33"/>
    </row>
    <row r="59" spans="1:14" ht="16.5" thickTop="1" thickBot="1" x14ac:dyDescent="0.3">
      <c r="A59" s="5" t="s">
        <v>101</v>
      </c>
      <c r="B59" s="6" t="s">
        <v>219</v>
      </c>
      <c r="C59" s="7" t="s">
        <v>76</v>
      </c>
      <c r="D59" s="39">
        <v>45868</v>
      </c>
      <c r="E59" s="39" t="s">
        <v>13</v>
      </c>
      <c r="F59" s="39" t="s">
        <v>13</v>
      </c>
      <c r="G59" s="9">
        <v>57487</v>
      </c>
      <c r="H59" s="10">
        <f t="shared" si="9"/>
        <v>172460</v>
      </c>
      <c r="I59" s="11">
        <v>229947</v>
      </c>
      <c r="J59" s="11">
        <f>VLOOKUP(A59,'Jan 26'!A:G,7,FALSE)</f>
        <v>57487</v>
      </c>
      <c r="K59" s="11">
        <f>IF(G59=0,J59-G59,0)</f>
        <v>0</v>
      </c>
      <c r="L59" s="11">
        <f t="shared" ref="L59:L98" si="10">IF(G59&gt;0,G59-J59,"Invoiced this Month")</f>
        <v>0</v>
      </c>
      <c r="M59" s="41"/>
      <c r="N59" s="33"/>
    </row>
    <row r="60" spans="1:14" ht="16.5" thickTop="1" thickBot="1" x14ac:dyDescent="0.3">
      <c r="A60" s="5" t="s">
        <v>206</v>
      </c>
      <c r="B60" s="6">
        <v>87121</v>
      </c>
      <c r="C60" s="7" t="s">
        <v>21</v>
      </c>
      <c r="D60" s="39" t="s">
        <v>211</v>
      </c>
      <c r="E60" s="39">
        <v>46079</v>
      </c>
      <c r="F60" s="39" t="s">
        <v>13</v>
      </c>
      <c r="G60" s="19">
        <v>8901</v>
      </c>
      <c r="H60" s="10">
        <f t="shared" si="9"/>
        <v>0</v>
      </c>
      <c r="I60" s="11">
        <v>8901</v>
      </c>
      <c r="J60" s="11">
        <f>VLOOKUP(A60,'Jan 26'!A:G,7,FALSE)</f>
        <v>8901</v>
      </c>
      <c r="K60" s="11">
        <f>IF(G60=0,J60-G60,0)</f>
        <v>0</v>
      </c>
      <c r="L60" s="11">
        <f t="shared" si="10"/>
        <v>0</v>
      </c>
      <c r="M60" s="41"/>
      <c r="N60" s="33"/>
    </row>
    <row r="61" spans="1:14" ht="16.5" thickTop="1" thickBot="1" x14ac:dyDescent="0.3">
      <c r="A61" s="5" t="s">
        <v>286</v>
      </c>
      <c r="B61" s="6">
        <v>87492</v>
      </c>
      <c r="C61" s="7" t="s">
        <v>295</v>
      </c>
      <c r="D61" s="39" t="s">
        <v>291</v>
      </c>
      <c r="E61" s="39" t="s">
        <v>13</v>
      </c>
      <c r="F61" s="39" t="s">
        <v>13</v>
      </c>
      <c r="G61" s="9">
        <v>22079</v>
      </c>
      <c r="H61" s="10">
        <f t="shared" si="9"/>
        <v>22079</v>
      </c>
      <c r="I61" s="11">
        <v>44158</v>
      </c>
      <c r="J61" s="11">
        <v>0</v>
      </c>
      <c r="K61" s="11">
        <f>IF(G61=0,J61-G61,0)</f>
        <v>0</v>
      </c>
      <c r="L61" s="11">
        <f t="shared" si="10"/>
        <v>22079</v>
      </c>
      <c r="M61" s="41"/>
      <c r="N61" s="33"/>
    </row>
    <row r="62" spans="1:14" ht="16.5" thickTop="1" thickBot="1" x14ac:dyDescent="0.3">
      <c r="A62" s="5" t="s">
        <v>339</v>
      </c>
      <c r="B62" s="6">
        <v>89313</v>
      </c>
      <c r="C62" s="7" t="s">
        <v>23</v>
      </c>
      <c r="D62" s="39" t="s">
        <v>346</v>
      </c>
      <c r="E62" s="39" t="s">
        <v>13</v>
      </c>
      <c r="F62" s="39" t="s">
        <v>13</v>
      </c>
      <c r="G62" s="9">
        <v>8773</v>
      </c>
      <c r="H62" s="10">
        <f t="shared" si="9"/>
        <v>8773</v>
      </c>
      <c r="I62" s="11">
        <v>17546</v>
      </c>
      <c r="J62" s="11">
        <v>0</v>
      </c>
      <c r="K62" s="11">
        <f>IF(G62=0,J62-G62,0)</f>
        <v>0</v>
      </c>
      <c r="L62" s="11">
        <f t="shared" si="10"/>
        <v>8773</v>
      </c>
      <c r="M62" s="41"/>
      <c r="N62" s="33"/>
    </row>
    <row r="63" spans="1:14" ht="16.5" thickTop="1" thickBot="1" x14ac:dyDescent="0.3">
      <c r="A63" s="5" t="s">
        <v>224</v>
      </c>
      <c r="B63" s="6">
        <v>88603</v>
      </c>
      <c r="C63" s="7" t="s">
        <v>21</v>
      </c>
      <c r="D63" s="39" t="s">
        <v>242</v>
      </c>
      <c r="E63" s="39" t="s">
        <v>13</v>
      </c>
      <c r="F63" s="39" t="s">
        <v>13</v>
      </c>
      <c r="G63" s="9">
        <v>23396</v>
      </c>
      <c r="H63" s="10">
        <f t="shared" si="9"/>
        <v>23396</v>
      </c>
      <c r="I63" s="11">
        <v>46792</v>
      </c>
      <c r="J63" s="11">
        <f>VLOOKUP(A63,'Jan 26'!A:G,7,FALSE)</f>
        <v>23396</v>
      </c>
      <c r="K63" s="11"/>
      <c r="L63" s="11">
        <f t="shared" si="10"/>
        <v>0</v>
      </c>
      <c r="M63" s="41"/>
      <c r="N63" s="33"/>
    </row>
    <row r="64" spans="1:14" ht="16.5" thickTop="1" thickBot="1" x14ac:dyDescent="0.3">
      <c r="A64" s="5" t="s">
        <v>330</v>
      </c>
      <c r="B64" s="6">
        <v>88082</v>
      </c>
      <c r="C64" s="7" t="s">
        <v>14</v>
      </c>
      <c r="D64" s="39" t="s">
        <v>343</v>
      </c>
      <c r="E64" s="39" t="s">
        <v>13</v>
      </c>
      <c r="F64" s="39" t="s">
        <v>13</v>
      </c>
      <c r="G64" s="9">
        <v>35295</v>
      </c>
      <c r="H64" s="10">
        <f t="shared" si="9"/>
        <v>35294</v>
      </c>
      <c r="I64" s="11">
        <v>70589</v>
      </c>
      <c r="J64" s="11">
        <v>0</v>
      </c>
      <c r="K64" s="11">
        <f>IF(G64=0,J64-G64,0)</f>
        <v>0</v>
      </c>
      <c r="L64" s="11">
        <f t="shared" si="10"/>
        <v>35295</v>
      </c>
      <c r="M64" s="41"/>
      <c r="N64" s="33"/>
    </row>
    <row r="65" spans="1:14" ht="16.5" thickTop="1" thickBot="1" x14ac:dyDescent="0.3">
      <c r="A65" s="5" t="s">
        <v>64</v>
      </c>
      <c r="B65" s="6">
        <v>83172</v>
      </c>
      <c r="C65" s="7" t="s">
        <v>65</v>
      </c>
      <c r="D65" s="8" t="s">
        <v>66</v>
      </c>
      <c r="E65" s="39">
        <v>46003</v>
      </c>
      <c r="F65" s="49">
        <v>46057</v>
      </c>
      <c r="G65" s="45">
        <v>0</v>
      </c>
      <c r="H65" s="58"/>
      <c r="I65" s="59"/>
      <c r="J65" s="11">
        <f>VLOOKUP(A65,'Jan 26'!A:G,7,FALSE)</f>
        <v>18356</v>
      </c>
      <c r="K65" s="11">
        <f>IF(G65=0,J65-G65,0)</f>
        <v>18356</v>
      </c>
      <c r="L65" s="11" t="str">
        <f t="shared" si="10"/>
        <v>Invoiced this Month</v>
      </c>
      <c r="M65" s="41"/>
      <c r="N65" s="33"/>
    </row>
    <row r="66" spans="1:14" ht="16.5" thickTop="1" thickBot="1" x14ac:dyDescent="0.3">
      <c r="A66" s="12" t="s">
        <v>34</v>
      </c>
      <c r="B66" s="13">
        <v>76624</v>
      </c>
      <c r="C66" s="14" t="s">
        <v>14</v>
      </c>
      <c r="D66" s="15" t="s">
        <v>35</v>
      </c>
      <c r="E66" s="40">
        <v>46038</v>
      </c>
      <c r="F66" s="15" t="s">
        <v>350</v>
      </c>
      <c r="G66" s="16">
        <v>82176</v>
      </c>
      <c r="H66" s="17">
        <f t="shared" ref="H66:H76" si="11">I66-G66</f>
        <v>82176</v>
      </c>
      <c r="I66" s="18">
        <v>164352</v>
      </c>
      <c r="J66" s="18">
        <f>VLOOKUP(A66,'Jan 26'!A:G,7,FALSE)</f>
        <v>82176</v>
      </c>
      <c r="K66" s="18">
        <f>IF(G66=0,J66-G66,0)</f>
        <v>0</v>
      </c>
      <c r="L66" s="18">
        <f t="shared" si="10"/>
        <v>0</v>
      </c>
      <c r="M66" s="41"/>
      <c r="N66" s="33"/>
    </row>
    <row r="67" spans="1:14" ht="16.5" thickTop="1" thickBot="1" x14ac:dyDescent="0.3">
      <c r="A67" s="5" t="s">
        <v>340</v>
      </c>
      <c r="B67" s="6">
        <v>89187</v>
      </c>
      <c r="C67" s="7" t="s">
        <v>21</v>
      </c>
      <c r="D67" s="39" t="s">
        <v>346</v>
      </c>
      <c r="E67" s="39" t="s">
        <v>13</v>
      </c>
      <c r="F67" s="39" t="s">
        <v>13</v>
      </c>
      <c r="G67" s="9">
        <v>3000</v>
      </c>
      <c r="H67" s="10">
        <f t="shared" si="11"/>
        <v>3288</v>
      </c>
      <c r="I67" s="11">
        <v>6288</v>
      </c>
      <c r="J67" s="11">
        <v>0</v>
      </c>
      <c r="K67" s="11">
        <f>IF(G67=0,J67-G67,0)</f>
        <v>0</v>
      </c>
      <c r="L67" s="11">
        <f t="shared" si="10"/>
        <v>3000</v>
      </c>
      <c r="M67" s="41"/>
      <c r="N67" s="33"/>
    </row>
    <row r="68" spans="1:14" ht="16.5" thickTop="1" thickBot="1" x14ac:dyDescent="0.3">
      <c r="A68" s="5" t="s">
        <v>230</v>
      </c>
      <c r="B68" s="6">
        <v>87128</v>
      </c>
      <c r="C68" s="7" t="s">
        <v>254</v>
      </c>
      <c r="D68" s="39" t="s">
        <v>245</v>
      </c>
      <c r="E68" s="39" t="s">
        <v>13</v>
      </c>
      <c r="F68" s="39" t="s">
        <v>13</v>
      </c>
      <c r="G68" s="9">
        <v>25470</v>
      </c>
      <c r="H68" s="10">
        <f t="shared" si="11"/>
        <v>25467</v>
      </c>
      <c r="I68" s="11">
        <v>50937</v>
      </c>
      <c r="J68" s="11">
        <f>VLOOKUP(A68,'Jan 26'!A:G,7,FALSE)</f>
        <v>25470</v>
      </c>
      <c r="K68" s="11"/>
      <c r="L68" s="11">
        <f t="shared" si="10"/>
        <v>0</v>
      </c>
      <c r="M68" s="41"/>
      <c r="N68" s="33"/>
    </row>
    <row r="69" spans="1:14" ht="16.5" thickTop="1" thickBot="1" x14ac:dyDescent="0.3">
      <c r="A69" s="5" t="s">
        <v>275</v>
      </c>
      <c r="B69" s="6">
        <v>89121</v>
      </c>
      <c r="C69" s="7" t="s">
        <v>23</v>
      </c>
      <c r="D69" s="39">
        <v>46062</v>
      </c>
      <c r="E69" s="39" t="s">
        <v>13</v>
      </c>
      <c r="F69" s="39" t="s">
        <v>13</v>
      </c>
      <c r="G69" s="9">
        <v>2712</v>
      </c>
      <c r="H69" s="10">
        <f t="shared" si="11"/>
        <v>3336</v>
      </c>
      <c r="I69" s="11">
        <v>6048</v>
      </c>
      <c r="J69" s="11">
        <v>0</v>
      </c>
      <c r="K69" s="11">
        <f>IF(G69=0,J69-G69,0)</f>
        <v>0</v>
      </c>
      <c r="L69" s="11">
        <f t="shared" si="10"/>
        <v>2712</v>
      </c>
      <c r="M69" s="41"/>
      <c r="N69" s="33"/>
    </row>
    <row r="70" spans="1:14" ht="16.5" thickTop="1" thickBot="1" x14ac:dyDescent="0.3">
      <c r="A70" s="5" t="s">
        <v>70</v>
      </c>
      <c r="B70" s="6">
        <v>82632</v>
      </c>
      <c r="C70" s="7" t="s">
        <v>71</v>
      </c>
      <c r="D70" s="8" t="s">
        <v>72</v>
      </c>
      <c r="E70" s="39" t="s">
        <v>13</v>
      </c>
      <c r="F70" s="39" t="s">
        <v>13</v>
      </c>
      <c r="G70" s="9">
        <v>99911</v>
      </c>
      <c r="H70" s="10">
        <f t="shared" si="11"/>
        <v>99911</v>
      </c>
      <c r="I70" s="11">
        <v>199822</v>
      </c>
      <c r="J70" s="11">
        <f>VLOOKUP(A70,'Jan 26'!A:G,7,FALSE)</f>
        <v>99911</v>
      </c>
      <c r="K70" s="11">
        <f>IF(G70=0,J70-G70,0)</f>
        <v>0</v>
      </c>
      <c r="L70" s="11">
        <f t="shared" si="10"/>
        <v>0</v>
      </c>
      <c r="M70" s="41"/>
      <c r="N70" s="33"/>
    </row>
    <row r="71" spans="1:14" ht="16.5" thickTop="1" thickBot="1" x14ac:dyDescent="0.3">
      <c r="A71" s="5" t="s">
        <v>103</v>
      </c>
      <c r="B71" s="6">
        <v>84210</v>
      </c>
      <c r="C71" s="7" t="s">
        <v>44</v>
      </c>
      <c r="D71" s="39">
        <v>45876</v>
      </c>
      <c r="E71" s="39" t="s">
        <v>13</v>
      </c>
      <c r="F71" s="39" t="s">
        <v>13</v>
      </c>
      <c r="G71" s="9">
        <v>31567</v>
      </c>
      <c r="H71" s="10">
        <f t="shared" si="11"/>
        <v>46437</v>
      </c>
      <c r="I71" s="11">
        <v>78004</v>
      </c>
      <c r="J71" s="11">
        <f>VLOOKUP(A71,'Jan 26'!A:G,7,FALSE)</f>
        <v>31567</v>
      </c>
      <c r="K71" s="11">
        <f>IF(G71=0,J71-G71,0)</f>
        <v>0</v>
      </c>
      <c r="L71" s="11">
        <f t="shared" si="10"/>
        <v>0</v>
      </c>
      <c r="M71" s="41"/>
      <c r="N71" s="33"/>
    </row>
    <row r="72" spans="1:14" ht="16.5" thickTop="1" thickBot="1" x14ac:dyDescent="0.3">
      <c r="A72" s="5" t="s">
        <v>231</v>
      </c>
      <c r="B72" s="6">
        <v>88433</v>
      </c>
      <c r="C72" s="7" t="s">
        <v>14</v>
      </c>
      <c r="D72" s="39" t="s">
        <v>246</v>
      </c>
      <c r="E72" s="39" t="s">
        <v>13</v>
      </c>
      <c r="F72" s="39" t="s">
        <v>13</v>
      </c>
      <c r="G72" s="9">
        <v>80538</v>
      </c>
      <c r="H72" s="10">
        <f t="shared" si="11"/>
        <v>80538</v>
      </c>
      <c r="I72" s="11">
        <v>161076</v>
      </c>
      <c r="J72" s="11">
        <f>VLOOKUP(A72,'Jan 26'!A:G,7,FALSE)</f>
        <v>80538</v>
      </c>
      <c r="K72" s="11"/>
      <c r="L72" s="11">
        <f t="shared" si="10"/>
        <v>0</v>
      </c>
      <c r="M72" s="41"/>
      <c r="N72" s="33"/>
    </row>
    <row r="73" spans="1:14" ht="16.5" thickTop="1" thickBot="1" x14ac:dyDescent="0.3">
      <c r="A73" s="5" t="s">
        <v>282</v>
      </c>
      <c r="B73" s="6">
        <v>88896</v>
      </c>
      <c r="C73" s="7" t="s">
        <v>19</v>
      </c>
      <c r="D73" s="39">
        <v>46058</v>
      </c>
      <c r="E73" s="39" t="s">
        <v>13</v>
      </c>
      <c r="F73" s="39" t="s">
        <v>13</v>
      </c>
      <c r="G73" s="9">
        <v>10238</v>
      </c>
      <c r="H73" s="10">
        <f t="shared" si="11"/>
        <v>10237</v>
      </c>
      <c r="I73" s="11">
        <v>20475</v>
      </c>
      <c r="J73" s="11">
        <v>0</v>
      </c>
      <c r="K73" s="11">
        <f>IF(G73=0,J73-G73,0)</f>
        <v>0</v>
      </c>
      <c r="L73" s="11">
        <f t="shared" si="10"/>
        <v>10238</v>
      </c>
      <c r="M73" s="41"/>
      <c r="N73" s="33"/>
    </row>
    <row r="74" spans="1:14" ht="16.5" thickTop="1" thickBot="1" x14ac:dyDescent="0.3">
      <c r="A74" s="5" t="s">
        <v>234</v>
      </c>
      <c r="B74" s="6">
        <v>87577</v>
      </c>
      <c r="C74" s="7" t="s">
        <v>253</v>
      </c>
      <c r="D74" s="39" t="s">
        <v>248</v>
      </c>
      <c r="E74" s="39">
        <v>46072</v>
      </c>
      <c r="F74" s="39" t="s">
        <v>13</v>
      </c>
      <c r="G74" s="9">
        <v>11785</v>
      </c>
      <c r="H74" s="10">
        <f t="shared" si="11"/>
        <v>11782</v>
      </c>
      <c r="I74" s="11">
        <v>23567</v>
      </c>
      <c r="J74" s="11">
        <f>VLOOKUP(A74,'Jan 26'!A:G,7,FALSE)</f>
        <v>11785</v>
      </c>
      <c r="K74" s="11"/>
      <c r="L74" s="11">
        <f t="shared" si="10"/>
        <v>0</v>
      </c>
      <c r="M74" s="41"/>
      <c r="N74" s="33"/>
    </row>
    <row r="75" spans="1:14" ht="16.5" thickTop="1" thickBot="1" x14ac:dyDescent="0.3">
      <c r="A75" s="5" t="s">
        <v>184</v>
      </c>
      <c r="B75" s="6">
        <v>87792</v>
      </c>
      <c r="C75" s="7" t="s">
        <v>31</v>
      </c>
      <c r="D75" s="39" t="s">
        <v>193</v>
      </c>
      <c r="E75" s="39">
        <v>46045</v>
      </c>
      <c r="F75" s="39" t="s">
        <v>353</v>
      </c>
      <c r="G75" s="9">
        <v>49733</v>
      </c>
      <c r="H75" s="10">
        <f t="shared" si="11"/>
        <v>49713</v>
      </c>
      <c r="I75" s="11">
        <v>99446</v>
      </c>
      <c r="J75" s="11">
        <f>VLOOKUP(A75,'Jan 26'!A:G,7,FALSE)</f>
        <v>49733</v>
      </c>
      <c r="K75" s="11">
        <f t="shared" ref="K75:K80" si="12">IF(G75=0,J75-G75,0)</f>
        <v>0</v>
      </c>
      <c r="L75" s="11">
        <f t="shared" si="10"/>
        <v>0</v>
      </c>
      <c r="M75" s="41"/>
      <c r="N75" s="33"/>
    </row>
    <row r="76" spans="1:14" ht="16.5" thickTop="1" thickBot="1" x14ac:dyDescent="0.3">
      <c r="A76" s="5" t="s">
        <v>203</v>
      </c>
      <c r="B76" s="6">
        <v>87488</v>
      </c>
      <c r="C76" s="7" t="s">
        <v>14</v>
      </c>
      <c r="D76" s="39" t="s">
        <v>209</v>
      </c>
      <c r="E76" s="39" t="s">
        <v>13</v>
      </c>
      <c r="F76" s="39" t="s">
        <v>13</v>
      </c>
      <c r="G76" s="9">
        <v>17613</v>
      </c>
      <c r="H76" s="10">
        <f t="shared" si="11"/>
        <v>17612</v>
      </c>
      <c r="I76" s="11">
        <v>35225</v>
      </c>
      <c r="J76" s="11">
        <f>VLOOKUP(A76,'Jan 26'!A:G,7,FALSE)</f>
        <v>17613</v>
      </c>
      <c r="K76" s="11">
        <f t="shared" si="12"/>
        <v>0</v>
      </c>
      <c r="L76" s="11">
        <f t="shared" si="10"/>
        <v>0</v>
      </c>
      <c r="M76" s="41"/>
      <c r="N76" s="33"/>
    </row>
    <row r="77" spans="1:14" ht="16.5" thickTop="1" thickBot="1" x14ac:dyDescent="0.3">
      <c r="A77" s="5" t="s">
        <v>159</v>
      </c>
      <c r="B77" s="6">
        <v>86855</v>
      </c>
      <c r="C77" s="7" t="s">
        <v>23</v>
      </c>
      <c r="D77" s="39">
        <v>45966</v>
      </c>
      <c r="E77" s="39">
        <v>46020</v>
      </c>
      <c r="F77" s="49">
        <v>46065</v>
      </c>
      <c r="G77" s="45">
        <v>0</v>
      </c>
      <c r="H77" s="58"/>
      <c r="I77" s="59"/>
      <c r="J77" s="11">
        <f>VLOOKUP(A77,'Jan 26'!A:G,7,FALSE)</f>
        <v>9717</v>
      </c>
      <c r="K77" s="11">
        <f t="shared" si="12"/>
        <v>9717</v>
      </c>
      <c r="L77" s="11" t="str">
        <f t="shared" si="10"/>
        <v>Invoiced this Month</v>
      </c>
      <c r="M77" s="41"/>
      <c r="N77" s="33"/>
    </row>
    <row r="78" spans="1:14" ht="16.5" thickTop="1" thickBot="1" x14ac:dyDescent="0.3">
      <c r="A78" s="5" t="s">
        <v>183</v>
      </c>
      <c r="B78" s="6">
        <v>88258</v>
      </c>
      <c r="C78" s="7" t="s">
        <v>23</v>
      </c>
      <c r="D78" s="39" t="s">
        <v>193</v>
      </c>
      <c r="E78" s="39">
        <v>46064</v>
      </c>
      <c r="F78" s="39" t="s">
        <v>13</v>
      </c>
      <c r="G78" s="9">
        <v>9467</v>
      </c>
      <c r="H78" s="10">
        <f t="shared" ref="H78:H91" si="13">I78-G78</f>
        <v>9467</v>
      </c>
      <c r="I78" s="11">
        <v>18934</v>
      </c>
      <c r="J78" s="11">
        <f>VLOOKUP(A78,'Jan 26'!A:G,7,FALSE)</f>
        <v>9467</v>
      </c>
      <c r="K78" s="11">
        <f t="shared" si="12"/>
        <v>0</v>
      </c>
      <c r="L78" s="11">
        <f t="shared" si="10"/>
        <v>0</v>
      </c>
      <c r="M78" s="41"/>
      <c r="N78" s="33"/>
    </row>
    <row r="79" spans="1:14" ht="16.5" thickTop="1" thickBot="1" x14ac:dyDescent="0.3">
      <c r="A79" s="5" t="s">
        <v>167</v>
      </c>
      <c r="B79" s="6">
        <v>87636</v>
      </c>
      <c r="C79" s="7" t="s">
        <v>16</v>
      </c>
      <c r="D79" s="39" t="s">
        <v>177</v>
      </c>
      <c r="E79" s="39">
        <v>46010</v>
      </c>
      <c r="F79" s="39" t="s">
        <v>353</v>
      </c>
      <c r="G79" s="9">
        <v>45837</v>
      </c>
      <c r="H79" s="10">
        <f t="shared" si="13"/>
        <v>44121</v>
      </c>
      <c r="I79" s="11">
        <v>89958</v>
      </c>
      <c r="J79" s="11">
        <f>VLOOKUP(A79,'Jan 26'!A:G,7,FALSE)</f>
        <v>45837</v>
      </c>
      <c r="K79" s="11">
        <f t="shared" si="12"/>
        <v>0</v>
      </c>
      <c r="L79" s="11">
        <f t="shared" si="10"/>
        <v>0</v>
      </c>
      <c r="M79" s="41"/>
      <c r="N79" s="33"/>
    </row>
    <row r="80" spans="1:14" ht="16.5" thickTop="1" thickBot="1" x14ac:dyDescent="0.3">
      <c r="A80" s="5" t="s">
        <v>93</v>
      </c>
      <c r="B80" s="6">
        <v>78503</v>
      </c>
      <c r="C80" s="7" t="s">
        <v>28</v>
      </c>
      <c r="D80" s="39">
        <v>45825</v>
      </c>
      <c r="E80" s="39" t="s">
        <v>13</v>
      </c>
      <c r="F80" s="39" t="s">
        <v>13</v>
      </c>
      <c r="G80" s="9">
        <v>15815</v>
      </c>
      <c r="H80" s="10">
        <f t="shared" si="13"/>
        <v>15814</v>
      </c>
      <c r="I80" s="11">
        <v>31629</v>
      </c>
      <c r="J80" s="11">
        <f>VLOOKUP(A80,'Jan 26'!A:G,7,FALSE)</f>
        <v>15815</v>
      </c>
      <c r="K80" s="11">
        <f t="shared" si="12"/>
        <v>0</v>
      </c>
      <c r="L80" s="11">
        <f t="shared" si="10"/>
        <v>0</v>
      </c>
      <c r="M80" s="41"/>
      <c r="N80" s="33"/>
    </row>
    <row r="81" spans="1:14" ht="16.5" thickTop="1" thickBot="1" x14ac:dyDescent="0.3">
      <c r="A81" s="5" t="s">
        <v>266</v>
      </c>
      <c r="B81" s="6">
        <v>87077</v>
      </c>
      <c r="C81" s="7" t="s">
        <v>40</v>
      </c>
      <c r="D81" s="39" t="s">
        <v>269</v>
      </c>
      <c r="E81" s="39" t="s">
        <v>13</v>
      </c>
      <c r="F81" s="39" t="s">
        <v>13</v>
      </c>
      <c r="G81" s="9">
        <v>11448</v>
      </c>
      <c r="H81" s="10">
        <f t="shared" si="13"/>
        <v>3238</v>
      </c>
      <c r="I81" s="11">
        <v>14686</v>
      </c>
      <c r="J81" s="11">
        <f>VLOOKUP(A81,'Jan 26'!A:G,7,FALSE)</f>
        <v>11448</v>
      </c>
      <c r="K81" s="11"/>
      <c r="L81" s="11">
        <f t="shared" si="10"/>
        <v>0</v>
      </c>
      <c r="M81" s="41"/>
      <c r="N81" s="33"/>
    </row>
    <row r="82" spans="1:14" ht="16.5" thickTop="1" thickBot="1" x14ac:dyDescent="0.3">
      <c r="A82" s="5" t="s">
        <v>241</v>
      </c>
      <c r="B82" s="6">
        <v>87242</v>
      </c>
      <c r="C82" s="7" t="s">
        <v>14</v>
      </c>
      <c r="D82" s="39" t="s">
        <v>252</v>
      </c>
      <c r="E82" s="39" t="s">
        <v>13</v>
      </c>
      <c r="F82" s="39" t="s">
        <v>13</v>
      </c>
      <c r="G82" s="9">
        <v>44650</v>
      </c>
      <c r="H82" s="10">
        <f t="shared" si="13"/>
        <v>45536</v>
      </c>
      <c r="I82" s="11">
        <v>90186</v>
      </c>
      <c r="J82" s="11">
        <f>VLOOKUP(A82,'Jan 26'!A:G,7,FALSE)</f>
        <v>44650</v>
      </c>
      <c r="K82" s="11"/>
      <c r="L82" s="11">
        <f t="shared" si="10"/>
        <v>0</v>
      </c>
      <c r="M82" s="41"/>
      <c r="N82" s="33"/>
    </row>
    <row r="83" spans="1:14" ht="16.5" thickTop="1" thickBot="1" x14ac:dyDescent="0.3">
      <c r="A83" s="5" t="s">
        <v>142</v>
      </c>
      <c r="B83" s="6">
        <v>85352</v>
      </c>
      <c r="C83" s="7" t="s">
        <v>141</v>
      </c>
      <c r="D83" s="39">
        <v>45952</v>
      </c>
      <c r="E83" s="39">
        <v>46065</v>
      </c>
      <c r="F83" s="39" t="s">
        <v>13</v>
      </c>
      <c r="G83" s="9">
        <f>16954+18064</f>
        <v>35018</v>
      </c>
      <c r="H83" s="10">
        <f t="shared" si="13"/>
        <v>35018</v>
      </c>
      <c r="I83" s="11">
        <v>70036</v>
      </c>
      <c r="J83" s="11">
        <f>VLOOKUP(A83,'Jan 26'!A:G,7,FALSE)</f>
        <v>16954</v>
      </c>
      <c r="K83" s="11">
        <f>IF(G83=0,J83-G83,0)</f>
        <v>0</v>
      </c>
      <c r="L83" s="11">
        <f t="shared" si="10"/>
        <v>18064</v>
      </c>
      <c r="M83" s="41"/>
      <c r="N83" s="33"/>
    </row>
    <row r="84" spans="1:14" ht="16.5" thickTop="1" thickBot="1" x14ac:dyDescent="0.3">
      <c r="A84" s="5" t="s">
        <v>262</v>
      </c>
      <c r="B84" s="6">
        <v>88618</v>
      </c>
      <c r="C84" s="7" t="s">
        <v>21</v>
      </c>
      <c r="D84" s="39" t="s">
        <v>268</v>
      </c>
      <c r="E84" s="39" t="s">
        <v>13</v>
      </c>
      <c r="F84" s="39" t="s">
        <v>13</v>
      </c>
      <c r="G84" s="9">
        <v>6845</v>
      </c>
      <c r="H84" s="10">
        <f t="shared" si="13"/>
        <v>6844</v>
      </c>
      <c r="I84" s="11">
        <v>13689</v>
      </c>
      <c r="J84" s="11">
        <f>VLOOKUP(A84,'Jan 26'!A:G,7,FALSE)</f>
        <v>6845</v>
      </c>
      <c r="K84" s="11"/>
      <c r="L84" s="11">
        <f t="shared" si="10"/>
        <v>0</v>
      </c>
      <c r="M84" s="41"/>
      <c r="N84" s="33"/>
    </row>
    <row r="85" spans="1:14" ht="16.5" thickTop="1" thickBot="1" x14ac:dyDescent="0.3">
      <c r="A85" s="5" t="s">
        <v>199</v>
      </c>
      <c r="B85" s="6">
        <v>87830</v>
      </c>
      <c r="C85" s="7" t="s">
        <v>33</v>
      </c>
      <c r="D85" s="39">
        <v>46002</v>
      </c>
      <c r="E85" s="39">
        <v>46069</v>
      </c>
      <c r="F85" s="39" t="s">
        <v>13</v>
      </c>
      <c r="G85" s="9">
        <v>7852</v>
      </c>
      <c r="H85" s="10">
        <f t="shared" si="13"/>
        <v>7852</v>
      </c>
      <c r="I85" s="11">
        <v>15704</v>
      </c>
      <c r="J85" s="11">
        <f>VLOOKUP(A85,'Jan 26'!A:G,7,FALSE)</f>
        <v>7852</v>
      </c>
      <c r="K85" s="11">
        <f t="shared" ref="K85:K99" si="14">IF(G85=0,J85-G85,0)</f>
        <v>0</v>
      </c>
      <c r="L85" s="11">
        <f t="shared" si="10"/>
        <v>0</v>
      </c>
      <c r="M85" s="41"/>
      <c r="N85" s="33"/>
    </row>
    <row r="86" spans="1:14" ht="16.5" thickTop="1" thickBot="1" x14ac:dyDescent="0.3">
      <c r="A86" s="5" t="s">
        <v>106</v>
      </c>
      <c r="B86" s="6">
        <v>85604</v>
      </c>
      <c r="C86" s="7" t="s">
        <v>17</v>
      </c>
      <c r="D86" s="39">
        <v>45881</v>
      </c>
      <c r="E86" s="39" t="s">
        <v>13</v>
      </c>
      <c r="F86" s="39" t="s">
        <v>13</v>
      </c>
      <c r="G86" s="19">
        <v>80676.28</v>
      </c>
      <c r="H86" s="10">
        <f t="shared" si="13"/>
        <v>-4388.2799999999988</v>
      </c>
      <c r="I86" s="11">
        <v>76288</v>
      </c>
      <c r="J86" s="11">
        <f>VLOOKUP(A86,'Jan 26'!A:G,7,FALSE)</f>
        <v>80676.28</v>
      </c>
      <c r="K86" s="11">
        <f t="shared" si="14"/>
        <v>0</v>
      </c>
      <c r="L86" s="11">
        <f t="shared" si="10"/>
        <v>0</v>
      </c>
      <c r="M86" s="41"/>
      <c r="N86" s="33"/>
    </row>
    <row r="87" spans="1:14" ht="16.5" thickTop="1" thickBot="1" x14ac:dyDescent="0.3">
      <c r="A87" s="5" t="s">
        <v>146</v>
      </c>
      <c r="B87" s="6">
        <v>87595</v>
      </c>
      <c r="C87" s="7" t="s">
        <v>14</v>
      </c>
      <c r="D87" s="39">
        <v>45959</v>
      </c>
      <c r="E87" s="39">
        <v>46077</v>
      </c>
      <c r="F87" s="39" t="s">
        <v>13</v>
      </c>
      <c r="G87" s="9">
        <v>13979.5</v>
      </c>
      <c r="H87" s="10">
        <f t="shared" si="13"/>
        <v>13979.5</v>
      </c>
      <c r="I87" s="11">
        <v>27959</v>
      </c>
      <c r="J87" s="11">
        <f>VLOOKUP(A87,'Jan 26'!A:G,7,FALSE)</f>
        <v>13979.5</v>
      </c>
      <c r="K87" s="11">
        <f t="shared" si="14"/>
        <v>0</v>
      </c>
      <c r="L87" s="11">
        <f t="shared" si="10"/>
        <v>0</v>
      </c>
      <c r="M87" s="41"/>
      <c r="N87" s="33"/>
    </row>
    <row r="88" spans="1:14" ht="16.5" thickTop="1" thickBot="1" x14ac:dyDescent="0.3">
      <c r="A88" s="5" t="s">
        <v>188</v>
      </c>
      <c r="B88" s="6">
        <v>88335</v>
      </c>
      <c r="C88" s="7" t="s">
        <v>14</v>
      </c>
      <c r="D88" s="39" t="s">
        <v>195</v>
      </c>
      <c r="E88" s="39">
        <v>46055</v>
      </c>
      <c r="F88" s="39" t="s">
        <v>13</v>
      </c>
      <c r="G88" s="9">
        <v>21104</v>
      </c>
      <c r="H88" s="10">
        <f t="shared" si="13"/>
        <v>21104</v>
      </c>
      <c r="I88" s="11">
        <v>42208</v>
      </c>
      <c r="J88" s="11">
        <f>VLOOKUP(A88,'Jan 26'!A:G,7,FALSE)</f>
        <v>21104</v>
      </c>
      <c r="K88" s="11">
        <f t="shared" si="14"/>
        <v>0</v>
      </c>
      <c r="L88" s="11">
        <f t="shared" si="10"/>
        <v>0</v>
      </c>
      <c r="M88" s="41"/>
      <c r="N88" s="33"/>
    </row>
    <row r="89" spans="1:14" ht="16.5" thickTop="1" thickBot="1" x14ac:dyDescent="0.3">
      <c r="A89" s="5" t="s">
        <v>41</v>
      </c>
      <c r="B89" s="6">
        <v>79059</v>
      </c>
      <c r="C89" s="7" t="s">
        <v>14</v>
      </c>
      <c r="D89" s="8" t="s">
        <v>42</v>
      </c>
      <c r="E89" s="39">
        <v>46057</v>
      </c>
      <c r="F89" s="39" t="s">
        <v>13</v>
      </c>
      <c r="G89" s="9">
        <v>43711</v>
      </c>
      <c r="H89" s="10">
        <f t="shared" si="13"/>
        <v>131132</v>
      </c>
      <c r="I89" s="11">
        <v>174843</v>
      </c>
      <c r="J89" s="11">
        <f>VLOOKUP(A89,'Jan 26'!A:G,7,FALSE)</f>
        <v>43711</v>
      </c>
      <c r="K89" s="11">
        <f t="shared" si="14"/>
        <v>0</v>
      </c>
      <c r="L89" s="11">
        <f t="shared" si="10"/>
        <v>0</v>
      </c>
      <c r="M89" s="41"/>
      <c r="N89" s="33"/>
    </row>
    <row r="90" spans="1:14" ht="16.5" thickTop="1" thickBot="1" x14ac:dyDescent="0.3">
      <c r="A90" s="5" t="s">
        <v>117</v>
      </c>
      <c r="B90" s="6">
        <v>83698</v>
      </c>
      <c r="C90" s="7" t="s">
        <v>14</v>
      </c>
      <c r="D90" s="39">
        <v>45904</v>
      </c>
      <c r="E90" s="39">
        <v>46057</v>
      </c>
      <c r="F90" s="39" t="s">
        <v>13</v>
      </c>
      <c r="G90" s="9">
        <v>7860</v>
      </c>
      <c r="H90" s="10">
        <f t="shared" si="13"/>
        <v>6740</v>
      </c>
      <c r="I90" s="11">
        <v>14600</v>
      </c>
      <c r="J90" s="11">
        <f>VLOOKUP(A90,'Jan 26'!A:G,7,FALSE)</f>
        <v>7860</v>
      </c>
      <c r="K90" s="11">
        <f t="shared" si="14"/>
        <v>0</v>
      </c>
      <c r="L90" s="11">
        <f t="shared" si="10"/>
        <v>0</v>
      </c>
      <c r="M90" s="38"/>
      <c r="N90" s="33"/>
    </row>
    <row r="91" spans="1:14" ht="16.5" thickTop="1" thickBot="1" x14ac:dyDescent="0.3">
      <c r="A91" s="5" t="s">
        <v>212</v>
      </c>
      <c r="B91" s="6">
        <v>87641</v>
      </c>
      <c r="C91" s="7" t="s">
        <v>14</v>
      </c>
      <c r="D91" s="39">
        <v>46013</v>
      </c>
      <c r="E91" s="39" t="s">
        <v>13</v>
      </c>
      <c r="F91" s="39" t="s">
        <v>13</v>
      </c>
      <c r="G91" s="9">
        <v>13019</v>
      </c>
      <c r="H91" s="10">
        <f t="shared" si="13"/>
        <v>13018</v>
      </c>
      <c r="I91" s="11">
        <v>26037</v>
      </c>
      <c r="J91" s="11">
        <f>VLOOKUP(A91,'Jan 26'!A:G,7,FALSE)</f>
        <v>13019</v>
      </c>
      <c r="K91" s="11">
        <f t="shared" si="14"/>
        <v>0</v>
      </c>
      <c r="L91" s="11">
        <f t="shared" si="10"/>
        <v>0</v>
      </c>
      <c r="M91" s="41"/>
      <c r="N91" s="33"/>
    </row>
    <row r="92" spans="1:14" ht="16.5" thickTop="1" thickBot="1" x14ac:dyDescent="0.3">
      <c r="A92" s="5" t="s">
        <v>112</v>
      </c>
      <c r="B92" s="6">
        <v>86716</v>
      </c>
      <c r="C92" s="7" t="s">
        <v>31</v>
      </c>
      <c r="D92" s="39" t="s">
        <v>114</v>
      </c>
      <c r="E92" s="39">
        <v>45940</v>
      </c>
      <c r="F92" s="49">
        <v>46057</v>
      </c>
      <c r="G92" s="45">
        <v>0</v>
      </c>
      <c r="H92" s="58"/>
      <c r="I92" s="59"/>
      <c r="J92" s="11">
        <f>VLOOKUP(A92,'Jan 26'!A:G,7,FALSE)</f>
        <v>71405</v>
      </c>
      <c r="K92" s="11">
        <f t="shared" si="14"/>
        <v>71405</v>
      </c>
      <c r="L92" s="11" t="str">
        <f t="shared" si="10"/>
        <v>Invoiced this Month</v>
      </c>
      <c r="M92" s="41"/>
      <c r="N92" s="33"/>
    </row>
    <row r="93" spans="1:14" ht="16.5" thickTop="1" thickBot="1" x14ac:dyDescent="0.3">
      <c r="A93" s="5" t="s">
        <v>43</v>
      </c>
      <c r="B93" s="6">
        <v>80858</v>
      </c>
      <c r="C93" s="7" t="s">
        <v>44</v>
      </c>
      <c r="D93" s="8" t="s">
        <v>36</v>
      </c>
      <c r="E93" s="39" t="s">
        <v>13</v>
      </c>
      <c r="F93" s="39" t="s">
        <v>13</v>
      </c>
      <c r="G93" s="9">
        <v>6843</v>
      </c>
      <c r="H93" s="10">
        <f>I93-G93</f>
        <v>6843</v>
      </c>
      <c r="I93" s="11">
        <v>13686</v>
      </c>
      <c r="J93" s="11">
        <f>VLOOKUP(A93,'Jan 26'!A:G,7,FALSE)</f>
        <v>6843</v>
      </c>
      <c r="K93" s="11">
        <f t="shared" si="14"/>
        <v>0</v>
      </c>
      <c r="L93" s="11">
        <f t="shared" si="10"/>
        <v>0</v>
      </c>
      <c r="M93" s="41"/>
      <c r="N93" s="33"/>
    </row>
    <row r="94" spans="1:14" ht="16.5" thickTop="1" thickBot="1" x14ac:dyDescent="0.3">
      <c r="A94" s="5" t="s">
        <v>287</v>
      </c>
      <c r="B94" s="6">
        <v>87078</v>
      </c>
      <c r="C94" s="7" t="s">
        <v>57</v>
      </c>
      <c r="D94" s="39" t="s">
        <v>292</v>
      </c>
      <c r="E94" s="39" t="s">
        <v>13</v>
      </c>
      <c r="F94" s="39" t="s">
        <v>13</v>
      </c>
      <c r="G94" s="9">
        <v>12457</v>
      </c>
      <c r="H94" s="10">
        <f>I94-G94</f>
        <v>12457</v>
      </c>
      <c r="I94" s="11">
        <v>24914</v>
      </c>
      <c r="J94" s="11">
        <v>0</v>
      </c>
      <c r="K94" s="11">
        <f t="shared" si="14"/>
        <v>0</v>
      </c>
      <c r="L94" s="11">
        <f t="shared" si="10"/>
        <v>12457</v>
      </c>
      <c r="M94" s="41"/>
      <c r="N94" s="33"/>
    </row>
    <row r="95" spans="1:14" ht="16.5" thickTop="1" thickBot="1" x14ac:dyDescent="0.3">
      <c r="A95" s="5" t="s">
        <v>321</v>
      </c>
      <c r="B95" s="6">
        <v>86134</v>
      </c>
      <c r="C95" s="7" t="s">
        <v>21</v>
      </c>
      <c r="D95" s="39" t="s">
        <v>319</v>
      </c>
      <c r="E95" s="39" t="s">
        <v>13</v>
      </c>
      <c r="F95" s="39" t="s">
        <v>13</v>
      </c>
      <c r="G95" s="9">
        <v>5151</v>
      </c>
      <c r="H95" s="10">
        <f>I95-G95</f>
        <v>12016</v>
      </c>
      <c r="I95" s="11">
        <v>17167</v>
      </c>
      <c r="J95" s="11">
        <v>0</v>
      </c>
      <c r="K95" s="11">
        <f t="shared" si="14"/>
        <v>0</v>
      </c>
      <c r="L95" s="11">
        <f t="shared" si="10"/>
        <v>5151</v>
      </c>
      <c r="M95" s="41"/>
      <c r="N95" s="33"/>
    </row>
    <row r="96" spans="1:14" ht="16.5" thickTop="1" thickBot="1" x14ac:dyDescent="0.3">
      <c r="A96" s="5" t="s">
        <v>338</v>
      </c>
      <c r="B96" s="6">
        <v>87824</v>
      </c>
      <c r="C96" s="7" t="s">
        <v>20</v>
      </c>
      <c r="D96" s="39" t="s">
        <v>346</v>
      </c>
      <c r="E96" s="39" t="s">
        <v>13</v>
      </c>
      <c r="F96" s="39" t="s">
        <v>13</v>
      </c>
      <c r="G96" s="9">
        <v>109880</v>
      </c>
      <c r="H96" s="10">
        <f>I96-G96</f>
        <v>109880</v>
      </c>
      <c r="I96" s="11">
        <v>219760</v>
      </c>
      <c r="J96" s="11">
        <v>0</v>
      </c>
      <c r="K96" s="11">
        <f t="shared" si="14"/>
        <v>0</v>
      </c>
      <c r="L96" s="11">
        <f t="shared" si="10"/>
        <v>109880</v>
      </c>
      <c r="M96" s="41"/>
      <c r="N96" s="33"/>
    </row>
    <row r="97" spans="1:14" ht="16.5" thickTop="1" thickBot="1" x14ac:dyDescent="0.3">
      <c r="A97" s="5" t="s">
        <v>118</v>
      </c>
      <c r="B97" s="6">
        <v>86420</v>
      </c>
      <c r="C97" s="7" t="s">
        <v>40</v>
      </c>
      <c r="D97" s="39">
        <v>45910</v>
      </c>
      <c r="E97" s="39">
        <v>45992</v>
      </c>
      <c r="F97" s="49">
        <v>46062</v>
      </c>
      <c r="G97" s="45">
        <v>0</v>
      </c>
      <c r="H97" s="58"/>
      <c r="I97" s="59"/>
      <c r="J97" s="11">
        <f>VLOOKUP(A97,'Jan 26'!A:G,7,FALSE)</f>
        <v>120942</v>
      </c>
      <c r="K97" s="11">
        <f t="shared" si="14"/>
        <v>120942</v>
      </c>
      <c r="L97" s="11" t="str">
        <f t="shared" si="10"/>
        <v>Invoiced this Month</v>
      </c>
      <c r="M97" s="38"/>
      <c r="N97" s="33"/>
    </row>
    <row r="98" spans="1:14" ht="16.5" thickTop="1" thickBot="1" x14ac:dyDescent="0.3">
      <c r="A98" s="5" t="s">
        <v>80</v>
      </c>
      <c r="B98" s="6">
        <v>81326</v>
      </c>
      <c r="C98" s="7" t="s">
        <v>81</v>
      </c>
      <c r="D98" s="8" t="s">
        <v>82</v>
      </c>
      <c r="E98" s="39">
        <v>46037</v>
      </c>
      <c r="F98" s="49">
        <v>46058</v>
      </c>
      <c r="G98" s="45">
        <v>0</v>
      </c>
      <c r="H98" s="58"/>
      <c r="I98" s="59"/>
      <c r="J98" s="11">
        <f>VLOOKUP(A98,'Jan 26'!A:G,7,FALSE)</f>
        <v>7693</v>
      </c>
      <c r="K98" s="11">
        <f t="shared" si="14"/>
        <v>7693</v>
      </c>
      <c r="L98" s="11" t="str">
        <f t="shared" si="10"/>
        <v>Invoiced this Month</v>
      </c>
      <c r="M98" s="41"/>
      <c r="N98" s="33"/>
    </row>
    <row r="99" spans="1:14" ht="16.5" thickTop="1" thickBot="1" x14ac:dyDescent="0.3">
      <c r="A99" s="5" t="s">
        <v>198</v>
      </c>
      <c r="B99" s="6">
        <v>87704</v>
      </c>
      <c r="C99" s="7" t="s">
        <v>21</v>
      </c>
      <c r="D99" s="39">
        <v>46001</v>
      </c>
      <c r="E99" s="39">
        <v>46034</v>
      </c>
      <c r="F99" s="49">
        <v>46058</v>
      </c>
      <c r="G99" s="45">
        <v>0</v>
      </c>
      <c r="H99" s="58"/>
      <c r="I99" s="59"/>
      <c r="J99" s="11">
        <f>VLOOKUP(A99,'Jan 26'!A:G,7,FALSE)</f>
        <v>11648.15</v>
      </c>
      <c r="K99" s="11">
        <f t="shared" si="14"/>
        <v>11648.15</v>
      </c>
      <c r="L99" s="11">
        <v>11648.15</v>
      </c>
      <c r="M99" s="41"/>
      <c r="N99" s="33"/>
    </row>
    <row r="100" spans="1:14" ht="16.5" thickTop="1" thickBot="1" x14ac:dyDescent="0.3">
      <c r="A100" s="5" t="s">
        <v>226</v>
      </c>
      <c r="B100" s="6">
        <v>86639</v>
      </c>
      <c r="C100" s="7" t="s">
        <v>21</v>
      </c>
      <c r="D100" s="39" t="s">
        <v>244</v>
      </c>
      <c r="E100" s="39">
        <v>46070</v>
      </c>
      <c r="F100" s="39" t="s">
        <v>13</v>
      </c>
      <c r="G100" s="9">
        <v>29037</v>
      </c>
      <c r="H100" s="10">
        <f>I100-G100</f>
        <v>29037</v>
      </c>
      <c r="I100" s="11">
        <v>58074</v>
      </c>
      <c r="J100" s="11">
        <f>VLOOKUP(A100,'Jan 26'!A:G,7,FALSE)</f>
        <v>29037</v>
      </c>
      <c r="K100" s="11"/>
      <c r="L100" s="11">
        <f t="shared" ref="L100:L131" si="15">IF(G100&gt;0,G100-J100,"Invoiced this Month")</f>
        <v>0</v>
      </c>
      <c r="M100" s="41"/>
      <c r="N100" s="33"/>
    </row>
    <row r="101" spans="1:14" ht="16.5" thickTop="1" thickBot="1" x14ac:dyDescent="0.3">
      <c r="A101" s="5" t="s">
        <v>337</v>
      </c>
      <c r="B101" s="6">
        <v>88771</v>
      </c>
      <c r="C101" s="7" t="s">
        <v>21</v>
      </c>
      <c r="D101" s="39" t="s">
        <v>346</v>
      </c>
      <c r="E101" s="39" t="s">
        <v>13</v>
      </c>
      <c r="F101" s="39" t="s">
        <v>13</v>
      </c>
      <c r="G101" s="9">
        <v>1781</v>
      </c>
      <c r="H101" s="10">
        <f>I101-G101</f>
        <v>1781</v>
      </c>
      <c r="I101" s="11">
        <v>3562</v>
      </c>
      <c r="J101" s="11">
        <v>0</v>
      </c>
      <c r="K101" s="11">
        <f>IF(G101=0,J101-G101,0)</f>
        <v>0</v>
      </c>
      <c r="L101" s="11">
        <f t="shared" si="15"/>
        <v>1781</v>
      </c>
      <c r="M101" s="41"/>
      <c r="N101" s="33"/>
    </row>
    <row r="102" spans="1:14" ht="16.5" thickTop="1" thickBot="1" x14ac:dyDescent="0.3">
      <c r="A102" s="5" t="s">
        <v>290</v>
      </c>
      <c r="B102" s="6">
        <v>88927</v>
      </c>
      <c r="C102" s="7" t="s">
        <v>296</v>
      </c>
      <c r="D102" s="39" t="s">
        <v>294</v>
      </c>
      <c r="E102" s="39" t="s">
        <v>13</v>
      </c>
      <c r="F102" s="39" t="s">
        <v>13</v>
      </c>
      <c r="G102" s="9">
        <v>7884</v>
      </c>
      <c r="H102" s="10">
        <f>I102-G102</f>
        <v>7884</v>
      </c>
      <c r="I102" s="11">
        <v>15768</v>
      </c>
      <c r="J102" s="11">
        <v>0</v>
      </c>
      <c r="K102" s="11">
        <f>IF(G102=0,J102-G102,0)</f>
        <v>0</v>
      </c>
      <c r="L102" s="11">
        <f t="shared" si="15"/>
        <v>7884</v>
      </c>
      <c r="M102" s="41"/>
      <c r="N102" s="33"/>
    </row>
    <row r="103" spans="1:14" ht="16.5" thickTop="1" thickBot="1" x14ac:dyDescent="0.3">
      <c r="A103" s="5" t="s">
        <v>239</v>
      </c>
      <c r="B103" s="6">
        <v>86537</v>
      </c>
      <c r="C103" s="7" t="s">
        <v>256</v>
      </c>
      <c r="D103" s="39" t="s">
        <v>251</v>
      </c>
      <c r="E103" s="39" t="s">
        <v>13</v>
      </c>
      <c r="F103" s="39" t="s">
        <v>13</v>
      </c>
      <c r="G103" s="9">
        <v>10013</v>
      </c>
      <c r="H103" s="10">
        <f>I103-G103</f>
        <v>10012</v>
      </c>
      <c r="I103" s="11">
        <v>20025</v>
      </c>
      <c r="J103" s="11">
        <f>VLOOKUP(A103,'Jan 26'!A:G,7,FALSE)</f>
        <v>10013</v>
      </c>
      <c r="K103" s="11"/>
      <c r="L103" s="11">
        <f t="shared" si="15"/>
        <v>0</v>
      </c>
      <c r="M103" s="41"/>
      <c r="N103" s="33"/>
    </row>
    <row r="104" spans="1:14" ht="16.5" thickTop="1" thickBot="1" x14ac:dyDescent="0.3">
      <c r="A104" s="5" t="s">
        <v>200</v>
      </c>
      <c r="B104" s="6">
        <v>80783</v>
      </c>
      <c r="C104" s="7" t="s">
        <v>37</v>
      </c>
      <c r="D104" s="39">
        <v>46003</v>
      </c>
      <c r="E104" s="39">
        <v>46031</v>
      </c>
      <c r="F104" s="49">
        <v>46077</v>
      </c>
      <c r="G104" s="45">
        <v>0</v>
      </c>
      <c r="H104" s="58"/>
      <c r="I104" s="59"/>
      <c r="J104" s="11">
        <f>VLOOKUP(A104,'Jan 26'!A:G,7,FALSE)</f>
        <v>7110</v>
      </c>
      <c r="K104" s="11">
        <f t="shared" ref="K104:K111" si="16">IF(G104=0,J104-G104,0)</f>
        <v>7110</v>
      </c>
      <c r="L104" s="11" t="str">
        <f t="shared" si="15"/>
        <v>Invoiced this Month</v>
      </c>
      <c r="M104" s="41"/>
      <c r="N104" s="33"/>
    </row>
    <row r="105" spans="1:14" ht="16.5" thickTop="1" thickBot="1" x14ac:dyDescent="0.3">
      <c r="A105" s="5" t="s">
        <v>98</v>
      </c>
      <c r="B105" s="6">
        <v>80262</v>
      </c>
      <c r="C105" s="7" t="s">
        <v>14</v>
      </c>
      <c r="D105" s="39">
        <v>45855</v>
      </c>
      <c r="E105" s="39">
        <v>46038</v>
      </c>
      <c r="F105" s="49">
        <v>46066</v>
      </c>
      <c r="G105" s="45">
        <v>0</v>
      </c>
      <c r="H105" s="58"/>
      <c r="I105" s="59"/>
      <c r="J105" s="11">
        <f>VLOOKUP(A105,'Jan 26'!A:G,7,FALSE)</f>
        <v>5445</v>
      </c>
      <c r="K105" s="11">
        <f t="shared" si="16"/>
        <v>5445</v>
      </c>
      <c r="L105" s="11" t="str">
        <f t="shared" si="15"/>
        <v>Invoiced this Month</v>
      </c>
      <c r="M105" s="41"/>
      <c r="N105" s="33"/>
    </row>
    <row r="106" spans="1:14" ht="16.5" thickTop="1" thickBot="1" x14ac:dyDescent="0.3">
      <c r="A106" s="5" t="s">
        <v>132</v>
      </c>
      <c r="B106" s="6">
        <v>86090</v>
      </c>
      <c r="C106" s="7" t="s">
        <v>39</v>
      </c>
      <c r="D106" s="39">
        <v>45936</v>
      </c>
      <c r="E106" s="39">
        <v>45975</v>
      </c>
      <c r="F106" s="39" t="s">
        <v>350</v>
      </c>
      <c r="G106" s="9">
        <v>50633.5</v>
      </c>
      <c r="H106" s="10">
        <f>I106-G106</f>
        <v>50633.5</v>
      </c>
      <c r="I106" s="11">
        <v>101267</v>
      </c>
      <c r="J106" s="11">
        <f>VLOOKUP(A106,'Jan 26'!A:G,7,FALSE)</f>
        <v>50633.5</v>
      </c>
      <c r="K106" s="11">
        <f t="shared" si="16"/>
        <v>0</v>
      </c>
      <c r="L106" s="11">
        <f t="shared" si="15"/>
        <v>0</v>
      </c>
      <c r="M106" s="41"/>
      <c r="N106" s="33"/>
    </row>
    <row r="107" spans="1:14" ht="16.5" thickTop="1" thickBot="1" x14ac:dyDescent="0.3">
      <c r="A107" s="5" t="s">
        <v>164</v>
      </c>
      <c r="B107" s="6">
        <v>87645</v>
      </c>
      <c r="C107" s="7" t="s">
        <v>14</v>
      </c>
      <c r="D107" s="39">
        <v>45971</v>
      </c>
      <c r="E107" s="39">
        <v>46027</v>
      </c>
      <c r="F107" s="39" t="s">
        <v>350</v>
      </c>
      <c r="G107" s="9">
        <v>13500</v>
      </c>
      <c r="H107" s="10">
        <f>I107-G107</f>
        <v>10193</v>
      </c>
      <c r="I107" s="11">
        <v>23693</v>
      </c>
      <c r="J107" s="11">
        <f>VLOOKUP(A107,'Jan 26'!A:G,7,FALSE)</f>
        <v>13500</v>
      </c>
      <c r="K107" s="11">
        <f t="shared" si="16"/>
        <v>0</v>
      </c>
      <c r="L107" s="11">
        <f t="shared" si="15"/>
        <v>0</v>
      </c>
      <c r="M107" s="41"/>
      <c r="N107" s="33"/>
    </row>
    <row r="108" spans="1:14" ht="16.5" thickTop="1" thickBot="1" x14ac:dyDescent="0.3">
      <c r="A108" s="5" t="s">
        <v>165</v>
      </c>
      <c r="B108" s="6">
        <v>87446</v>
      </c>
      <c r="C108" s="7" t="s">
        <v>33</v>
      </c>
      <c r="D108" s="39">
        <v>45971</v>
      </c>
      <c r="E108" s="39">
        <v>46055</v>
      </c>
      <c r="F108" s="39" t="s">
        <v>13</v>
      </c>
      <c r="G108" s="9">
        <v>20000</v>
      </c>
      <c r="H108" s="10">
        <f>I108-G108</f>
        <v>9072</v>
      </c>
      <c r="I108" s="11">
        <v>29072</v>
      </c>
      <c r="J108" s="11">
        <f>VLOOKUP(A108,'Jan 26'!A:G,7,FALSE)</f>
        <v>20000</v>
      </c>
      <c r="K108" s="11">
        <f t="shared" si="16"/>
        <v>0</v>
      </c>
      <c r="L108" s="11">
        <f t="shared" si="15"/>
        <v>0</v>
      </c>
      <c r="M108" s="41"/>
      <c r="N108" s="33"/>
    </row>
    <row r="109" spans="1:14" ht="16.5" thickTop="1" thickBot="1" x14ac:dyDescent="0.3">
      <c r="A109" s="5" t="s">
        <v>127</v>
      </c>
      <c r="B109" s="6">
        <v>86087</v>
      </c>
      <c r="C109" s="7" t="s">
        <v>78</v>
      </c>
      <c r="D109" s="39" t="s">
        <v>129</v>
      </c>
      <c r="E109" s="39" t="s">
        <v>13</v>
      </c>
      <c r="F109" s="39" t="s">
        <v>13</v>
      </c>
      <c r="G109" s="9">
        <v>16786</v>
      </c>
      <c r="H109" s="10">
        <f>I109-G109</f>
        <v>16786</v>
      </c>
      <c r="I109" s="11">
        <v>33572</v>
      </c>
      <c r="J109" s="11">
        <f>VLOOKUP(A109,'Jan 26'!A:G,7,FALSE)</f>
        <v>16786</v>
      </c>
      <c r="K109" s="11">
        <f t="shared" si="16"/>
        <v>0</v>
      </c>
      <c r="L109" s="11">
        <f t="shared" si="15"/>
        <v>0</v>
      </c>
      <c r="N109" s="33"/>
    </row>
    <row r="110" spans="1:14" ht="16.5" thickTop="1" thickBot="1" x14ac:dyDescent="0.3">
      <c r="A110" s="5" t="s">
        <v>201</v>
      </c>
      <c r="B110" s="6">
        <v>86944</v>
      </c>
      <c r="C110" s="7" t="s">
        <v>23</v>
      </c>
      <c r="D110" s="39" t="s">
        <v>208</v>
      </c>
      <c r="E110" s="39">
        <v>46030</v>
      </c>
      <c r="F110" s="49">
        <v>46080</v>
      </c>
      <c r="G110" s="45">
        <v>0</v>
      </c>
      <c r="H110" s="58"/>
      <c r="I110" s="59"/>
      <c r="J110" s="11">
        <f>VLOOKUP(A110,'Jan 26'!A:G,7,FALSE)</f>
        <v>10965</v>
      </c>
      <c r="K110" s="11">
        <f t="shared" si="16"/>
        <v>10965</v>
      </c>
      <c r="L110" s="11" t="str">
        <f t="shared" si="15"/>
        <v>Invoiced this Month</v>
      </c>
      <c r="M110" s="41"/>
      <c r="N110" s="33"/>
    </row>
    <row r="111" spans="1:14" ht="16.5" thickTop="1" thickBot="1" x14ac:dyDescent="0.3">
      <c r="A111" s="5" t="s">
        <v>329</v>
      </c>
      <c r="B111" s="6">
        <v>88524</v>
      </c>
      <c r="C111" s="7" t="s">
        <v>23</v>
      </c>
      <c r="D111" s="39" t="s">
        <v>343</v>
      </c>
      <c r="E111" s="39" t="s">
        <v>13</v>
      </c>
      <c r="F111" s="39" t="s">
        <v>13</v>
      </c>
      <c r="G111" s="9">
        <v>6563</v>
      </c>
      <c r="H111" s="10">
        <f>I111-G111</f>
        <v>6563</v>
      </c>
      <c r="I111" s="11">
        <v>13126</v>
      </c>
      <c r="J111" s="11">
        <v>0</v>
      </c>
      <c r="K111" s="11">
        <f t="shared" si="16"/>
        <v>0</v>
      </c>
      <c r="L111" s="11">
        <f t="shared" si="15"/>
        <v>6563</v>
      </c>
      <c r="M111" s="41"/>
      <c r="N111" s="33"/>
    </row>
    <row r="112" spans="1:14" ht="16.5" thickTop="1" thickBot="1" x14ac:dyDescent="0.3">
      <c r="A112" s="5" t="s">
        <v>259</v>
      </c>
      <c r="B112" s="6">
        <v>88810</v>
      </c>
      <c r="C112" s="7" t="s">
        <v>14</v>
      </c>
      <c r="D112" s="39" t="s">
        <v>267</v>
      </c>
      <c r="E112" s="39" t="s">
        <v>13</v>
      </c>
      <c r="F112" s="39" t="s">
        <v>13</v>
      </c>
      <c r="G112" s="9">
        <v>22507</v>
      </c>
      <c r="H112" s="10">
        <f>I112-G112</f>
        <v>22506</v>
      </c>
      <c r="I112" s="11">
        <v>45013</v>
      </c>
      <c r="J112" s="11">
        <f>VLOOKUP(A112,'Jan 26'!A:G,7,FALSE)</f>
        <v>22507</v>
      </c>
      <c r="K112" s="11"/>
      <c r="L112" s="11">
        <f t="shared" si="15"/>
        <v>0</v>
      </c>
      <c r="M112" s="41"/>
      <c r="N112" s="33"/>
    </row>
    <row r="113" spans="1:14" ht="16.5" thickTop="1" thickBot="1" x14ac:dyDescent="0.3">
      <c r="A113" s="5" t="s">
        <v>316</v>
      </c>
      <c r="B113" s="6">
        <v>88919</v>
      </c>
      <c r="C113" s="7" t="s">
        <v>78</v>
      </c>
      <c r="D113" s="39" t="s">
        <v>315</v>
      </c>
      <c r="E113" s="39" t="s">
        <v>13</v>
      </c>
      <c r="F113" s="39" t="s">
        <v>13</v>
      </c>
      <c r="G113" s="9">
        <v>8348</v>
      </c>
      <c r="H113" s="10">
        <f>I113-G113</f>
        <v>8347</v>
      </c>
      <c r="I113" s="11">
        <v>16695</v>
      </c>
      <c r="J113" s="11">
        <v>0</v>
      </c>
      <c r="K113" s="11">
        <f t="shared" ref="K113:K120" si="17">IF(G113=0,J113-G113,0)</f>
        <v>0</v>
      </c>
      <c r="L113" s="11">
        <f t="shared" si="15"/>
        <v>8348</v>
      </c>
      <c r="M113" s="41"/>
      <c r="N113" s="33"/>
    </row>
    <row r="114" spans="1:14" ht="16.5" thickTop="1" thickBot="1" x14ac:dyDescent="0.3">
      <c r="A114" s="5" t="s">
        <v>99</v>
      </c>
      <c r="B114" s="6">
        <v>81910</v>
      </c>
      <c r="C114" s="7" t="s">
        <v>14</v>
      </c>
      <c r="D114" s="39">
        <v>45859</v>
      </c>
      <c r="E114" s="39" t="s">
        <v>13</v>
      </c>
      <c r="F114" s="39" t="s">
        <v>13</v>
      </c>
      <c r="G114" s="9">
        <v>13876</v>
      </c>
      <c r="H114" s="10">
        <f>I114-G114</f>
        <v>13875</v>
      </c>
      <c r="I114" s="11">
        <v>27751</v>
      </c>
      <c r="J114" s="11">
        <f>VLOOKUP(A114,'Jan 26'!A:G,7,FALSE)</f>
        <v>13876</v>
      </c>
      <c r="K114" s="11">
        <f t="shared" si="17"/>
        <v>0</v>
      </c>
      <c r="L114" s="11">
        <f t="shared" si="15"/>
        <v>0</v>
      </c>
      <c r="M114" s="41"/>
      <c r="N114" s="33"/>
    </row>
    <row r="115" spans="1:14" ht="16.5" thickTop="1" thickBot="1" x14ac:dyDescent="0.3">
      <c r="A115" s="5" t="s">
        <v>213</v>
      </c>
      <c r="B115" s="6">
        <v>88293</v>
      </c>
      <c r="C115" s="7" t="s">
        <v>18</v>
      </c>
      <c r="D115" s="39">
        <v>46015</v>
      </c>
      <c r="E115" s="39">
        <v>46035</v>
      </c>
      <c r="F115" s="49">
        <v>46070</v>
      </c>
      <c r="G115" s="45">
        <v>0</v>
      </c>
      <c r="H115" s="58"/>
      <c r="I115" s="59"/>
      <c r="J115" s="11">
        <f>VLOOKUP(A115,'Jan 26'!A:G,7,FALSE)</f>
        <v>11765</v>
      </c>
      <c r="K115" s="11">
        <f t="shared" si="17"/>
        <v>11765</v>
      </c>
      <c r="L115" s="11" t="str">
        <f t="shared" si="15"/>
        <v>Invoiced this Month</v>
      </c>
      <c r="M115" s="41"/>
      <c r="N115" s="33"/>
    </row>
    <row r="116" spans="1:14" ht="16.5" thickTop="1" thickBot="1" x14ac:dyDescent="0.3">
      <c r="A116" s="5" t="s">
        <v>149</v>
      </c>
      <c r="B116" s="6">
        <v>87713</v>
      </c>
      <c r="C116" s="7" t="s">
        <v>31</v>
      </c>
      <c r="D116" s="39">
        <v>45960</v>
      </c>
      <c r="E116" s="39" t="s">
        <v>13</v>
      </c>
      <c r="F116" s="39" t="s">
        <v>13</v>
      </c>
      <c r="G116" s="9">
        <v>192821</v>
      </c>
      <c r="H116" s="10">
        <f>I116-G116</f>
        <v>192821</v>
      </c>
      <c r="I116" s="11">
        <v>385642</v>
      </c>
      <c r="J116" s="11">
        <f>VLOOKUP(A116,'Jan 26'!A:G,7,FALSE)</f>
        <v>192821</v>
      </c>
      <c r="K116" s="11">
        <f t="shared" si="17"/>
        <v>0</v>
      </c>
      <c r="L116" s="11">
        <f t="shared" si="15"/>
        <v>0</v>
      </c>
      <c r="M116" s="41"/>
      <c r="N116" s="33"/>
    </row>
    <row r="117" spans="1:14" ht="16.5" thickTop="1" thickBot="1" x14ac:dyDescent="0.3">
      <c r="A117" s="5" t="s">
        <v>150</v>
      </c>
      <c r="B117" s="6">
        <v>87716</v>
      </c>
      <c r="C117" s="7" t="s">
        <v>31</v>
      </c>
      <c r="D117" s="39">
        <v>45960</v>
      </c>
      <c r="E117" s="39" t="s">
        <v>13</v>
      </c>
      <c r="F117" s="39" t="s">
        <v>13</v>
      </c>
      <c r="G117" s="9">
        <v>94522</v>
      </c>
      <c r="H117" s="10">
        <f>I117-G117</f>
        <v>94521</v>
      </c>
      <c r="I117" s="11">
        <v>189043</v>
      </c>
      <c r="J117" s="11">
        <f>VLOOKUP(A117,'Jan 26'!A:G,7,FALSE)</f>
        <v>94522</v>
      </c>
      <c r="K117" s="11">
        <f t="shared" si="17"/>
        <v>0</v>
      </c>
      <c r="L117" s="11">
        <f t="shared" si="15"/>
        <v>0</v>
      </c>
      <c r="M117" s="41"/>
      <c r="N117" s="33"/>
    </row>
    <row r="118" spans="1:14" ht="16.5" thickTop="1" thickBot="1" x14ac:dyDescent="0.3">
      <c r="A118" s="5" t="s">
        <v>68</v>
      </c>
      <c r="B118" s="6">
        <v>83381</v>
      </c>
      <c r="C118" s="7" t="s">
        <v>33</v>
      </c>
      <c r="D118" s="8" t="s">
        <v>69</v>
      </c>
      <c r="E118" s="39">
        <v>46056</v>
      </c>
      <c r="F118" s="39" t="s">
        <v>13</v>
      </c>
      <c r="G118" s="9">
        <v>35519.5</v>
      </c>
      <c r="H118" s="10">
        <f>I118-G118</f>
        <v>35808.5</v>
      </c>
      <c r="I118" s="11">
        <v>71328</v>
      </c>
      <c r="J118" s="11">
        <f>VLOOKUP(A118,'Jan 26'!A:G,7,FALSE)</f>
        <v>35519.5</v>
      </c>
      <c r="K118" s="11">
        <f t="shared" si="17"/>
        <v>0</v>
      </c>
      <c r="L118" s="11">
        <f t="shared" si="15"/>
        <v>0</v>
      </c>
      <c r="M118" s="41"/>
      <c r="N118" s="33"/>
    </row>
    <row r="119" spans="1:14" ht="16.5" thickTop="1" thickBot="1" x14ac:dyDescent="0.3">
      <c r="A119" s="5" t="s">
        <v>152</v>
      </c>
      <c r="B119" s="6">
        <v>86800</v>
      </c>
      <c r="C119" s="7" t="s">
        <v>45</v>
      </c>
      <c r="D119" s="39">
        <v>45960</v>
      </c>
      <c r="E119" s="39">
        <v>46003</v>
      </c>
      <c r="F119" s="49">
        <v>46058</v>
      </c>
      <c r="G119" s="45">
        <v>0</v>
      </c>
      <c r="H119" s="58"/>
      <c r="I119" s="59"/>
      <c r="J119" s="11">
        <f>VLOOKUP(A119,'Jan 26'!A:G,7,FALSE)</f>
        <v>20000</v>
      </c>
      <c r="K119" s="11">
        <f t="shared" si="17"/>
        <v>20000</v>
      </c>
      <c r="L119" s="11" t="str">
        <f t="shared" si="15"/>
        <v>Invoiced this Month</v>
      </c>
      <c r="M119" s="41"/>
      <c r="N119" s="33"/>
    </row>
    <row r="120" spans="1:14" ht="16.5" thickTop="1" thickBot="1" x14ac:dyDescent="0.3">
      <c r="A120" s="5" t="s">
        <v>171</v>
      </c>
      <c r="B120" s="6">
        <v>87145</v>
      </c>
      <c r="C120" s="7" t="s">
        <v>23</v>
      </c>
      <c r="D120" s="39" t="s">
        <v>179</v>
      </c>
      <c r="E120" s="39" t="s">
        <v>13</v>
      </c>
      <c r="F120" s="39" t="s">
        <v>13</v>
      </c>
      <c r="G120" s="9">
        <v>100990</v>
      </c>
      <c r="H120" s="10">
        <f>I120-G120</f>
        <v>100990</v>
      </c>
      <c r="I120" s="11">
        <v>201980</v>
      </c>
      <c r="J120" s="11">
        <f>VLOOKUP(A120,'Jan 26'!A:G,7,FALSE)</f>
        <v>100990</v>
      </c>
      <c r="K120" s="11">
        <f t="shared" si="17"/>
        <v>0</v>
      </c>
      <c r="L120" s="11">
        <f t="shared" si="15"/>
        <v>0</v>
      </c>
      <c r="M120" s="41"/>
      <c r="N120" s="33"/>
    </row>
    <row r="121" spans="1:14" ht="16.5" thickTop="1" thickBot="1" x14ac:dyDescent="0.3">
      <c r="A121" s="5" t="s">
        <v>238</v>
      </c>
      <c r="B121" s="6">
        <v>88897</v>
      </c>
      <c r="C121" s="7" t="s">
        <v>11</v>
      </c>
      <c r="D121" s="39" t="s">
        <v>250</v>
      </c>
      <c r="E121" s="39" t="s">
        <v>13</v>
      </c>
      <c r="F121" s="39" t="s">
        <v>13</v>
      </c>
      <c r="G121" s="9">
        <v>11041</v>
      </c>
      <c r="H121" s="10">
        <f>I121-G121</f>
        <v>11041</v>
      </c>
      <c r="I121" s="11">
        <v>22082</v>
      </c>
      <c r="J121" s="11">
        <f>VLOOKUP(A121,'Jan 26'!A:G,7,FALSE)</f>
        <v>11041</v>
      </c>
      <c r="K121" s="11"/>
      <c r="L121" s="11">
        <f t="shared" si="15"/>
        <v>0</v>
      </c>
      <c r="M121" s="41"/>
      <c r="N121" s="33"/>
    </row>
    <row r="122" spans="1:14" ht="16.5" thickTop="1" thickBot="1" x14ac:dyDescent="0.3">
      <c r="A122" s="5" t="s">
        <v>124</v>
      </c>
      <c r="B122" s="6">
        <v>87412</v>
      </c>
      <c r="C122" s="7" t="s">
        <v>23</v>
      </c>
      <c r="D122" s="39">
        <v>45926</v>
      </c>
      <c r="E122" s="39">
        <v>46070</v>
      </c>
      <c r="F122" s="39" t="s">
        <v>13</v>
      </c>
      <c r="G122" s="9">
        <f>44034+12383.91</f>
        <v>56417.91</v>
      </c>
      <c r="H122" s="10">
        <f>I122-G122</f>
        <v>56668.09</v>
      </c>
      <c r="I122" s="11">
        <v>113086</v>
      </c>
      <c r="J122" s="11">
        <f>VLOOKUP(A122,'Jan 26'!A:G,7,FALSE)</f>
        <v>44034</v>
      </c>
      <c r="K122" s="11">
        <f>IF(G122=0,J122-G122,0)</f>
        <v>0</v>
      </c>
      <c r="L122" s="11">
        <f t="shared" si="15"/>
        <v>12383.910000000003</v>
      </c>
      <c r="M122" s="38"/>
      <c r="N122" s="33"/>
    </row>
    <row r="123" spans="1:14" ht="16.5" thickTop="1" thickBot="1" x14ac:dyDescent="0.3">
      <c r="A123" s="5" t="s">
        <v>192</v>
      </c>
      <c r="B123" s="6">
        <v>88305</v>
      </c>
      <c r="C123" s="7" t="s">
        <v>23</v>
      </c>
      <c r="D123" s="39" t="s">
        <v>197</v>
      </c>
      <c r="E123" s="39">
        <v>46009</v>
      </c>
      <c r="F123" s="49">
        <v>46058</v>
      </c>
      <c r="G123" s="45">
        <v>0</v>
      </c>
      <c r="H123" s="58"/>
      <c r="I123" s="59"/>
      <c r="J123" s="11">
        <f>VLOOKUP(A123,'Jan 26'!A:G,7,FALSE)</f>
        <v>4175.82</v>
      </c>
      <c r="K123" s="11">
        <f>IF(G123=0,J123-G123,0)</f>
        <v>4175.82</v>
      </c>
      <c r="L123" s="11" t="str">
        <f t="shared" si="15"/>
        <v>Invoiced this Month</v>
      </c>
      <c r="M123" s="41"/>
      <c r="N123" s="33"/>
    </row>
    <row r="124" spans="1:14" ht="16.5" thickTop="1" thickBot="1" x14ac:dyDescent="0.3">
      <c r="A124" s="5" t="s">
        <v>202</v>
      </c>
      <c r="B124" s="6">
        <v>87088</v>
      </c>
      <c r="C124" s="7" t="s">
        <v>23</v>
      </c>
      <c r="D124" s="39" t="s">
        <v>209</v>
      </c>
      <c r="E124" s="39" t="s">
        <v>13</v>
      </c>
      <c r="F124" s="39" t="s">
        <v>13</v>
      </c>
      <c r="G124" s="9">
        <v>1253.3399999999999</v>
      </c>
      <c r="H124" s="10">
        <f>I124-G124</f>
        <v>1277.6600000000001</v>
      </c>
      <c r="I124" s="11">
        <v>2531</v>
      </c>
      <c r="J124" s="11">
        <f>VLOOKUP(A124,'Jan 26'!A:G,7,FALSE)</f>
        <v>1253.3399999999999</v>
      </c>
      <c r="K124" s="11">
        <f>IF(G124=0,J124-G124,0)</f>
        <v>0</v>
      </c>
      <c r="L124" s="11">
        <f t="shared" si="15"/>
        <v>0</v>
      </c>
      <c r="M124" s="41"/>
      <c r="N124" s="33"/>
    </row>
    <row r="125" spans="1:14" ht="16.5" thickTop="1" thickBot="1" x14ac:dyDescent="0.3">
      <c r="A125" s="5" t="s">
        <v>264</v>
      </c>
      <c r="B125" s="6">
        <v>87390</v>
      </c>
      <c r="C125" s="7" t="s">
        <v>23</v>
      </c>
      <c r="D125" s="39" t="s">
        <v>268</v>
      </c>
      <c r="E125" s="39">
        <v>46077</v>
      </c>
      <c r="F125" s="39" t="s">
        <v>13</v>
      </c>
      <c r="G125" s="9">
        <v>12751.2</v>
      </c>
      <c r="H125" s="10">
        <f>I125-G125</f>
        <v>13007.8</v>
      </c>
      <c r="I125" s="11">
        <v>25759</v>
      </c>
      <c r="J125" s="11">
        <f>VLOOKUP(A125,'Jan 26'!A:G,7,FALSE)</f>
        <v>12751.2</v>
      </c>
      <c r="K125" s="11"/>
      <c r="L125" s="11">
        <f t="shared" si="15"/>
        <v>0</v>
      </c>
      <c r="M125" s="41"/>
      <c r="N125" s="33"/>
    </row>
    <row r="126" spans="1:14" ht="16.5" thickTop="1" thickBot="1" x14ac:dyDescent="0.3">
      <c r="A126" s="5" t="s">
        <v>326</v>
      </c>
      <c r="B126" s="6">
        <v>89398</v>
      </c>
      <c r="C126" s="7" t="s">
        <v>23</v>
      </c>
      <c r="D126" s="39" t="s">
        <v>324</v>
      </c>
      <c r="E126" s="39" t="s">
        <v>13</v>
      </c>
      <c r="F126" s="39" t="s">
        <v>13</v>
      </c>
      <c r="G126" s="9">
        <v>8052.66</v>
      </c>
      <c r="H126" s="10">
        <f>I126-G126</f>
        <v>8214.34</v>
      </c>
      <c r="I126" s="11">
        <v>16267</v>
      </c>
      <c r="J126" s="11">
        <v>0</v>
      </c>
      <c r="K126" s="11">
        <f>IF(G126=0,J126-G126,0)</f>
        <v>0</v>
      </c>
      <c r="L126" s="11">
        <f t="shared" si="15"/>
        <v>8052.66</v>
      </c>
      <c r="M126" s="41"/>
      <c r="N126" s="33"/>
    </row>
    <row r="127" spans="1:14" ht="16.5" thickTop="1" thickBot="1" x14ac:dyDescent="0.3">
      <c r="A127" s="5" t="s">
        <v>160</v>
      </c>
      <c r="B127" s="6">
        <v>88001</v>
      </c>
      <c r="C127" s="7" t="s">
        <v>23</v>
      </c>
      <c r="D127" s="39">
        <v>45966</v>
      </c>
      <c r="E127" s="39">
        <v>46070</v>
      </c>
      <c r="F127" s="39" t="s">
        <v>13</v>
      </c>
      <c r="G127" s="9">
        <f>4514.4+3087.81</f>
        <v>7602.2099999999991</v>
      </c>
      <c r="H127" s="10">
        <f>I127-G127</f>
        <v>1516.7900000000009</v>
      </c>
      <c r="I127" s="11">
        <v>9119</v>
      </c>
      <c r="J127" s="11">
        <f>VLOOKUP(A127,'Jan 26'!A:G,7,FALSE)</f>
        <v>4514.3999999999996</v>
      </c>
      <c r="K127" s="11">
        <f>IF(G127=0,J127-G127,0)</f>
        <v>0</v>
      </c>
      <c r="L127" s="11">
        <f t="shared" si="15"/>
        <v>3087.8099999999995</v>
      </c>
      <c r="M127" s="41"/>
      <c r="N127" s="33"/>
    </row>
    <row r="128" spans="1:14" ht="16.5" thickTop="1" thickBot="1" x14ac:dyDescent="0.3">
      <c r="A128" s="5" t="s">
        <v>335</v>
      </c>
      <c r="B128" s="6">
        <v>89379</v>
      </c>
      <c r="C128" s="7" t="s">
        <v>57</v>
      </c>
      <c r="D128" s="39" t="s">
        <v>344</v>
      </c>
      <c r="E128" s="39">
        <v>46080</v>
      </c>
      <c r="F128" s="39" t="s">
        <v>13</v>
      </c>
      <c r="G128" s="9">
        <v>1130.58</v>
      </c>
      <c r="H128" s="10">
        <f>I128-G128</f>
        <v>1152.42</v>
      </c>
      <c r="I128" s="11">
        <v>2283</v>
      </c>
      <c r="J128" s="11">
        <v>0</v>
      </c>
      <c r="K128" s="11">
        <f>IF(G128=0,J128-G128,0)</f>
        <v>0</v>
      </c>
      <c r="L128" s="11">
        <f t="shared" si="15"/>
        <v>1130.58</v>
      </c>
      <c r="M128" s="41"/>
      <c r="N128" s="33"/>
    </row>
    <row r="129" spans="1:14" ht="16.5" thickTop="1" thickBot="1" x14ac:dyDescent="0.3">
      <c r="A129" s="5" t="s">
        <v>155</v>
      </c>
      <c r="B129" s="6">
        <v>87908</v>
      </c>
      <c r="C129" s="7" t="s">
        <v>57</v>
      </c>
      <c r="D129" s="39">
        <v>45964</v>
      </c>
      <c r="E129" s="39">
        <v>46010</v>
      </c>
      <c r="F129" s="49">
        <v>46057</v>
      </c>
      <c r="G129" s="45">
        <v>0</v>
      </c>
      <c r="H129" s="58"/>
      <c r="I129" s="59"/>
      <c r="J129" s="11">
        <f>VLOOKUP(A129,'Jan 26'!A:G,7,FALSE)</f>
        <v>1507.77</v>
      </c>
      <c r="K129" s="11">
        <f>IF(G129=0,J129-G129,0)</f>
        <v>1507.77</v>
      </c>
      <c r="L129" s="11" t="str">
        <f t="shared" si="15"/>
        <v>Invoiced this Month</v>
      </c>
      <c r="M129" s="41"/>
      <c r="N129" s="33"/>
    </row>
    <row r="130" spans="1:14" ht="16.5" thickTop="1" thickBot="1" x14ac:dyDescent="0.3">
      <c r="A130" s="5" t="s">
        <v>225</v>
      </c>
      <c r="B130" s="6">
        <v>88670</v>
      </c>
      <c r="C130" s="7" t="s">
        <v>57</v>
      </c>
      <c r="D130" s="39" t="s">
        <v>243</v>
      </c>
      <c r="E130" s="39">
        <v>46069</v>
      </c>
      <c r="F130" s="39" t="s">
        <v>13</v>
      </c>
      <c r="G130" s="9">
        <v>8423</v>
      </c>
      <c r="H130" s="10">
        <f>I130-G130</f>
        <v>8423</v>
      </c>
      <c r="I130" s="11">
        <v>16846</v>
      </c>
      <c r="J130" s="11">
        <f>VLOOKUP(A130,'Jan 26'!A:G,7,FALSE)</f>
        <v>8423</v>
      </c>
      <c r="K130" s="11"/>
      <c r="L130" s="11">
        <f t="shared" si="15"/>
        <v>0</v>
      </c>
      <c r="M130" s="41"/>
      <c r="N130" s="33"/>
    </row>
    <row r="131" spans="1:14" ht="16.5" thickTop="1" thickBot="1" x14ac:dyDescent="0.3">
      <c r="A131" s="5" t="s">
        <v>162</v>
      </c>
      <c r="B131" s="6">
        <v>85711</v>
      </c>
      <c r="C131" s="7" t="s">
        <v>57</v>
      </c>
      <c r="D131" s="39">
        <v>45967</v>
      </c>
      <c r="E131" s="39">
        <v>46008</v>
      </c>
      <c r="F131" s="61" t="s">
        <v>354</v>
      </c>
      <c r="G131" s="9">
        <v>56739.87</v>
      </c>
      <c r="H131" s="10">
        <f>I131-G131</f>
        <v>57886.13</v>
      </c>
      <c r="I131" s="11">
        <v>114626</v>
      </c>
      <c r="J131" s="11">
        <f>VLOOKUP(A131,'Jan 26'!A:G,7,FALSE)</f>
        <v>56739.87</v>
      </c>
      <c r="K131" s="11">
        <f>IF(G131=0,J131-G131,0)</f>
        <v>0</v>
      </c>
      <c r="L131" s="11">
        <f t="shared" si="15"/>
        <v>0</v>
      </c>
      <c r="M131" s="41"/>
      <c r="N131" s="33"/>
    </row>
    <row r="132" spans="1:14" ht="16.5" thickTop="1" thickBot="1" x14ac:dyDescent="0.3">
      <c r="A132" s="5" t="s">
        <v>331</v>
      </c>
      <c r="B132" s="6">
        <v>89367</v>
      </c>
      <c r="C132" s="7" t="s">
        <v>57</v>
      </c>
      <c r="D132" s="39" t="s">
        <v>343</v>
      </c>
      <c r="E132" s="39" t="s">
        <v>13</v>
      </c>
      <c r="F132" s="39" t="s">
        <v>13</v>
      </c>
      <c r="G132" s="9">
        <v>105339.96</v>
      </c>
      <c r="H132" s="10">
        <f>I132-G132</f>
        <v>107468.04</v>
      </c>
      <c r="I132" s="11">
        <v>212808</v>
      </c>
      <c r="J132" s="11">
        <v>0</v>
      </c>
      <c r="K132" s="11">
        <f>IF(G132=0,J132-G132,0)</f>
        <v>0</v>
      </c>
      <c r="L132" s="11">
        <f t="shared" ref="L132:L163" si="18">IF(G132&gt;0,G132-J132,"Invoiced this Month")</f>
        <v>105339.96</v>
      </c>
      <c r="M132" s="41"/>
      <c r="N132" s="33"/>
    </row>
    <row r="133" spans="1:14" ht="16.5" thickTop="1" thickBot="1" x14ac:dyDescent="0.3">
      <c r="A133" s="5" t="s">
        <v>263</v>
      </c>
      <c r="B133" s="6">
        <v>88892</v>
      </c>
      <c r="C133" s="7" t="s">
        <v>57</v>
      </c>
      <c r="D133" s="39" t="s">
        <v>268</v>
      </c>
      <c r="E133" s="39">
        <v>46064</v>
      </c>
      <c r="F133" s="39" t="s">
        <v>13</v>
      </c>
      <c r="G133" s="9">
        <v>1058.31</v>
      </c>
      <c r="H133" s="10">
        <f>I133-G133</f>
        <v>1079.69</v>
      </c>
      <c r="I133" s="11">
        <v>2138</v>
      </c>
      <c r="J133" s="11">
        <f>VLOOKUP(A133,'Jan 26'!A:G,7,FALSE)</f>
        <v>1058.31</v>
      </c>
      <c r="K133" s="11"/>
      <c r="L133" s="11">
        <f t="shared" si="18"/>
        <v>0</v>
      </c>
      <c r="M133" s="41"/>
      <c r="N133" s="33"/>
    </row>
    <row r="134" spans="1:14" ht="16.5" thickTop="1" thickBot="1" x14ac:dyDescent="0.3">
      <c r="A134" s="5" t="s">
        <v>204</v>
      </c>
      <c r="B134" s="6">
        <v>88500</v>
      </c>
      <c r="C134" s="7" t="s">
        <v>57</v>
      </c>
      <c r="D134" s="39" t="s">
        <v>210</v>
      </c>
      <c r="E134" s="39">
        <v>46028</v>
      </c>
      <c r="F134" s="49">
        <v>46070</v>
      </c>
      <c r="G134" s="45">
        <v>0</v>
      </c>
      <c r="H134" s="58"/>
      <c r="I134" s="59"/>
      <c r="J134" s="11">
        <f>VLOOKUP(A134,'Jan 26'!A:G,7,FALSE)</f>
        <v>1886</v>
      </c>
      <c r="K134" s="11">
        <f t="shared" ref="K134:K141" si="19">IF(G134=0,J134-G134,0)</f>
        <v>1886</v>
      </c>
      <c r="L134" s="11" t="str">
        <f t="shared" si="18"/>
        <v>Invoiced this Month</v>
      </c>
      <c r="M134" s="41"/>
      <c r="N134" s="33"/>
    </row>
    <row r="135" spans="1:14" ht="16.5" thickTop="1" thickBot="1" x14ac:dyDescent="0.3">
      <c r="A135" s="5" t="s">
        <v>109</v>
      </c>
      <c r="B135" s="6">
        <v>86334</v>
      </c>
      <c r="C135" s="7" t="s">
        <v>23</v>
      </c>
      <c r="D135" s="39">
        <v>45890</v>
      </c>
      <c r="E135" s="39" t="s">
        <v>13</v>
      </c>
      <c r="F135" s="39" t="s">
        <v>13</v>
      </c>
      <c r="G135" s="9">
        <f>5145-51.45</f>
        <v>5093.55</v>
      </c>
      <c r="H135" s="10">
        <f t="shared" ref="H135:H140" si="20">I135-G135</f>
        <v>5195.45</v>
      </c>
      <c r="I135" s="11">
        <v>10289</v>
      </c>
      <c r="J135" s="11">
        <f>VLOOKUP(A135,'Jan 26'!A:G,7,FALSE)</f>
        <v>5093.55</v>
      </c>
      <c r="K135" s="11">
        <f t="shared" si="19"/>
        <v>0</v>
      </c>
      <c r="L135" s="11">
        <f t="shared" si="18"/>
        <v>0</v>
      </c>
      <c r="M135" s="41"/>
      <c r="N135" s="33"/>
    </row>
    <row r="136" spans="1:14" ht="16.5" thickTop="1" thickBot="1" x14ac:dyDescent="0.3">
      <c r="A136" s="5" t="s">
        <v>341</v>
      </c>
      <c r="B136" s="6">
        <v>87599</v>
      </c>
      <c r="C136" s="7" t="s">
        <v>27</v>
      </c>
      <c r="D136" s="39" t="s">
        <v>347</v>
      </c>
      <c r="E136" s="39" t="s">
        <v>13</v>
      </c>
      <c r="F136" s="39" t="s">
        <v>13</v>
      </c>
      <c r="G136" s="9">
        <v>51424.45</v>
      </c>
      <c r="H136" s="10">
        <f t="shared" si="20"/>
        <v>73834.55</v>
      </c>
      <c r="I136" s="11">
        <v>125259</v>
      </c>
      <c r="J136" s="11">
        <v>0</v>
      </c>
      <c r="K136" s="11">
        <f t="shared" si="19"/>
        <v>0</v>
      </c>
      <c r="L136" s="11">
        <f t="shared" si="18"/>
        <v>51424.45</v>
      </c>
      <c r="M136" s="41"/>
      <c r="N136" s="33"/>
    </row>
    <row r="137" spans="1:14" ht="16.5" thickTop="1" thickBot="1" x14ac:dyDescent="0.3">
      <c r="A137" s="5" t="s">
        <v>191</v>
      </c>
      <c r="B137" s="6">
        <v>87232</v>
      </c>
      <c r="C137" s="7" t="s">
        <v>11</v>
      </c>
      <c r="D137" s="39" t="s">
        <v>196</v>
      </c>
      <c r="E137" s="39">
        <v>46048</v>
      </c>
      <c r="F137" s="39" t="s">
        <v>349</v>
      </c>
      <c r="G137" s="9">
        <f>23575+6065.5</f>
        <v>29640.5</v>
      </c>
      <c r="H137" s="10">
        <f t="shared" si="20"/>
        <v>20406.5</v>
      </c>
      <c r="I137" s="11">
        <v>50047</v>
      </c>
      <c r="J137" s="11">
        <f>VLOOKUP(A137,'Jan 26'!A:G,7,FALSE)</f>
        <v>23575</v>
      </c>
      <c r="K137" s="11">
        <f t="shared" si="19"/>
        <v>0</v>
      </c>
      <c r="L137" s="11">
        <f t="shared" si="18"/>
        <v>6065.5</v>
      </c>
      <c r="M137" s="41"/>
      <c r="N137" s="33"/>
    </row>
    <row r="138" spans="1:14" ht="16.5" thickTop="1" thickBot="1" x14ac:dyDescent="0.3">
      <c r="A138" s="5" t="s">
        <v>110</v>
      </c>
      <c r="B138" s="6">
        <v>84075</v>
      </c>
      <c r="C138" s="7" t="s">
        <v>14</v>
      </c>
      <c r="D138" s="39">
        <v>45894</v>
      </c>
      <c r="E138" s="39" t="s">
        <v>13</v>
      </c>
      <c r="F138" s="39" t="s">
        <v>13</v>
      </c>
      <c r="G138" s="9">
        <v>13567</v>
      </c>
      <c r="H138" s="10">
        <f t="shared" si="20"/>
        <v>13566</v>
      </c>
      <c r="I138" s="11">
        <v>27133</v>
      </c>
      <c r="J138" s="11">
        <f>VLOOKUP(A138,'Jan 26'!A:G,7,FALSE)</f>
        <v>13567</v>
      </c>
      <c r="K138" s="11">
        <f t="shared" si="19"/>
        <v>0</v>
      </c>
      <c r="L138" s="11">
        <f t="shared" si="18"/>
        <v>0</v>
      </c>
      <c r="M138" s="41"/>
      <c r="N138" s="33"/>
    </row>
    <row r="139" spans="1:14" ht="16.5" thickTop="1" thickBot="1" x14ac:dyDescent="0.3">
      <c r="A139" s="5" t="s">
        <v>97</v>
      </c>
      <c r="B139" s="6">
        <v>84726</v>
      </c>
      <c r="C139" s="7" t="s">
        <v>14</v>
      </c>
      <c r="D139" s="39">
        <v>45845</v>
      </c>
      <c r="E139" s="39" t="s">
        <v>13</v>
      </c>
      <c r="F139" s="39" t="s">
        <v>13</v>
      </c>
      <c r="G139" s="9">
        <v>231351</v>
      </c>
      <c r="H139" s="10">
        <f t="shared" si="20"/>
        <v>231350</v>
      </c>
      <c r="I139" s="11">
        <v>462701</v>
      </c>
      <c r="J139" s="11">
        <f>VLOOKUP(A139,'Jan 26'!A:G,7,FALSE)</f>
        <v>231351</v>
      </c>
      <c r="K139" s="11">
        <f t="shared" si="19"/>
        <v>0</v>
      </c>
      <c r="L139" s="11">
        <f t="shared" si="18"/>
        <v>0</v>
      </c>
      <c r="M139" s="41"/>
      <c r="N139" s="33"/>
    </row>
    <row r="140" spans="1:14" ht="16.5" thickTop="1" thickBot="1" x14ac:dyDescent="0.3">
      <c r="A140" s="5" t="s">
        <v>96</v>
      </c>
      <c r="B140" s="6">
        <v>84719</v>
      </c>
      <c r="C140" s="7" t="s">
        <v>14</v>
      </c>
      <c r="D140" s="39">
        <v>45845</v>
      </c>
      <c r="E140" s="39" t="s">
        <v>13</v>
      </c>
      <c r="F140" s="39" t="s">
        <v>13</v>
      </c>
      <c r="G140" s="9">
        <v>416603</v>
      </c>
      <c r="H140" s="10">
        <f t="shared" si="20"/>
        <v>416602</v>
      </c>
      <c r="I140" s="11">
        <v>833205</v>
      </c>
      <c r="J140" s="11">
        <f>VLOOKUP(A140,'Jan 26'!A:G,7,FALSE)</f>
        <v>416603</v>
      </c>
      <c r="K140" s="11">
        <f t="shared" si="19"/>
        <v>0</v>
      </c>
      <c r="L140" s="11">
        <f t="shared" si="18"/>
        <v>0</v>
      </c>
      <c r="M140" s="41"/>
      <c r="N140" s="33"/>
    </row>
    <row r="141" spans="1:14" ht="16.5" thickTop="1" thickBot="1" x14ac:dyDescent="0.3">
      <c r="A141" s="12" t="s">
        <v>47</v>
      </c>
      <c r="B141" s="13">
        <v>79488</v>
      </c>
      <c r="C141" s="14" t="s">
        <v>28</v>
      </c>
      <c r="D141" s="15" t="s">
        <v>48</v>
      </c>
      <c r="E141" s="40">
        <v>46015</v>
      </c>
      <c r="F141" s="49">
        <v>46078</v>
      </c>
      <c r="G141" s="45">
        <v>0</v>
      </c>
      <c r="H141" s="58"/>
      <c r="I141" s="59"/>
      <c r="J141" s="18">
        <f>VLOOKUP(A141,'Jan 26'!A:G,7,FALSE)</f>
        <v>23768</v>
      </c>
      <c r="K141" s="18">
        <f t="shared" si="19"/>
        <v>23768</v>
      </c>
      <c r="L141" s="18" t="str">
        <f t="shared" si="18"/>
        <v>Invoiced this Month</v>
      </c>
      <c r="M141" s="41"/>
      <c r="N141" s="33"/>
    </row>
    <row r="142" spans="1:14" ht="16.5" thickTop="1" thickBot="1" x14ac:dyDescent="0.3">
      <c r="A142" s="5" t="s">
        <v>261</v>
      </c>
      <c r="B142" s="6">
        <v>88206</v>
      </c>
      <c r="C142" s="7" t="s">
        <v>14</v>
      </c>
      <c r="D142" s="39" t="s">
        <v>267</v>
      </c>
      <c r="E142" s="39" t="s">
        <v>13</v>
      </c>
      <c r="F142" s="39" t="s">
        <v>13</v>
      </c>
      <c r="G142" s="9">
        <v>42008</v>
      </c>
      <c r="H142" s="10">
        <f>I142-G142</f>
        <v>42008</v>
      </c>
      <c r="I142" s="11">
        <v>84016</v>
      </c>
      <c r="J142" s="11">
        <f>VLOOKUP(A142,'Jan 26'!A:G,7,FALSE)</f>
        <v>42008</v>
      </c>
      <c r="K142" s="11"/>
      <c r="L142" s="11">
        <f t="shared" si="18"/>
        <v>0</v>
      </c>
      <c r="M142" s="41"/>
      <c r="N142" s="33"/>
    </row>
    <row r="143" spans="1:14" ht="16.5" thickTop="1" thickBot="1" x14ac:dyDescent="0.3">
      <c r="A143" s="5" t="s">
        <v>83</v>
      </c>
      <c r="B143" s="6">
        <v>82562</v>
      </c>
      <c r="C143" s="7" t="s">
        <v>14</v>
      </c>
      <c r="D143" s="39">
        <v>45792</v>
      </c>
      <c r="E143" s="39">
        <v>46022</v>
      </c>
      <c r="F143" s="49">
        <v>46079</v>
      </c>
      <c r="G143" s="45">
        <v>0</v>
      </c>
      <c r="H143" s="58"/>
      <c r="I143" s="59"/>
      <c r="J143" s="11">
        <f>VLOOKUP(A143,'Jan 26'!A:G,7,FALSE)</f>
        <v>82502</v>
      </c>
      <c r="K143" s="11">
        <f>IF(G143=0,J143-G143,0)</f>
        <v>82502</v>
      </c>
      <c r="L143" s="11" t="str">
        <f t="shared" si="18"/>
        <v>Invoiced this Month</v>
      </c>
      <c r="M143" s="41"/>
      <c r="N143" s="33"/>
    </row>
    <row r="144" spans="1:14" ht="16.5" thickTop="1" thickBot="1" x14ac:dyDescent="0.3">
      <c r="A144" s="5" t="s">
        <v>271</v>
      </c>
      <c r="B144" s="6">
        <v>89139</v>
      </c>
      <c r="C144" s="7" t="s">
        <v>20</v>
      </c>
      <c r="D144" s="39">
        <v>46055</v>
      </c>
      <c r="E144" s="39" t="s">
        <v>13</v>
      </c>
      <c r="F144" s="39" t="s">
        <v>13</v>
      </c>
      <c r="G144" s="55">
        <v>24500</v>
      </c>
      <c r="H144" s="56">
        <f t="shared" ref="H144:H149" si="21">I144-G144</f>
        <v>20433</v>
      </c>
      <c r="I144" s="57">
        <v>44933</v>
      </c>
      <c r="J144" s="11">
        <v>0</v>
      </c>
      <c r="K144" s="11">
        <f>IF(G144=0,J144-G144,0)</f>
        <v>0</v>
      </c>
      <c r="L144" s="11">
        <f t="shared" si="18"/>
        <v>24500</v>
      </c>
      <c r="M144" s="41"/>
      <c r="N144" s="33"/>
    </row>
    <row r="145" spans="1:14" ht="16.5" thickTop="1" thickBot="1" x14ac:dyDescent="0.3">
      <c r="A145" s="5" t="s">
        <v>277</v>
      </c>
      <c r="B145" s="6">
        <v>89065</v>
      </c>
      <c r="C145" s="7" t="s">
        <v>32</v>
      </c>
      <c r="D145" s="39">
        <v>46062</v>
      </c>
      <c r="E145" s="39" t="s">
        <v>13</v>
      </c>
      <c r="F145" s="39" t="s">
        <v>13</v>
      </c>
      <c r="G145" s="19">
        <v>33289</v>
      </c>
      <c r="H145" s="56">
        <f t="shared" si="21"/>
        <v>0</v>
      </c>
      <c r="I145" s="11">
        <v>33289</v>
      </c>
      <c r="J145" s="11">
        <v>0</v>
      </c>
      <c r="K145" s="11">
        <f>IF(G145=0,J145-G145,0)</f>
        <v>0</v>
      </c>
      <c r="L145" s="11">
        <f t="shared" si="18"/>
        <v>33289</v>
      </c>
      <c r="M145" s="41"/>
      <c r="N145" s="33"/>
    </row>
    <row r="146" spans="1:14" ht="16.5" thickTop="1" thickBot="1" x14ac:dyDescent="0.3">
      <c r="A146" s="5" t="s">
        <v>240</v>
      </c>
      <c r="B146" s="6">
        <v>86373</v>
      </c>
      <c r="C146" s="7" t="s">
        <v>39</v>
      </c>
      <c r="D146" s="39" t="s">
        <v>252</v>
      </c>
      <c r="E146" s="39" t="s">
        <v>13</v>
      </c>
      <c r="F146" s="39" t="s">
        <v>13</v>
      </c>
      <c r="G146" s="19">
        <f>12125+12125</f>
        <v>24250</v>
      </c>
      <c r="H146" s="10">
        <f t="shared" si="21"/>
        <v>0</v>
      </c>
      <c r="I146" s="11">
        <v>24250</v>
      </c>
      <c r="J146" s="11">
        <f>VLOOKUP(A146,'Jan 26'!A:G,7,FALSE)</f>
        <v>12125</v>
      </c>
      <c r="K146" s="11"/>
      <c r="L146" s="11">
        <f t="shared" si="18"/>
        <v>12125</v>
      </c>
      <c r="M146" s="41"/>
      <c r="N146" s="33"/>
    </row>
    <row r="147" spans="1:14" ht="16.5" thickTop="1" thickBot="1" x14ac:dyDescent="0.3">
      <c r="A147" s="5" t="s">
        <v>285</v>
      </c>
      <c r="B147" s="6">
        <v>85509</v>
      </c>
      <c r="C147" s="7" t="s">
        <v>67</v>
      </c>
      <c r="D147" s="39" t="s">
        <v>291</v>
      </c>
      <c r="E147" s="39" t="s">
        <v>13</v>
      </c>
      <c r="F147" s="39" t="s">
        <v>13</v>
      </c>
      <c r="G147" s="9">
        <v>8442</v>
      </c>
      <c r="H147" s="10">
        <f t="shared" si="21"/>
        <v>8443</v>
      </c>
      <c r="I147" s="11">
        <v>16885</v>
      </c>
      <c r="J147" s="11">
        <v>0</v>
      </c>
      <c r="K147" s="11">
        <f>IF(G147=0,J147-G147,0)</f>
        <v>0</v>
      </c>
      <c r="L147" s="11">
        <f t="shared" si="18"/>
        <v>8442</v>
      </c>
      <c r="M147" s="41"/>
      <c r="N147" s="33"/>
    </row>
    <row r="148" spans="1:14" ht="16.5" thickTop="1" thickBot="1" x14ac:dyDescent="0.3">
      <c r="A148" s="5" t="s">
        <v>233</v>
      </c>
      <c r="B148" s="6">
        <v>86089</v>
      </c>
      <c r="C148" s="7" t="s">
        <v>23</v>
      </c>
      <c r="D148" s="39" t="s">
        <v>248</v>
      </c>
      <c r="E148" s="39" t="s">
        <v>13</v>
      </c>
      <c r="F148" s="39" t="s">
        <v>13</v>
      </c>
      <c r="G148" s="9">
        <v>204790</v>
      </c>
      <c r="H148" s="10">
        <f t="shared" si="21"/>
        <v>624113</v>
      </c>
      <c r="I148" s="11">
        <v>828903</v>
      </c>
      <c r="J148" s="11">
        <f>VLOOKUP(A148,'Jan 26'!A:G,7,FALSE)</f>
        <v>204790</v>
      </c>
      <c r="K148" s="11"/>
      <c r="L148" s="11">
        <f t="shared" si="18"/>
        <v>0</v>
      </c>
      <c r="M148" s="41"/>
      <c r="N148" s="33"/>
    </row>
    <row r="149" spans="1:14" ht="16.5" thickTop="1" thickBot="1" x14ac:dyDescent="0.3">
      <c r="A149" s="5" t="s">
        <v>289</v>
      </c>
      <c r="B149" s="6">
        <v>87805</v>
      </c>
      <c r="C149" s="7" t="s">
        <v>33</v>
      </c>
      <c r="D149" s="39" t="s">
        <v>293</v>
      </c>
      <c r="E149" s="39" t="s">
        <v>13</v>
      </c>
      <c r="F149" s="39" t="s">
        <v>13</v>
      </c>
      <c r="G149" s="9">
        <v>3646</v>
      </c>
      <c r="H149" s="56">
        <f t="shared" si="21"/>
        <v>13048</v>
      </c>
      <c r="I149" s="11">
        <v>16694</v>
      </c>
      <c r="J149" s="11">
        <v>0</v>
      </c>
      <c r="K149" s="11">
        <f>IF(G149=0,J149-G149,0)</f>
        <v>0</v>
      </c>
      <c r="L149" s="11">
        <f t="shared" si="18"/>
        <v>3646</v>
      </c>
      <c r="M149" s="41"/>
      <c r="N149" s="33"/>
    </row>
    <row r="150" spans="1:14" ht="16.5" thickTop="1" thickBot="1" x14ac:dyDescent="0.3">
      <c r="A150" s="5" t="s">
        <v>102</v>
      </c>
      <c r="B150" s="6">
        <v>85857</v>
      </c>
      <c r="C150" s="7" t="s">
        <v>14</v>
      </c>
      <c r="D150" s="39">
        <v>45873</v>
      </c>
      <c r="E150" s="39">
        <v>46008</v>
      </c>
      <c r="F150" s="49">
        <v>46062</v>
      </c>
      <c r="G150" s="45">
        <v>0</v>
      </c>
      <c r="H150" s="58"/>
      <c r="I150" s="59"/>
      <c r="J150" s="11">
        <f>VLOOKUP(A150,'Jan 26'!A:G,7,FALSE)</f>
        <v>30415</v>
      </c>
      <c r="K150" s="11">
        <f>IF(G150=0,J150-G150,0)</f>
        <v>30415</v>
      </c>
      <c r="L150" s="11" t="str">
        <f t="shared" si="18"/>
        <v>Invoiced this Month</v>
      </c>
      <c r="M150" s="41"/>
      <c r="N150" s="33"/>
    </row>
    <row r="151" spans="1:14" ht="16.5" thickTop="1" thickBot="1" x14ac:dyDescent="0.3">
      <c r="A151" s="5" t="s">
        <v>279</v>
      </c>
      <c r="B151" s="6">
        <v>88322</v>
      </c>
      <c r="C151" s="7" t="s">
        <v>32</v>
      </c>
      <c r="D151" s="39">
        <v>46062</v>
      </c>
      <c r="E151" s="39" t="s">
        <v>13</v>
      </c>
      <c r="F151" s="39" t="s">
        <v>13</v>
      </c>
      <c r="G151" s="9">
        <v>11708</v>
      </c>
      <c r="H151" s="10">
        <f t="shared" ref="H151:H164" si="22">I151-G151</f>
        <v>11707</v>
      </c>
      <c r="I151" s="11">
        <v>23415</v>
      </c>
      <c r="J151" s="11">
        <v>0</v>
      </c>
      <c r="K151" s="11">
        <f>IF(G151=0,J151-G151,0)</f>
        <v>0</v>
      </c>
      <c r="L151" s="11">
        <f t="shared" si="18"/>
        <v>11708</v>
      </c>
      <c r="M151" s="41"/>
      <c r="N151" s="33"/>
    </row>
    <row r="152" spans="1:14" ht="16.5" thickTop="1" thickBot="1" x14ac:dyDescent="0.3">
      <c r="A152" s="5" t="s">
        <v>236</v>
      </c>
      <c r="B152" s="6">
        <v>88403</v>
      </c>
      <c r="C152" s="7" t="s">
        <v>255</v>
      </c>
      <c r="D152" s="39" t="s">
        <v>249</v>
      </c>
      <c r="E152" s="39">
        <v>46066</v>
      </c>
      <c r="F152" s="39" t="s">
        <v>13</v>
      </c>
      <c r="G152" s="9">
        <v>8650</v>
      </c>
      <c r="H152" s="10">
        <f t="shared" si="22"/>
        <v>8650</v>
      </c>
      <c r="I152" s="11">
        <v>17300</v>
      </c>
      <c r="J152" s="11">
        <f>VLOOKUP(A152,'Jan 26'!A:G,7,FALSE)</f>
        <v>8650</v>
      </c>
      <c r="K152" s="11"/>
      <c r="L152" s="11">
        <f t="shared" si="18"/>
        <v>0</v>
      </c>
      <c r="M152" s="41"/>
      <c r="N152" s="33"/>
    </row>
    <row r="153" spans="1:14" ht="16.5" thickTop="1" thickBot="1" x14ac:dyDescent="0.3">
      <c r="A153" s="12" t="s">
        <v>49</v>
      </c>
      <c r="B153" s="13">
        <v>73738</v>
      </c>
      <c r="C153" s="14" t="s">
        <v>40</v>
      </c>
      <c r="D153" s="15" t="s">
        <v>50</v>
      </c>
      <c r="E153" s="15" t="s">
        <v>494</v>
      </c>
      <c r="F153" s="40" t="s">
        <v>13</v>
      </c>
      <c r="G153" s="16">
        <v>30878</v>
      </c>
      <c r="H153" s="17">
        <f t="shared" si="22"/>
        <v>30877</v>
      </c>
      <c r="I153" s="18">
        <v>61755</v>
      </c>
      <c r="J153" s="18">
        <f>VLOOKUP(A153,'Jan 26'!A:G,7,FALSE)</f>
        <v>30878</v>
      </c>
      <c r="K153" s="18">
        <f>IF(G153=0,J153-G153,0)</f>
        <v>0</v>
      </c>
      <c r="L153" s="18">
        <f t="shared" si="18"/>
        <v>0</v>
      </c>
      <c r="M153" s="41"/>
      <c r="N153" s="33"/>
    </row>
    <row r="154" spans="1:14" ht="16.5" thickTop="1" thickBot="1" x14ac:dyDescent="0.3">
      <c r="A154" s="5" t="s">
        <v>94</v>
      </c>
      <c r="B154" s="6">
        <v>85860</v>
      </c>
      <c r="C154" s="7" t="s">
        <v>38</v>
      </c>
      <c r="D154" s="39">
        <v>45826</v>
      </c>
      <c r="E154" s="39" t="s">
        <v>13</v>
      </c>
      <c r="F154" s="39" t="s">
        <v>13</v>
      </c>
      <c r="G154" s="9">
        <v>68221</v>
      </c>
      <c r="H154" s="10">
        <f t="shared" si="22"/>
        <v>75946</v>
      </c>
      <c r="I154" s="11">
        <v>144167</v>
      </c>
      <c r="J154" s="11">
        <f>VLOOKUP(A154,'Jan 26'!A:G,7,FALSE)</f>
        <v>68221</v>
      </c>
      <c r="K154" s="11">
        <f>IF(G154=0,J154-G154,0)</f>
        <v>0</v>
      </c>
      <c r="L154" s="11">
        <f t="shared" si="18"/>
        <v>0</v>
      </c>
      <c r="M154" s="41"/>
      <c r="N154" s="33"/>
    </row>
    <row r="155" spans="1:14" ht="16.5" thickTop="1" thickBot="1" x14ac:dyDescent="0.3">
      <c r="A155" s="5" t="s">
        <v>276</v>
      </c>
      <c r="B155" s="6">
        <v>88397</v>
      </c>
      <c r="C155" s="7" t="s">
        <v>19</v>
      </c>
      <c r="D155" s="39">
        <v>46062</v>
      </c>
      <c r="E155" s="39" t="s">
        <v>13</v>
      </c>
      <c r="F155" s="39" t="s">
        <v>13</v>
      </c>
      <c r="G155" s="9">
        <v>59154.25</v>
      </c>
      <c r="H155" s="10">
        <f t="shared" si="22"/>
        <v>181512.75</v>
      </c>
      <c r="I155" s="57">
        <v>240667</v>
      </c>
      <c r="J155" s="11">
        <v>0</v>
      </c>
      <c r="K155" s="11">
        <f>IF(G155=0,J155-G155,0)</f>
        <v>0</v>
      </c>
      <c r="L155" s="11">
        <f t="shared" si="18"/>
        <v>59154.25</v>
      </c>
      <c r="M155" s="41"/>
      <c r="N155" s="33"/>
    </row>
    <row r="156" spans="1:14" ht="16.5" thickTop="1" thickBot="1" x14ac:dyDescent="0.3">
      <c r="A156" s="5" t="s">
        <v>190</v>
      </c>
      <c r="B156" s="6">
        <v>84246</v>
      </c>
      <c r="C156" s="7" t="s">
        <v>21</v>
      </c>
      <c r="D156" s="39" t="s">
        <v>195</v>
      </c>
      <c r="E156" s="39" t="s">
        <v>13</v>
      </c>
      <c r="F156" s="39" t="s">
        <v>13</v>
      </c>
      <c r="G156" s="9">
        <v>17115</v>
      </c>
      <c r="H156" s="10">
        <f t="shared" si="22"/>
        <v>17115</v>
      </c>
      <c r="I156" s="11">
        <v>34230</v>
      </c>
      <c r="J156" s="11">
        <f>VLOOKUP(A156,'Jan 26'!A:G,7,FALSE)</f>
        <v>17115</v>
      </c>
      <c r="K156" s="11">
        <f>IF(G156=0,J156-G156,0)</f>
        <v>0</v>
      </c>
      <c r="L156" s="11">
        <f t="shared" si="18"/>
        <v>0</v>
      </c>
      <c r="M156" s="41"/>
      <c r="N156" s="33"/>
    </row>
    <row r="157" spans="1:14" ht="16.5" thickTop="1" thickBot="1" x14ac:dyDescent="0.3">
      <c r="A157" s="5" t="s">
        <v>260</v>
      </c>
      <c r="B157" s="6">
        <v>88889</v>
      </c>
      <c r="C157" s="7" t="s">
        <v>11</v>
      </c>
      <c r="D157" s="39" t="s">
        <v>267</v>
      </c>
      <c r="E157" s="39">
        <v>46063</v>
      </c>
      <c r="F157" s="39" t="s">
        <v>13</v>
      </c>
      <c r="G157" s="9">
        <v>4060</v>
      </c>
      <c r="H157" s="10">
        <f t="shared" si="22"/>
        <v>4060</v>
      </c>
      <c r="I157" s="11">
        <v>8120</v>
      </c>
      <c r="J157" s="11">
        <f>VLOOKUP(A157,'Jan 26'!A:G,7,FALSE)</f>
        <v>4060</v>
      </c>
      <c r="K157" s="11"/>
      <c r="L157" s="11">
        <f t="shared" si="18"/>
        <v>0</v>
      </c>
      <c r="M157" s="41"/>
      <c r="N157" s="33"/>
    </row>
    <row r="158" spans="1:14" ht="16.5" thickTop="1" thickBot="1" x14ac:dyDescent="0.3">
      <c r="A158" s="5" t="s">
        <v>100</v>
      </c>
      <c r="B158" s="6">
        <v>84221</v>
      </c>
      <c r="C158" s="7" t="s">
        <v>58</v>
      </c>
      <c r="D158" s="39">
        <v>45863</v>
      </c>
      <c r="E158" s="39" t="s">
        <v>13</v>
      </c>
      <c r="F158" s="39" t="s">
        <v>13</v>
      </c>
      <c r="G158" s="9">
        <v>68175</v>
      </c>
      <c r="H158" s="10">
        <f t="shared" si="22"/>
        <v>196483</v>
      </c>
      <c r="I158" s="57">
        <v>264658</v>
      </c>
      <c r="J158" s="11">
        <f>VLOOKUP(A158,'Jan 26'!A:G,7,FALSE)</f>
        <v>68175</v>
      </c>
      <c r="K158" s="11">
        <f>IF(G158=0,J158-G158,0)</f>
        <v>0</v>
      </c>
      <c r="L158" s="11">
        <f t="shared" si="18"/>
        <v>0</v>
      </c>
      <c r="M158" s="41"/>
      <c r="N158" s="33"/>
    </row>
    <row r="159" spans="1:14" ht="16.5" thickTop="1" thickBot="1" x14ac:dyDescent="0.3">
      <c r="A159" s="5" t="s">
        <v>325</v>
      </c>
      <c r="B159" s="6">
        <v>87450</v>
      </c>
      <c r="C159" s="7" t="s">
        <v>327</v>
      </c>
      <c r="D159" s="39" t="s">
        <v>324</v>
      </c>
      <c r="E159" s="39" t="s">
        <v>13</v>
      </c>
      <c r="F159" s="39" t="s">
        <v>13</v>
      </c>
      <c r="G159" s="9">
        <v>9898</v>
      </c>
      <c r="H159" s="10">
        <f t="shared" si="22"/>
        <v>29693</v>
      </c>
      <c r="I159" s="11">
        <v>39591</v>
      </c>
      <c r="J159" s="11">
        <v>0</v>
      </c>
      <c r="K159" s="11">
        <f>IF(G159=0,J159-G159,0)</f>
        <v>0</v>
      </c>
      <c r="L159" s="11">
        <f t="shared" si="18"/>
        <v>9898</v>
      </c>
      <c r="M159" s="41"/>
      <c r="N159" s="33"/>
    </row>
    <row r="160" spans="1:14" ht="16.5" thickTop="1" thickBot="1" x14ac:dyDescent="0.3">
      <c r="A160" s="5" t="s">
        <v>232</v>
      </c>
      <c r="B160" s="6">
        <v>88448</v>
      </c>
      <c r="C160" s="7" t="s">
        <v>21</v>
      </c>
      <c r="D160" s="39" t="s">
        <v>247</v>
      </c>
      <c r="E160" s="39">
        <v>46080</v>
      </c>
      <c r="F160" s="39" t="s">
        <v>13</v>
      </c>
      <c r="G160" s="9">
        <v>37830</v>
      </c>
      <c r="H160" s="10">
        <f t="shared" si="22"/>
        <v>42288</v>
      </c>
      <c r="I160" s="11">
        <v>80118</v>
      </c>
      <c r="J160" s="11">
        <f>VLOOKUP(A160,'Jan 26'!A:G,7,FALSE)</f>
        <v>37830</v>
      </c>
      <c r="K160" s="11"/>
      <c r="L160" s="11">
        <f t="shared" si="18"/>
        <v>0</v>
      </c>
      <c r="M160" s="41"/>
      <c r="N160" s="33"/>
    </row>
    <row r="161" spans="1:14" ht="16.5" thickTop="1" thickBot="1" x14ac:dyDescent="0.3">
      <c r="A161" s="5" t="s">
        <v>320</v>
      </c>
      <c r="B161" s="6">
        <v>89119</v>
      </c>
      <c r="C161" s="7" t="s">
        <v>21</v>
      </c>
      <c r="D161" s="39" t="s">
        <v>319</v>
      </c>
      <c r="E161" s="39" t="s">
        <v>13</v>
      </c>
      <c r="F161" s="39" t="s">
        <v>13</v>
      </c>
      <c r="G161" s="9">
        <v>4158</v>
      </c>
      <c r="H161" s="10">
        <f t="shared" si="22"/>
        <v>4158</v>
      </c>
      <c r="I161" s="11">
        <v>8316</v>
      </c>
      <c r="J161" s="11">
        <v>0</v>
      </c>
      <c r="K161" s="11">
        <f>IF(G161=0,J161-G161,0)</f>
        <v>0</v>
      </c>
      <c r="L161" s="11">
        <f t="shared" si="18"/>
        <v>4158</v>
      </c>
      <c r="M161" s="41"/>
      <c r="N161" s="33"/>
    </row>
    <row r="162" spans="1:14" ht="16.5" thickTop="1" thickBot="1" x14ac:dyDescent="0.3">
      <c r="A162" s="5" t="s">
        <v>342</v>
      </c>
      <c r="B162" s="6">
        <v>89263</v>
      </c>
      <c r="C162" s="7" t="s">
        <v>21</v>
      </c>
      <c r="D162" s="39" t="s">
        <v>347</v>
      </c>
      <c r="E162" s="39" t="s">
        <v>13</v>
      </c>
      <c r="F162" s="39" t="s">
        <v>13</v>
      </c>
      <c r="G162" s="9">
        <v>2398</v>
      </c>
      <c r="H162" s="10">
        <f t="shared" si="22"/>
        <v>2398</v>
      </c>
      <c r="I162" s="11">
        <v>4796</v>
      </c>
      <c r="J162" s="11">
        <v>0</v>
      </c>
      <c r="K162" s="11">
        <f>IF(G162=0,J162-G162,0)</f>
        <v>0</v>
      </c>
      <c r="L162" s="11">
        <f t="shared" si="18"/>
        <v>2398</v>
      </c>
      <c r="M162" s="41"/>
      <c r="N162" s="33"/>
    </row>
    <row r="163" spans="1:14" ht="16.5" thickTop="1" thickBot="1" x14ac:dyDescent="0.3">
      <c r="A163" s="5" t="s">
        <v>333</v>
      </c>
      <c r="B163" s="6">
        <v>86704</v>
      </c>
      <c r="C163" s="7" t="s">
        <v>33</v>
      </c>
      <c r="D163" s="39" t="s">
        <v>343</v>
      </c>
      <c r="E163" s="39" t="s">
        <v>13</v>
      </c>
      <c r="F163" s="39" t="s">
        <v>13</v>
      </c>
      <c r="G163" s="9">
        <v>90025</v>
      </c>
      <c r="H163" s="56">
        <f t="shared" si="22"/>
        <v>90024</v>
      </c>
      <c r="I163" s="11">
        <v>180049</v>
      </c>
      <c r="J163" s="11">
        <v>0</v>
      </c>
      <c r="K163" s="11">
        <f>IF(G163=0,J163-G163,0)</f>
        <v>0</v>
      </c>
      <c r="L163" s="11">
        <f t="shared" si="18"/>
        <v>90025</v>
      </c>
      <c r="M163" s="41"/>
      <c r="N163" s="33"/>
    </row>
    <row r="164" spans="1:14" ht="16.5" thickTop="1" thickBot="1" x14ac:dyDescent="0.3">
      <c r="A164" s="5" t="s">
        <v>228</v>
      </c>
      <c r="B164" s="6">
        <v>83501</v>
      </c>
      <c r="C164" s="7" t="s">
        <v>27</v>
      </c>
      <c r="D164" s="39" t="s">
        <v>244</v>
      </c>
      <c r="E164" s="39" t="s">
        <v>13</v>
      </c>
      <c r="F164" s="39" t="s">
        <v>13</v>
      </c>
      <c r="G164" s="9">
        <v>17221</v>
      </c>
      <c r="H164" s="10">
        <f t="shared" si="22"/>
        <v>17220</v>
      </c>
      <c r="I164" s="11">
        <v>34441</v>
      </c>
      <c r="J164" s="11">
        <f>VLOOKUP(A164,'Jan 26'!A:G,7,FALSE)</f>
        <v>17221</v>
      </c>
      <c r="K164" s="11"/>
      <c r="L164" s="11">
        <f t="shared" ref="L164:L172" si="23">IF(G164&gt;0,G164-J164,"Invoiced this Month")</f>
        <v>0</v>
      </c>
      <c r="M164" s="41"/>
      <c r="N164" s="33"/>
    </row>
    <row r="165" spans="1:14" ht="16.5" thickTop="1" thickBot="1" x14ac:dyDescent="0.3">
      <c r="A165" s="5" t="s">
        <v>111</v>
      </c>
      <c r="B165" s="6">
        <v>82413</v>
      </c>
      <c r="C165" s="7" t="s">
        <v>27</v>
      </c>
      <c r="D165" s="39" t="s">
        <v>113</v>
      </c>
      <c r="E165" s="39" t="s">
        <v>13</v>
      </c>
      <c r="F165" s="39" t="s">
        <v>13</v>
      </c>
      <c r="G165" s="9">
        <v>16601</v>
      </c>
      <c r="H165" s="10">
        <f>35982.68-16601</f>
        <v>19381.68</v>
      </c>
      <c r="I165" s="11">
        <f>G165+H165</f>
        <v>35982.68</v>
      </c>
      <c r="J165" s="11">
        <f>VLOOKUP(A165,'Jan 26'!A:G,7,FALSE)</f>
        <v>16601</v>
      </c>
      <c r="K165" s="11">
        <f t="shared" ref="K165:K172" si="24">IF(G165=0,J165-G165,0)</f>
        <v>0</v>
      </c>
      <c r="L165" s="11">
        <f t="shared" si="23"/>
        <v>0</v>
      </c>
      <c r="M165" s="41"/>
      <c r="N165" s="33"/>
    </row>
    <row r="166" spans="1:14" ht="16.5" thickTop="1" thickBot="1" x14ac:dyDescent="0.3">
      <c r="A166" s="5" t="s">
        <v>116</v>
      </c>
      <c r="B166" s="6">
        <v>86496</v>
      </c>
      <c r="C166" s="7" t="s">
        <v>62</v>
      </c>
      <c r="D166" s="39">
        <v>45903</v>
      </c>
      <c r="E166" s="39">
        <v>46055</v>
      </c>
      <c r="F166" s="39" t="s">
        <v>13</v>
      </c>
      <c r="G166" s="9">
        <v>52666</v>
      </c>
      <c r="H166" s="56">
        <f>I166-G166</f>
        <v>52666</v>
      </c>
      <c r="I166" s="57">
        <v>105332</v>
      </c>
      <c r="J166" s="11">
        <f>VLOOKUP(A166,'Jan 26'!A:G,7,FALSE)</f>
        <v>52666</v>
      </c>
      <c r="K166" s="11">
        <f t="shared" si="24"/>
        <v>0</v>
      </c>
      <c r="L166" s="11">
        <f t="shared" si="23"/>
        <v>0</v>
      </c>
      <c r="M166" s="38"/>
      <c r="N166" s="33"/>
    </row>
    <row r="167" spans="1:14" ht="16.5" thickTop="1" thickBot="1" x14ac:dyDescent="0.3">
      <c r="A167" s="5" t="s">
        <v>207</v>
      </c>
      <c r="B167" s="6">
        <v>88423</v>
      </c>
      <c r="C167" s="7" t="s">
        <v>32</v>
      </c>
      <c r="D167" s="39" t="s">
        <v>211</v>
      </c>
      <c r="E167" s="39">
        <v>46056</v>
      </c>
      <c r="F167" s="39" t="s">
        <v>13</v>
      </c>
      <c r="G167" s="9">
        <v>9886</v>
      </c>
      <c r="H167" s="10">
        <f>I167-G167</f>
        <v>9886</v>
      </c>
      <c r="I167" s="11">
        <v>19772</v>
      </c>
      <c r="J167" s="11">
        <f>VLOOKUP(A167,'Jan 26'!A:G,7,FALSE)</f>
        <v>9886</v>
      </c>
      <c r="K167" s="11">
        <f t="shared" si="24"/>
        <v>0</v>
      </c>
      <c r="L167" s="11">
        <f t="shared" si="23"/>
        <v>0</v>
      </c>
      <c r="M167" s="41"/>
      <c r="N167" s="33"/>
    </row>
    <row r="168" spans="1:14" ht="16.5" thickTop="1" thickBot="1" x14ac:dyDescent="0.3">
      <c r="A168" s="5" t="s">
        <v>74</v>
      </c>
      <c r="B168" s="6">
        <v>84638</v>
      </c>
      <c r="C168" s="7" t="s">
        <v>32</v>
      </c>
      <c r="D168" s="8" t="s">
        <v>73</v>
      </c>
      <c r="E168" s="39">
        <v>46001</v>
      </c>
      <c r="F168" s="49">
        <v>46071</v>
      </c>
      <c r="G168" s="45">
        <v>0</v>
      </c>
      <c r="H168" s="58"/>
      <c r="I168" s="59"/>
      <c r="J168" s="11">
        <f>VLOOKUP(A168,'Jan 26'!A:G,7,FALSE)</f>
        <v>133589</v>
      </c>
      <c r="K168" s="11">
        <f t="shared" si="24"/>
        <v>133589</v>
      </c>
      <c r="L168" s="11" t="str">
        <f t="shared" si="23"/>
        <v>Invoiced this Month</v>
      </c>
      <c r="M168" s="41"/>
      <c r="N168" s="33"/>
    </row>
    <row r="169" spans="1:14" ht="16.5" thickTop="1" thickBot="1" x14ac:dyDescent="0.3">
      <c r="A169" s="5" t="s">
        <v>125</v>
      </c>
      <c r="B169" s="6">
        <v>86988</v>
      </c>
      <c r="C169" s="7" t="s">
        <v>32</v>
      </c>
      <c r="D169" s="39" t="s">
        <v>128</v>
      </c>
      <c r="E169" s="39" t="s">
        <v>13</v>
      </c>
      <c r="F169" s="39" t="s">
        <v>13</v>
      </c>
      <c r="G169" s="9">
        <v>61093</v>
      </c>
      <c r="H169" s="10">
        <f>I169-G169</f>
        <v>61093</v>
      </c>
      <c r="I169" s="11">
        <v>122186</v>
      </c>
      <c r="J169" s="11">
        <f>VLOOKUP(A169,'Jan 26'!A:G,7,FALSE)</f>
        <v>61093</v>
      </c>
      <c r="K169" s="11">
        <f t="shared" si="24"/>
        <v>0</v>
      </c>
      <c r="L169" s="11">
        <f t="shared" si="23"/>
        <v>0</v>
      </c>
      <c r="N169" s="33"/>
    </row>
    <row r="170" spans="1:14" ht="16.5" thickTop="1" thickBot="1" x14ac:dyDescent="0.3">
      <c r="A170" s="5" t="s">
        <v>131</v>
      </c>
      <c r="B170" s="6">
        <v>87254</v>
      </c>
      <c r="C170" s="7" t="s">
        <v>19</v>
      </c>
      <c r="D170" s="39">
        <v>45932</v>
      </c>
      <c r="E170" s="39">
        <v>45980</v>
      </c>
      <c r="F170" s="49">
        <v>46064</v>
      </c>
      <c r="G170" s="45">
        <v>0</v>
      </c>
      <c r="H170" s="58"/>
      <c r="I170" s="59"/>
      <c r="J170" s="11">
        <f>VLOOKUP(A170,'Jan 26'!A:G,7,FALSE)</f>
        <v>29345</v>
      </c>
      <c r="K170" s="11">
        <f t="shared" si="24"/>
        <v>29345</v>
      </c>
      <c r="L170" s="11" t="str">
        <f t="shared" si="23"/>
        <v>Invoiced this Month</v>
      </c>
      <c r="M170" s="41"/>
      <c r="N170" s="33"/>
    </row>
    <row r="171" spans="1:14" ht="16.5" thickTop="1" thickBot="1" x14ac:dyDescent="0.3">
      <c r="A171" s="5" t="s">
        <v>84</v>
      </c>
      <c r="B171" s="6">
        <v>84816</v>
      </c>
      <c r="C171" s="7" t="s">
        <v>19</v>
      </c>
      <c r="D171" s="39">
        <v>45799</v>
      </c>
      <c r="E171" s="39" t="s">
        <v>13</v>
      </c>
      <c r="F171" s="48" t="s">
        <v>297</v>
      </c>
      <c r="G171" s="45">
        <v>0</v>
      </c>
      <c r="H171" s="58"/>
      <c r="I171" s="59"/>
      <c r="J171" s="11">
        <f>VLOOKUP(A171,'Jan 26'!A:G,7,FALSE)</f>
        <v>26193</v>
      </c>
      <c r="K171" s="11">
        <f t="shared" si="24"/>
        <v>26193</v>
      </c>
      <c r="L171" s="11" t="str">
        <f t="shared" si="23"/>
        <v>Invoiced this Month</v>
      </c>
      <c r="M171" s="41"/>
      <c r="N171" s="33"/>
    </row>
    <row r="172" spans="1:14" ht="16.5" thickTop="1" thickBot="1" x14ac:dyDescent="0.3">
      <c r="A172" s="5" t="s">
        <v>139</v>
      </c>
      <c r="B172" s="6">
        <v>87067</v>
      </c>
      <c r="C172" s="7" t="s">
        <v>29</v>
      </c>
      <c r="D172" s="39">
        <v>45947</v>
      </c>
      <c r="E172" s="39">
        <v>46014</v>
      </c>
      <c r="F172" s="39" t="s">
        <v>352</v>
      </c>
      <c r="G172" s="9">
        <v>10217</v>
      </c>
      <c r="H172" s="10">
        <f>I172-G172</f>
        <v>10217</v>
      </c>
      <c r="I172" s="11">
        <v>20434</v>
      </c>
      <c r="J172" s="11">
        <f>VLOOKUP(A172,'Jan 26'!A:G,7,FALSE)</f>
        <v>10217</v>
      </c>
      <c r="K172" s="11">
        <f t="shared" si="24"/>
        <v>0</v>
      </c>
      <c r="L172" s="11">
        <f t="shared" si="23"/>
        <v>0</v>
      </c>
      <c r="M172" s="41"/>
      <c r="N172" s="33"/>
    </row>
    <row r="173" spans="1:14" ht="16.5" thickTop="1" thickBot="1" x14ac:dyDescent="0.3">
      <c r="A173" s="12"/>
      <c r="B173" s="13"/>
      <c r="C173" s="14"/>
      <c r="D173" s="40"/>
      <c r="E173" s="40"/>
      <c r="F173" s="40"/>
      <c r="G173" s="16"/>
      <c r="H173" s="17"/>
      <c r="I173" s="18"/>
      <c r="J173" s="18"/>
      <c r="K173" s="18"/>
      <c r="L173" s="18"/>
      <c r="M173" s="70"/>
      <c r="N173" s="33"/>
    </row>
    <row r="174" spans="1:14" ht="16.5" thickTop="1" thickBot="1" x14ac:dyDescent="0.3">
      <c r="A174" s="12"/>
      <c r="B174" s="13"/>
      <c r="C174" s="14"/>
      <c r="D174" s="40"/>
      <c r="E174" s="40"/>
      <c r="F174" s="40"/>
      <c r="G174" s="16"/>
      <c r="H174" s="17"/>
      <c r="I174" s="18"/>
      <c r="J174" s="18"/>
      <c r="K174" s="18"/>
      <c r="L174" s="18"/>
      <c r="M174" s="70"/>
      <c r="N174" s="33"/>
    </row>
    <row r="175" spans="1:14" ht="16.5" thickTop="1" thickBot="1" x14ac:dyDescent="0.3">
      <c r="A175" s="12"/>
      <c r="B175" s="13"/>
      <c r="C175" s="14"/>
      <c r="D175" s="40"/>
      <c r="E175" s="40"/>
      <c r="F175" s="40"/>
      <c r="G175" s="16"/>
      <c r="H175" s="17"/>
      <c r="I175" s="18"/>
      <c r="J175" s="18"/>
      <c r="K175" s="18"/>
      <c r="L175" s="18"/>
      <c r="M175" s="70"/>
      <c r="N175" s="33"/>
    </row>
    <row r="176" spans="1:14" ht="16.5" thickTop="1" thickBot="1" x14ac:dyDescent="0.3">
      <c r="A176" s="12"/>
      <c r="B176" s="13"/>
      <c r="C176" s="14"/>
      <c r="D176" s="40"/>
      <c r="E176" s="40"/>
      <c r="F176" s="40"/>
      <c r="G176" s="16"/>
      <c r="H176" s="17"/>
      <c r="I176" s="18"/>
      <c r="J176" s="18"/>
      <c r="K176" s="18"/>
      <c r="L176" s="18"/>
      <c r="M176" s="70"/>
      <c r="N176" s="33"/>
    </row>
    <row r="177" spans="1:14" ht="16.5" thickTop="1" thickBot="1" x14ac:dyDescent="0.3">
      <c r="A177" s="12"/>
      <c r="B177" s="13"/>
      <c r="C177" s="14"/>
      <c r="D177" s="40"/>
      <c r="E177" s="40"/>
      <c r="F177" s="40"/>
      <c r="G177" s="16"/>
      <c r="H177" s="17"/>
      <c r="I177" s="18"/>
      <c r="J177" s="18"/>
      <c r="K177" s="18"/>
      <c r="L177" s="18"/>
      <c r="M177" s="70"/>
      <c r="N177" s="33"/>
    </row>
    <row r="178" spans="1:14" ht="16.5" thickTop="1" thickBot="1" x14ac:dyDescent="0.3">
      <c r="A178" s="5"/>
      <c r="B178" s="6"/>
      <c r="C178" s="7"/>
      <c r="D178" s="39"/>
      <c r="E178" s="39"/>
      <c r="F178" s="39"/>
      <c r="G178" s="9"/>
      <c r="H178" s="10"/>
      <c r="I178" s="11"/>
      <c r="J178" s="11"/>
      <c r="K178" s="11"/>
      <c r="L178" s="11"/>
    </row>
    <row r="179" spans="1:14" ht="16.5" thickTop="1" thickBot="1" x14ac:dyDescent="0.3">
      <c r="A179" s="22" t="s">
        <v>328</v>
      </c>
      <c r="B179" s="23"/>
      <c r="C179" s="24" t="s">
        <v>115</v>
      </c>
      <c r="D179" s="25" t="s">
        <v>53</v>
      </c>
      <c r="E179" s="26"/>
      <c r="F179" s="27"/>
      <c r="G179" s="28">
        <f>SUM(G2:G177)</f>
        <v>5833678.9100000001</v>
      </c>
      <c r="H179" s="28">
        <f>SUM(H2:H178)</f>
        <v>7045458.5899999999</v>
      </c>
      <c r="I179" s="28">
        <f>SUM(I2:I177)</f>
        <v>12879137.5</v>
      </c>
      <c r="J179" s="28">
        <f>SUM(J2:J177)</f>
        <v>5510234.6099999994</v>
      </c>
      <c r="K179" s="28">
        <f>SUM(K2:K177)</f>
        <v>1069214.24</v>
      </c>
      <c r="L179" s="28">
        <f>SUM(L2:L178)</f>
        <v>1357484.77</v>
      </c>
    </row>
    <row r="180" spans="1:14" ht="15.75" thickTop="1" x14ac:dyDescent="0.25">
      <c r="J180" s="33">
        <f>J179-'Jan 26'!G154</f>
        <v>-46821.919999999925</v>
      </c>
      <c r="K180" s="34" t="e">
        <f>'CD GL'!#REF!</f>
        <v>#REF!</v>
      </c>
    </row>
    <row r="181" spans="1:14" x14ac:dyDescent="0.25">
      <c r="A181" t="s">
        <v>63</v>
      </c>
      <c r="D181" s="30" t="s">
        <v>63</v>
      </c>
      <c r="F181" s="35" t="s">
        <v>284</v>
      </c>
      <c r="G181" s="36"/>
      <c r="J181" s="33"/>
      <c r="L181" s="33"/>
    </row>
    <row r="183" spans="1:14" x14ac:dyDescent="0.25">
      <c r="F183" s="35" t="s">
        <v>314</v>
      </c>
      <c r="G183" s="36">
        <f>G179-G181</f>
        <v>5833678.9100000001</v>
      </c>
      <c r="H183" s="33">
        <f>J179+L179-K179-G183</f>
        <v>-35173.770000001416</v>
      </c>
      <c r="I183" s="38">
        <f>G179</f>
        <v>5833678.9100000001</v>
      </c>
    </row>
    <row r="184" spans="1:14" x14ac:dyDescent="0.25">
      <c r="I184" s="38">
        <v>-5833678.9100000001</v>
      </c>
      <c r="J184" t="s">
        <v>55</v>
      </c>
      <c r="K184" s="34" t="s">
        <v>85</v>
      </c>
    </row>
    <row r="185" spans="1:14" x14ac:dyDescent="0.25">
      <c r="F185" s="31" t="s">
        <v>56</v>
      </c>
      <c r="G185" s="32">
        <f>G183+I184</f>
        <v>0</v>
      </c>
    </row>
    <row r="186" spans="1:14" s="34" customFormat="1" x14ac:dyDescent="0.25">
      <c r="A186"/>
      <c r="B186" s="29"/>
      <c r="C186"/>
      <c r="D186" s="30"/>
      <c r="E186"/>
      <c r="F186" s="31"/>
      <c r="G186" s="32"/>
      <c r="H186"/>
      <c r="I186" s="37">
        <f>I183++I184</f>
        <v>0</v>
      </c>
      <c r="J186" t="s">
        <v>348</v>
      </c>
      <c r="L186"/>
      <c r="M186"/>
      <c r="N186"/>
    </row>
  </sheetData>
  <sortState xmlns:xlrd2="http://schemas.microsoft.com/office/spreadsheetml/2017/richdata2" ref="A2:N177">
    <sortCondition ref="A2:A177"/>
  </sortState>
  <conditionalFormatting sqref="A63:A64">
    <cfRule type="duplicateValues" dxfId="26" priority="1"/>
  </conditionalFormatting>
  <conditionalFormatting sqref="A65:A1048576 A1:A62">
    <cfRule type="duplicateValues" dxfId="2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2347-1388-4183-8895-49F564A5BD1C}">
  <dimension ref="A1:M205"/>
  <sheetViews>
    <sheetView workbookViewId="0">
      <pane ySplit="1" topLeftCell="A162" activePane="bottomLeft" state="frozen"/>
      <selection pane="bottomLeft" activeCell="G208" sqref="G208"/>
    </sheetView>
  </sheetViews>
  <sheetFormatPr defaultRowHeight="15" x14ac:dyDescent="0.25"/>
  <cols>
    <col min="1" max="1" width="59.85546875" customWidth="1"/>
    <col min="2" max="2" width="13.28515625" style="29" customWidth="1"/>
    <col min="3" max="3" width="11.28515625" customWidth="1"/>
    <col min="4" max="4" width="13.28515625" style="30" customWidth="1"/>
    <col min="5" max="5" width="19.140625" customWidth="1"/>
    <col min="6" max="6" width="32.85546875" style="31" customWidth="1"/>
    <col min="7" max="7" width="16" style="32" customWidth="1"/>
    <col min="8" max="8" width="17.5703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3" max="13" width="11.5703125" bestFit="1" customWidth="1"/>
  </cols>
  <sheetData>
    <row r="1" spans="1:13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3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 t="s">
        <v>13</v>
      </c>
      <c r="F2" s="39"/>
      <c r="G2" s="19">
        <v>51110.14</v>
      </c>
      <c r="H2" s="10">
        <f t="shared" ref="H2:H7" si="0">I2-G2</f>
        <v>0</v>
      </c>
      <c r="I2" s="11">
        <v>51110.14</v>
      </c>
      <c r="J2" s="11"/>
      <c r="K2" s="11">
        <f t="shared" ref="K2:K23" si="1">IF(G2=0,J2-G2,0)</f>
        <v>0</v>
      </c>
      <c r="L2" s="11">
        <f t="shared" ref="L2:L33" si="2">IF(G2&gt;0,G2-J2,"Invoiced this Month")</f>
        <v>51110.14</v>
      </c>
      <c r="M2" s="41">
        <f>L2-K2</f>
        <v>51110.14</v>
      </c>
    </row>
    <row r="3" spans="1:13" ht="16.5" thickTop="1" thickBot="1" x14ac:dyDescent="0.3">
      <c r="A3" s="5" t="s">
        <v>362</v>
      </c>
      <c r="B3" s="6">
        <v>88556</v>
      </c>
      <c r="C3" s="7" t="s">
        <v>327</v>
      </c>
      <c r="D3" s="39">
        <v>46086</v>
      </c>
      <c r="E3" s="39" t="s">
        <v>13</v>
      </c>
      <c r="F3" s="39"/>
      <c r="G3" s="9">
        <v>11662</v>
      </c>
      <c r="H3" s="10">
        <f t="shared" si="0"/>
        <v>11662</v>
      </c>
      <c r="I3" s="11">
        <v>23324</v>
      </c>
      <c r="J3" s="11"/>
      <c r="K3" s="11">
        <f t="shared" si="1"/>
        <v>0</v>
      </c>
      <c r="L3" s="11">
        <f t="shared" si="2"/>
        <v>11662</v>
      </c>
      <c r="M3" s="41">
        <f t="shared" ref="M3:M66" si="3">L3-K3</f>
        <v>11662</v>
      </c>
    </row>
    <row r="4" spans="1:13" ht="16.5" thickTop="1" thickBot="1" x14ac:dyDescent="0.3">
      <c r="A4" s="5" t="s">
        <v>318</v>
      </c>
      <c r="B4" s="6">
        <v>87616</v>
      </c>
      <c r="C4" s="7" t="s">
        <v>15</v>
      </c>
      <c r="D4" s="39" t="s">
        <v>315</v>
      </c>
      <c r="E4" s="39" t="s">
        <v>13</v>
      </c>
      <c r="F4" s="39" t="s">
        <v>13</v>
      </c>
      <c r="G4" s="9">
        <v>35586</v>
      </c>
      <c r="H4" s="10">
        <f t="shared" si="0"/>
        <v>9375</v>
      </c>
      <c r="I4" s="11">
        <v>44961</v>
      </c>
      <c r="J4" s="11">
        <f>VLOOKUP(A4,'Feb 26'!A:G,7,FALSE)</f>
        <v>35586</v>
      </c>
      <c r="K4" s="11">
        <f t="shared" si="1"/>
        <v>0</v>
      </c>
      <c r="L4" s="11">
        <f t="shared" si="2"/>
        <v>0</v>
      </c>
      <c r="M4" s="41">
        <f t="shared" si="3"/>
        <v>0</v>
      </c>
    </row>
    <row r="5" spans="1:13" ht="16.5" thickTop="1" thickBot="1" x14ac:dyDescent="0.3">
      <c r="A5" s="5" t="s">
        <v>136</v>
      </c>
      <c r="B5" s="6">
        <v>84541</v>
      </c>
      <c r="C5" s="7" t="s">
        <v>15</v>
      </c>
      <c r="D5" s="39">
        <v>45943</v>
      </c>
      <c r="E5" s="39" t="s">
        <v>13</v>
      </c>
      <c r="F5" s="39" t="s">
        <v>13</v>
      </c>
      <c r="G5" s="9">
        <v>10262</v>
      </c>
      <c r="H5" s="10">
        <f t="shared" si="0"/>
        <v>10261</v>
      </c>
      <c r="I5" s="11">
        <v>20523</v>
      </c>
      <c r="J5" s="11">
        <f>VLOOKUP(A5,'Feb 26'!A:G,7,FALSE)</f>
        <v>10262</v>
      </c>
      <c r="K5" s="11">
        <f t="shared" si="1"/>
        <v>0</v>
      </c>
      <c r="L5" s="11">
        <f t="shared" si="2"/>
        <v>0</v>
      </c>
      <c r="M5" s="41">
        <f t="shared" si="3"/>
        <v>0</v>
      </c>
    </row>
    <row r="6" spans="1:13" ht="16.5" thickTop="1" thickBot="1" x14ac:dyDescent="0.3">
      <c r="A6" s="5" t="s">
        <v>515</v>
      </c>
      <c r="B6" s="6">
        <v>89718</v>
      </c>
      <c r="C6" s="7" t="s">
        <v>28</v>
      </c>
      <c r="D6" s="39">
        <v>46105</v>
      </c>
      <c r="E6" s="39" t="s">
        <v>13</v>
      </c>
      <c r="F6" s="39"/>
      <c r="G6" s="9">
        <v>9796.19</v>
      </c>
      <c r="H6" s="10">
        <f t="shared" si="0"/>
        <v>9796.1799999999985</v>
      </c>
      <c r="I6" s="11">
        <v>19592.37</v>
      </c>
      <c r="J6" s="11"/>
      <c r="K6" s="11">
        <f t="shared" si="1"/>
        <v>0</v>
      </c>
      <c r="L6" s="11">
        <f t="shared" si="2"/>
        <v>9796.19</v>
      </c>
      <c r="M6" s="41">
        <f t="shared" si="3"/>
        <v>9796.19</v>
      </c>
    </row>
    <row r="7" spans="1:13" ht="16.5" thickTop="1" thickBot="1" x14ac:dyDescent="0.3">
      <c r="A7" s="5" t="s">
        <v>189</v>
      </c>
      <c r="B7" s="6">
        <v>87185</v>
      </c>
      <c r="C7" s="7" t="s">
        <v>21</v>
      </c>
      <c r="D7" s="39" t="s">
        <v>195</v>
      </c>
      <c r="E7" s="39" t="s">
        <v>13</v>
      </c>
      <c r="F7" s="39" t="s">
        <v>13</v>
      </c>
      <c r="G7" s="9">
        <v>31515</v>
      </c>
      <c r="H7" s="10">
        <f t="shared" si="0"/>
        <v>31514</v>
      </c>
      <c r="I7" s="11">
        <v>63029</v>
      </c>
      <c r="J7" s="11">
        <f>VLOOKUP(A7,'Feb 26'!A:G,7,FALSE)</f>
        <v>31515</v>
      </c>
      <c r="K7" s="11">
        <f t="shared" si="1"/>
        <v>0</v>
      </c>
      <c r="L7" s="11">
        <f t="shared" si="2"/>
        <v>0</v>
      </c>
      <c r="M7" s="41">
        <f t="shared" si="3"/>
        <v>0</v>
      </c>
    </row>
    <row r="8" spans="1:13" ht="16.5" thickTop="1" thickBot="1" x14ac:dyDescent="0.3">
      <c r="A8" s="60" t="s">
        <v>61</v>
      </c>
      <c r="B8" s="6">
        <v>78377</v>
      </c>
      <c r="C8" s="7" t="s">
        <v>62</v>
      </c>
      <c r="D8" s="8" t="s">
        <v>60</v>
      </c>
      <c r="E8" s="39">
        <v>46007</v>
      </c>
      <c r="F8" s="39">
        <v>46093</v>
      </c>
      <c r="G8" s="45"/>
      <c r="H8" s="10"/>
      <c r="I8" s="11"/>
      <c r="J8" s="11">
        <f>VLOOKUP(A8,'Feb 26'!A:G,7,FALSE)</f>
        <v>342623.5</v>
      </c>
      <c r="K8" s="11">
        <f t="shared" si="1"/>
        <v>342623.5</v>
      </c>
      <c r="L8" s="11" t="str">
        <f t="shared" si="2"/>
        <v>Invoiced this Month</v>
      </c>
      <c r="M8" s="41">
        <f>-K8</f>
        <v>-342623.5</v>
      </c>
    </row>
    <row r="9" spans="1:13" ht="16.5" thickTop="1" thickBot="1" x14ac:dyDescent="0.3">
      <c r="A9" s="47" t="s">
        <v>105</v>
      </c>
      <c r="B9" s="6">
        <v>83846</v>
      </c>
      <c r="C9" s="7" t="s">
        <v>62</v>
      </c>
      <c r="D9" s="39">
        <v>45880</v>
      </c>
      <c r="E9" s="39">
        <v>46076</v>
      </c>
      <c r="F9" s="39" t="s">
        <v>13</v>
      </c>
      <c r="G9" s="9">
        <f>77743+30779.5</f>
        <v>108522.5</v>
      </c>
      <c r="H9" s="10">
        <f>I9-G9</f>
        <v>108521.5</v>
      </c>
      <c r="I9" s="11">
        <v>217044</v>
      </c>
      <c r="J9" s="11">
        <f>VLOOKUP(A9,'Feb 26'!A:G,7,FALSE)</f>
        <v>108522.5</v>
      </c>
      <c r="K9" s="11">
        <f t="shared" si="1"/>
        <v>0</v>
      </c>
      <c r="L9" s="11">
        <f t="shared" si="2"/>
        <v>0</v>
      </c>
      <c r="M9" s="41">
        <f t="shared" si="3"/>
        <v>0</v>
      </c>
    </row>
    <row r="10" spans="1:13" ht="16.5" thickTop="1" thickBot="1" x14ac:dyDescent="0.3">
      <c r="A10" s="5" t="s">
        <v>364</v>
      </c>
      <c r="B10" s="6">
        <v>89424</v>
      </c>
      <c r="C10" s="7" t="s">
        <v>23</v>
      </c>
      <c r="D10" s="39">
        <v>46090</v>
      </c>
      <c r="E10" s="39" t="s">
        <v>13</v>
      </c>
      <c r="F10" s="39"/>
      <c r="G10" s="9">
        <v>16906.509999999998</v>
      </c>
      <c r="H10" s="10">
        <f>I10-G10</f>
        <v>16906.500000000004</v>
      </c>
      <c r="I10" s="62">
        <v>33813.01</v>
      </c>
      <c r="J10" s="11"/>
      <c r="K10" s="11">
        <f t="shared" si="1"/>
        <v>0</v>
      </c>
      <c r="L10" s="11">
        <f t="shared" si="2"/>
        <v>16906.509999999998</v>
      </c>
      <c r="M10" s="41">
        <f t="shared" si="3"/>
        <v>16906.509999999998</v>
      </c>
    </row>
    <row r="11" spans="1:13" ht="16.5" thickTop="1" thickBot="1" x14ac:dyDescent="0.3">
      <c r="A11" s="5" t="s">
        <v>88</v>
      </c>
      <c r="B11" s="6">
        <v>85639</v>
      </c>
      <c r="C11" s="7" t="s">
        <v>14</v>
      </c>
      <c r="D11" s="39">
        <v>45805</v>
      </c>
      <c r="E11" s="39">
        <v>46015</v>
      </c>
      <c r="F11" s="39">
        <v>46097</v>
      </c>
      <c r="G11" s="45"/>
      <c r="H11" s="10"/>
      <c r="I11" s="11"/>
      <c r="J11" s="11">
        <f>VLOOKUP(A11,'Feb 26'!A:G,7,FALSE)</f>
        <v>11673</v>
      </c>
      <c r="K11" s="11">
        <f t="shared" si="1"/>
        <v>11673</v>
      </c>
      <c r="L11" s="11" t="str">
        <f t="shared" si="2"/>
        <v>Invoiced this Month</v>
      </c>
      <c r="M11" s="41">
        <f>-K11</f>
        <v>-11673</v>
      </c>
    </row>
    <row r="12" spans="1:13" ht="16.5" thickTop="1" thickBot="1" x14ac:dyDescent="0.3">
      <c r="A12" s="5" t="s">
        <v>497</v>
      </c>
      <c r="B12" s="6">
        <v>87836</v>
      </c>
      <c r="C12" s="7" t="s">
        <v>17</v>
      </c>
      <c r="D12" s="39">
        <v>46098</v>
      </c>
      <c r="E12" s="39" t="s">
        <v>13</v>
      </c>
      <c r="F12" s="39"/>
      <c r="G12" s="9">
        <v>18709</v>
      </c>
      <c r="H12" s="10">
        <f t="shared" ref="H12:H20" si="4">I12-G12</f>
        <v>18709</v>
      </c>
      <c r="I12" s="11">
        <v>37418</v>
      </c>
      <c r="J12" s="11"/>
      <c r="K12" s="11">
        <f t="shared" si="1"/>
        <v>0</v>
      </c>
      <c r="L12" s="11">
        <f t="shared" si="2"/>
        <v>18709</v>
      </c>
      <c r="M12" s="41">
        <f t="shared" si="3"/>
        <v>18709</v>
      </c>
    </row>
    <row r="13" spans="1:13" ht="16.5" thickTop="1" thickBot="1" x14ac:dyDescent="0.3">
      <c r="A13" s="5" t="s">
        <v>518</v>
      </c>
      <c r="B13" s="6">
        <v>89707</v>
      </c>
      <c r="C13" s="7" t="s">
        <v>283</v>
      </c>
      <c r="D13" s="39">
        <v>46107</v>
      </c>
      <c r="E13" s="39" t="s">
        <v>13</v>
      </c>
      <c r="F13" s="39"/>
      <c r="G13" s="9">
        <v>3227</v>
      </c>
      <c r="H13" s="10">
        <f t="shared" si="4"/>
        <v>3227</v>
      </c>
      <c r="I13" s="11">
        <v>6454</v>
      </c>
      <c r="J13" s="11"/>
      <c r="K13" s="11">
        <f t="shared" si="1"/>
        <v>0</v>
      </c>
      <c r="L13" s="11">
        <f t="shared" si="2"/>
        <v>3227</v>
      </c>
      <c r="M13" s="41">
        <f t="shared" si="3"/>
        <v>3227</v>
      </c>
    </row>
    <row r="14" spans="1:13" ht="16.5" thickTop="1" thickBot="1" x14ac:dyDescent="0.3">
      <c r="A14" s="5" t="s">
        <v>380</v>
      </c>
      <c r="B14" s="6">
        <v>89450</v>
      </c>
      <c r="C14" s="7" t="s">
        <v>21</v>
      </c>
      <c r="D14" s="39">
        <v>46097</v>
      </c>
      <c r="E14" s="39" t="s">
        <v>13</v>
      </c>
      <c r="F14" s="39"/>
      <c r="G14" s="9">
        <v>29728</v>
      </c>
      <c r="H14" s="10">
        <f t="shared" si="4"/>
        <v>31453</v>
      </c>
      <c r="I14" s="11">
        <v>61181</v>
      </c>
      <c r="J14" s="11"/>
      <c r="K14" s="11">
        <f t="shared" si="1"/>
        <v>0</v>
      </c>
      <c r="L14" s="11">
        <f t="shared" si="2"/>
        <v>29728</v>
      </c>
      <c r="M14" s="41">
        <f t="shared" si="3"/>
        <v>29728</v>
      </c>
    </row>
    <row r="15" spans="1:13" ht="16.5" thickTop="1" thickBot="1" x14ac:dyDescent="0.3">
      <c r="A15" s="5" t="s">
        <v>91</v>
      </c>
      <c r="B15" s="6">
        <v>84044</v>
      </c>
      <c r="C15" s="7" t="s">
        <v>14</v>
      </c>
      <c r="D15" s="39">
        <v>45811</v>
      </c>
      <c r="E15" s="39">
        <v>46002</v>
      </c>
      <c r="F15" s="39" t="s">
        <v>351</v>
      </c>
      <c r="G15" s="9">
        <v>93528</v>
      </c>
      <c r="H15" s="10">
        <f t="shared" si="4"/>
        <v>-28848</v>
      </c>
      <c r="I15" s="11">
        <v>64680</v>
      </c>
      <c r="J15" s="11">
        <f>VLOOKUP(A15,'Feb 26'!A:G,7,FALSE)</f>
        <v>93528</v>
      </c>
      <c r="K15" s="11">
        <f t="shared" si="1"/>
        <v>0</v>
      </c>
      <c r="L15" s="11">
        <f t="shared" si="2"/>
        <v>0</v>
      </c>
      <c r="M15" s="41">
        <f t="shared" si="3"/>
        <v>0</v>
      </c>
    </row>
    <row r="16" spans="1:13" ht="16.5" thickTop="1" thickBot="1" x14ac:dyDescent="0.3">
      <c r="A16" s="5" t="s">
        <v>92</v>
      </c>
      <c r="B16" s="6">
        <v>84046</v>
      </c>
      <c r="C16" s="7" t="s">
        <v>14</v>
      </c>
      <c r="D16" s="39">
        <v>45811</v>
      </c>
      <c r="E16" s="39">
        <v>46002</v>
      </c>
      <c r="F16" s="39" t="s">
        <v>351</v>
      </c>
      <c r="G16" s="9">
        <v>97035</v>
      </c>
      <c r="H16" s="10">
        <f t="shared" si="4"/>
        <v>38165</v>
      </c>
      <c r="I16" s="11">
        <v>135200</v>
      </c>
      <c r="J16" s="11">
        <f>VLOOKUP(A16,'Feb 26'!A:G,7,FALSE)</f>
        <v>97035</v>
      </c>
      <c r="K16" s="11">
        <f t="shared" si="1"/>
        <v>0</v>
      </c>
      <c r="L16" s="11">
        <f t="shared" si="2"/>
        <v>0</v>
      </c>
      <c r="M16" s="41">
        <f t="shared" si="3"/>
        <v>0</v>
      </c>
    </row>
    <row r="17" spans="1:13" ht="16.5" thickTop="1" thickBot="1" x14ac:dyDescent="0.3">
      <c r="A17" s="5" t="s">
        <v>166</v>
      </c>
      <c r="B17" s="6">
        <v>82690</v>
      </c>
      <c r="C17" s="7" t="s">
        <v>14</v>
      </c>
      <c r="D17" s="39" t="s">
        <v>176</v>
      </c>
      <c r="E17" s="39" t="s">
        <v>13</v>
      </c>
      <c r="F17" s="39" t="s">
        <v>13</v>
      </c>
      <c r="G17" s="9">
        <v>13744</v>
      </c>
      <c r="H17" s="10">
        <f t="shared" si="4"/>
        <v>12649</v>
      </c>
      <c r="I17" s="11">
        <v>26393</v>
      </c>
      <c r="J17" s="11">
        <f>VLOOKUP(A17,'Feb 26'!A:G,7,FALSE)</f>
        <v>13744</v>
      </c>
      <c r="K17" s="11">
        <f t="shared" si="1"/>
        <v>0</v>
      </c>
      <c r="L17" s="11">
        <f t="shared" si="2"/>
        <v>0</v>
      </c>
      <c r="M17" s="41">
        <f t="shared" si="3"/>
        <v>0</v>
      </c>
    </row>
    <row r="18" spans="1:13" ht="16.5" thickTop="1" thickBot="1" x14ac:dyDescent="0.3">
      <c r="A18" s="5" t="s">
        <v>369</v>
      </c>
      <c r="B18" s="6">
        <v>86022</v>
      </c>
      <c r="C18" s="7" t="s">
        <v>11</v>
      </c>
      <c r="D18" s="39">
        <v>46091</v>
      </c>
      <c r="E18" s="39" t="s">
        <v>13</v>
      </c>
      <c r="F18" s="39"/>
      <c r="G18" s="9">
        <v>4247</v>
      </c>
      <c r="H18" s="10">
        <f t="shared" si="4"/>
        <v>4247</v>
      </c>
      <c r="I18" s="11">
        <v>8494</v>
      </c>
      <c r="J18" s="11"/>
      <c r="K18" s="11">
        <f t="shared" si="1"/>
        <v>0</v>
      </c>
      <c r="L18" s="11">
        <f t="shared" si="2"/>
        <v>4247</v>
      </c>
      <c r="M18" s="41">
        <f t="shared" si="3"/>
        <v>4247</v>
      </c>
    </row>
    <row r="19" spans="1:13" ht="16.5" thickTop="1" thickBot="1" x14ac:dyDescent="0.3">
      <c r="A19" s="5" t="s">
        <v>134</v>
      </c>
      <c r="B19" s="6">
        <v>87402</v>
      </c>
      <c r="C19" s="7" t="s">
        <v>21</v>
      </c>
      <c r="D19" s="39">
        <v>45939</v>
      </c>
      <c r="E19" s="39" t="s">
        <v>13</v>
      </c>
      <c r="F19" s="39" t="s">
        <v>13</v>
      </c>
      <c r="G19" s="9">
        <v>20000</v>
      </c>
      <c r="H19" s="10">
        <f t="shared" si="4"/>
        <v>19516</v>
      </c>
      <c r="I19" s="11">
        <v>39516</v>
      </c>
      <c r="J19" s="11">
        <f>VLOOKUP(A19,'Feb 26'!A:G,7,FALSE)</f>
        <v>20000</v>
      </c>
      <c r="K19" s="11">
        <f t="shared" si="1"/>
        <v>0</v>
      </c>
      <c r="L19" s="11">
        <f t="shared" si="2"/>
        <v>0</v>
      </c>
      <c r="M19" s="41">
        <f t="shared" si="3"/>
        <v>0</v>
      </c>
    </row>
    <row r="20" spans="1:13" ht="16.5" thickTop="1" thickBot="1" x14ac:dyDescent="0.3">
      <c r="A20" s="5" t="s">
        <v>169</v>
      </c>
      <c r="B20" s="6">
        <v>87022</v>
      </c>
      <c r="C20" s="7" t="s">
        <v>14</v>
      </c>
      <c r="D20" s="39" t="s">
        <v>178</v>
      </c>
      <c r="E20" s="39" t="s">
        <v>13</v>
      </c>
      <c r="F20" s="39" t="s">
        <v>13</v>
      </c>
      <c r="G20" s="9">
        <v>60823</v>
      </c>
      <c r="H20" s="10">
        <f t="shared" si="4"/>
        <v>60822</v>
      </c>
      <c r="I20" s="11">
        <v>121645</v>
      </c>
      <c r="J20" s="11">
        <f>VLOOKUP(A20,'Feb 26'!A:G,7,FALSE)</f>
        <v>60823</v>
      </c>
      <c r="K20" s="11">
        <f t="shared" si="1"/>
        <v>0</v>
      </c>
      <c r="L20" s="11">
        <f t="shared" si="2"/>
        <v>0</v>
      </c>
      <c r="M20" s="41">
        <f t="shared" si="3"/>
        <v>0</v>
      </c>
    </row>
    <row r="21" spans="1:13" ht="16.5" thickTop="1" thickBot="1" x14ac:dyDescent="0.3">
      <c r="A21" s="5" t="s">
        <v>135</v>
      </c>
      <c r="B21" s="6">
        <v>87104</v>
      </c>
      <c r="C21" s="7" t="s">
        <v>26</v>
      </c>
      <c r="D21" s="39">
        <v>45939</v>
      </c>
      <c r="E21" s="39">
        <v>46072</v>
      </c>
      <c r="F21" s="39">
        <v>46106</v>
      </c>
      <c r="G21" s="45"/>
      <c r="H21" s="10"/>
      <c r="I21" s="11"/>
      <c r="J21" s="11">
        <f>VLOOKUP(A21,'Feb 26'!A:G,7,FALSE)</f>
        <v>24528.82</v>
      </c>
      <c r="K21" s="11">
        <f t="shared" si="1"/>
        <v>24528.82</v>
      </c>
      <c r="L21" s="11" t="str">
        <f t="shared" si="2"/>
        <v>Invoiced this Month</v>
      </c>
      <c r="M21" s="41">
        <f>-K21</f>
        <v>-24528.82</v>
      </c>
    </row>
    <row r="22" spans="1:13" ht="16.5" thickTop="1" thickBot="1" x14ac:dyDescent="0.3">
      <c r="A22" s="5" t="s">
        <v>280</v>
      </c>
      <c r="B22" s="6">
        <v>88961</v>
      </c>
      <c r="C22" s="7" t="s">
        <v>11</v>
      </c>
      <c r="D22" s="39">
        <v>46062</v>
      </c>
      <c r="E22" s="39" t="s">
        <v>13</v>
      </c>
      <c r="F22" s="39" t="s">
        <v>13</v>
      </c>
      <c r="G22" s="9">
        <v>22865</v>
      </c>
      <c r="H22" s="10">
        <f>I22-G22</f>
        <v>22864</v>
      </c>
      <c r="I22" s="11">
        <v>45729</v>
      </c>
      <c r="J22" s="11">
        <f>VLOOKUP(A22,'Feb 26'!A:G,7,FALSE)</f>
        <v>22865</v>
      </c>
      <c r="K22" s="11">
        <f t="shared" si="1"/>
        <v>0</v>
      </c>
      <c r="L22" s="11">
        <f t="shared" si="2"/>
        <v>0</v>
      </c>
      <c r="M22" s="41">
        <f t="shared" si="3"/>
        <v>0</v>
      </c>
    </row>
    <row r="23" spans="1:13" ht="16.5" thickTop="1" thickBot="1" x14ac:dyDescent="0.3">
      <c r="A23" s="5" t="s">
        <v>265</v>
      </c>
      <c r="B23" s="6">
        <v>88921</v>
      </c>
      <c r="C23" s="7" t="s">
        <v>21</v>
      </c>
      <c r="D23" s="39" t="s">
        <v>269</v>
      </c>
      <c r="E23" s="39" t="s">
        <v>13</v>
      </c>
      <c r="F23" s="39">
        <v>46112</v>
      </c>
      <c r="G23" s="45"/>
      <c r="H23" s="10"/>
      <c r="I23" s="11"/>
      <c r="J23" s="11">
        <f>VLOOKUP(A23,'Feb 26'!A:G,7,FALSE)</f>
        <v>18436</v>
      </c>
      <c r="K23" s="11">
        <f t="shared" si="1"/>
        <v>18436</v>
      </c>
      <c r="L23" s="11" t="str">
        <f t="shared" si="2"/>
        <v>Invoiced this Month</v>
      </c>
      <c r="M23" s="41">
        <f>-K23</f>
        <v>-18436</v>
      </c>
    </row>
    <row r="24" spans="1:13" ht="16.5" thickTop="1" thickBot="1" x14ac:dyDescent="0.3">
      <c r="A24" s="5" t="s">
        <v>272</v>
      </c>
      <c r="B24" s="6">
        <v>87591</v>
      </c>
      <c r="C24" s="7" t="s">
        <v>281</v>
      </c>
      <c r="D24" s="39">
        <v>46058</v>
      </c>
      <c r="E24" s="39" t="s">
        <v>13</v>
      </c>
      <c r="F24" s="39" t="s">
        <v>13</v>
      </c>
      <c r="G24" s="9">
        <v>25317</v>
      </c>
      <c r="H24" s="10">
        <f>I24-G24</f>
        <v>25316</v>
      </c>
      <c r="I24" s="11">
        <v>50633</v>
      </c>
      <c r="J24" s="11">
        <f>VLOOKUP(A24,'Feb 26'!A:G,7,FALSE)</f>
        <v>25317</v>
      </c>
      <c r="K24" s="11">
        <f t="shared" ref="K24:K29" si="5">IF(G24=0,J24-G24,0)</f>
        <v>0</v>
      </c>
      <c r="L24" s="11">
        <f t="shared" si="2"/>
        <v>0</v>
      </c>
      <c r="M24" s="41">
        <f t="shared" si="3"/>
        <v>0</v>
      </c>
    </row>
    <row r="25" spans="1:13" ht="16.5" thickTop="1" thickBot="1" x14ac:dyDescent="0.3">
      <c r="A25" s="5" t="s">
        <v>270</v>
      </c>
      <c r="B25" s="6">
        <v>88674</v>
      </c>
      <c r="C25" s="7" t="s">
        <v>31</v>
      </c>
      <c r="D25" s="39">
        <v>46055</v>
      </c>
      <c r="E25" s="39" t="s">
        <v>13</v>
      </c>
      <c r="F25" s="39" t="s">
        <v>13</v>
      </c>
      <c r="G25" s="9">
        <v>238760</v>
      </c>
      <c r="H25" s="10">
        <f>I25-G25</f>
        <v>238759</v>
      </c>
      <c r="I25" s="11">
        <v>477519</v>
      </c>
      <c r="J25" s="11">
        <f>VLOOKUP(A25,'Feb 26'!A:G,7,FALSE)</f>
        <v>238760</v>
      </c>
      <c r="K25" s="11">
        <f t="shared" si="5"/>
        <v>0</v>
      </c>
      <c r="L25" s="11">
        <f t="shared" si="2"/>
        <v>0</v>
      </c>
      <c r="M25" s="41">
        <f t="shared" si="3"/>
        <v>0</v>
      </c>
    </row>
    <row r="26" spans="1:13" ht="16.5" thickTop="1" thickBot="1" x14ac:dyDescent="0.3">
      <c r="A26" s="5" t="s">
        <v>144</v>
      </c>
      <c r="B26" s="6">
        <v>85791</v>
      </c>
      <c r="C26" s="7" t="s">
        <v>23</v>
      </c>
      <c r="D26" s="39">
        <v>45959</v>
      </c>
      <c r="E26" s="39" t="s">
        <v>13</v>
      </c>
      <c r="F26" s="39" t="s">
        <v>13</v>
      </c>
      <c r="G26" s="9">
        <v>8977.7000000000007</v>
      </c>
      <c r="H26" s="10">
        <f>I26-G26</f>
        <v>80799.3</v>
      </c>
      <c r="I26" s="11">
        <v>89777</v>
      </c>
      <c r="J26" s="11">
        <f>VLOOKUP(A26,'Feb 26'!A:G,7,FALSE)</f>
        <v>8977.7000000000007</v>
      </c>
      <c r="K26" s="11">
        <f t="shared" si="5"/>
        <v>0</v>
      </c>
      <c r="L26" s="11">
        <f t="shared" si="2"/>
        <v>0</v>
      </c>
      <c r="M26" s="41">
        <f t="shared" si="3"/>
        <v>0</v>
      </c>
    </row>
    <row r="27" spans="1:13" ht="16.5" thickTop="1" thickBot="1" x14ac:dyDescent="0.3">
      <c r="A27" s="5" t="s">
        <v>317</v>
      </c>
      <c r="B27" s="6">
        <v>88582</v>
      </c>
      <c r="C27" s="7" t="s">
        <v>23</v>
      </c>
      <c r="D27" s="39" t="s">
        <v>315</v>
      </c>
      <c r="E27" s="39" t="s">
        <v>13</v>
      </c>
      <c r="F27" s="39">
        <v>46112</v>
      </c>
      <c r="G27" s="45"/>
      <c r="H27" s="10"/>
      <c r="I27" s="11"/>
      <c r="J27" s="11">
        <f>VLOOKUP(A27,'Feb 26'!A:G,7,FALSE)</f>
        <v>4551</v>
      </c>
      <c r="K27" s="11">
        <f t="shared" si="5"/>
        <v>4551</v>
      </c>
      <c r="L27" s="11" t="str">
        <f t="shared" si="2"/>
        <v>Invoiced this Month</v>
      </c>
      <c r="M27" s="41">
        <f>-K27</f>
        <v>-4551</v>
      </c>
    </row>
    <row r="28" spans="1:13" ht="16.5" thickTop="1" thickBot="1" x14ac:dyDescent="0.3">
      <c r="A28" s="5" t="s">
        <v>273</v>
      </c>
      <c r="B28" s="6">
        <v>88115</v>
      </c>
      <c r="C28" s="7" t="s">
        <v>14</v>
      </c>
      <c r="D28" s="39">
        <v>46059</v>
      </c>
      <c r="E28" s="39" t="s">
        <v>13</v>
      </c>
      <c r="F28" s="39" t="s">
        <v>13</v>
      </c>
      <c r="G28" s="9">
        <v>62150.5</v>
      </c>
      <c r="H28" s="10">
        <f>I28-G28</f>
        <v>62150.5</v>
      </c>
      <c r="I28" s="11">
        <v>124301</v>
      </c>
      <c r="J28" s="11">
        <f>VLOOKUP(A28,'Feb 26'!A:G,7,FALSE)</f>
        <v>62150.5</v>
      </c>
      <c r="K28" s="11">
        <f t="shared" si="5"/>
        <v>0</v>
      </c>
      <c r="L28" s="11">
        <f t="shared" si="2"/>
        <v>0</v>
      </c>
      <c r="M28" s="41">
        <f t="shared" si="3"/>
        <v>0</v>
      </c>
    </row>
    <row r="29" spans="1:13" ht="16.5" thickTop="1" thickBot="1" x14ac:dyDescent="0.3">
      <c r="A29" s="5" t="s">
        <v>145</v>
      </c>
      <c r="B29" s="6">
        <v>83690</v>
      </c>
      <c r="C29" s="7" t="s">
        <v>23</v>
      </c>
      <c r="D29" s="39">
        <v>45959</v>
      </c>
      <c r="E29" s="39" t="s">
        <v>13</v>
      </c>
      <c r="F29" s="39" t="s">
        <v>13</v>
      </c>
      <c r="G29" s="9">
        <v>41681.4</v>
      </c>
      <c r="H29" s="10">
        <f>I29-G29</f>
        <v>375132.6</v>
      </c>
      <c r="I29" s="11">
        <v>416814</v>
      </c>
      <c r="J29" s="11">
        <f>VLOOKUP(A29,'Feb 26'!A:G,7,FALSE)</f>
        <v>41681.4</v>
      </c>
      <c r="K29" s="11">
        <f t="shared" si="5"/>
        <v>0</v>
      </c>
      <c r="L29" s="11">
        <f t="shared" si="2"/>
        <v>0</v>
      </c>
      <c r="M29" s="41">
        <f t="shared" si="3"/>
        <v>0</v>
      </c>
    </row>
    <row r="30" spans="1:13" ht="16.5" thickTop="1" thickBot="1" x14ac:dyDescent="0.3">
      <c r="A30" s="5" t="s">
        <v>227</v>
      </c>
      <c r="B30" s="6">
        <v>86318</v>
      </c>
      <c r="C30" s="7" t="s">
        <v>14</v>
      </c>
      <c r="D30" s="39" t="s">
        <v>244</v>
      </c>
      <c r="E30" s="39" t="s">
        <v>13</v>
      </c>
      <c r="F30" s="39" t="s">
        <v>13</v>
      </c>
      <c r="G30" s="9">
        <v>26483.5</v>
      </c>
      <c r="H30" s="10">
        <f>I30-G30</f>
        <v>26483.5</v>
      </c>
      <c r="I30" s="11">
        <v>52967</v>
      </c>
      <c r="J30" s="11">
        <f>VLOOKUP(A30,'Feb 26'!A:G,7,FALSE)</f>
        <v>26483.5</v>
      </c>
      <c r="K30" s="11"/>
      <c r="L30" s="11">
        <f t="shared" si="2"/>
        <v>0</v>
      </c>
      <c r="M30" s="41">
        <f t="shared" si="3"/>
        <v>0</v>
      </c>
    </row>
    <row r="31" spans="1:13" ht="16.5" thickTop="1" thickBot="1" x14ac:dyDescent="0.3">
      <c r="A31" s="5" t="s">
        <v>570</v>
      </c>
      <c r="B31" s="6">
        <v>89482</v>
      </c>
      <c r="C31" s="7" t="s">
        <v>23</v>
      </c>
      <c r="D31" s="39">
        <v>46111</v>
      </c>
      <c r="E31" s="39" t="s">
        <v>13</v>
      </c>
      <c r="F31" s="39"/>
      <c r="G31" s="9">
        <v>4138</v>
      </c>
      <c r="H31" s="10">
        <f>I31-G31</f>
        <v>4138</v>
      </c>
      <c r="I31" s="11">
        <v>8276</v>
      </c>
      <c r="J31" s="11"/>
      <c r="K31" s="11">
        <f>IF(G31=0,J31-G31,0)</f>
        <v>0</v>
      </c>
      <c r="L31" s="11">
        <f t="shared" si="2"/>
        <v>4138</v>
      </c>
      <c r="M31" s="41">
        <f t="shared" si="3"/>
        <v>4138</v>
      </c>
    </row>
    <row r="32" spans="1:13" ht="16.5" thickTop="1" thickBot="1" x14ac:dyDescent="0.3">
      <c r="A32" s="5" t="s">
        <v>356</v>
      </c>
      <c r="B32" s="6">
        <v>89242</v>
      </c>
      <c r="C32" s="7" t="s">
        <v>14</v>
      </c>
      <c r="D32" s="39">
        <v>46083</v>
      </c>
      <c r="E32" s="39" t="s">
        <v>13</v>
      </c>
      <c r="F32" s="39"/>
      <c r="G32" s="9">
        <v>8432</v>
      </c>
      <c r="H32" s="10">
        <f>I32-G32</f>
        <v>8432</v>
      </c>
      <c r="I32" s="11">
        <v>16864</v>
      </c>
      <c r="J32" s="11"/>
      <c r="K32" s="11">
        <f>IF(G32=0,J32-G32,0)</f>
        <v>0</v>
      </c>
      <c r="L32" s="11">
        <f t="shared" si="2"/>
        <v>8432</v>
      </c>
      <c r="M32" s="41">
        <f t="shared" si="3"/>
        <v>8432</v>
      </c>
    </row>
    <row r="33" spans="1:13" ht="16.5" thickTop="1" thickBot="1" x14ac:dyDescent="0.3">
      <c r="A33" s="5" t="s">
        <v>214</v>
      </c>
      <c r="B33" s="6">
        <v>88100</v>
      </c>
      <c r="C33" s="7" t="s">
        <v>23</v>
      </c>
      <c r="D33" s="39" t="s">
        <v>217</v>
      </c>
      <c r="E33" s="39">
        <v>46062</v>
      </c>
      <c r="F33" s="39">
        <v>46094</v>
      </c>
      <c r="G33" s="45"/>
      <c r="H33" s="10"/>
      <c r="I33" s="11"/>
      <c r="J33" s="11">
        <f>VLOOKUP(A33,'Feb 26'!A:G,7,FALSE)</f>
        <v>8674</v>
      </c>
      <c r="K33" s="11">
        <f>IF(G33=0,J33-G33,0)</f>
        <v>8674</v>
      </c>
      <c r="L33" s="11" t="str">
        <f t="shared" si="2"/>
        <v>Invoiced this Month</v>
      </c>
      <c r="M33" s="41">
        <f>-K33</f>
        <v>-8674</v>
      </c>
    </row>
    <row r="34" spans="1:13" ht="16.5" thickTop="1" thickBot="1" x14ac:dyDescent="0.3">
      <c r="A34" s="5" t="s">
        <v>229</v>
      </c>
      <c r="B34" s="6">
        <v>87633</v>
      </c>
      <c r="C34" s="7" t="s">
        <v>27</v>
      </c>
      <c r="D34" s="39" t="s">
        <v>244</v>
      </c>
      <c r="E34" s="39">
        <v>46072</v>
      </c>
      <c r="F34" s="39">
        <v>46108</v>
      </c>
      <c r="G34" s="45"/>
      <c r="H34" s="10"/>
      <c r="I34" s="11"/>
      <c r="J34" s="11">
        <f>VLOOKUP(A34,'Feb 26'!A:G,7,FALSE)</f>
        <v>39028</v>
      </c>
      <c r="K34" s="11">
        <f>IF(G34=0,J34-G34,0)</f>
        <v>39028</v>
      </c>
      <c r="L34" s="11" t="str">
        <f t="shared" ref="L34:L65" si="6">IF(G34&gt;0,G34-J34,"Invoiced this Month")</f>
        <v>Invoiced this Month</v>
      </c>
      <c r="M34" s="41">
        <f>-K34</f>
        <v>-39028</v>
      </c>
    </row>
    <row r="35" spans="1:13" ht="16.5" thickTop="1" thickBot="1" x14ac:dyDescent="0.3">
      <c r="A35" s="5" t="s">
        <v>512</v>
      </c>
      <c r="B35" s="6">
        <v>89649</v>
      </c>
      <c r="C35" s="7" t="s">
        <v>44</v>
      </c>
      <c r="D35" s="39">
        <v>46101</v>
      </c>
      <c r="E35" s="39" t="s">
        <v>13</v>
      </c>
      <c r="F35" s="39"/>
      <c r="G35" s="9">
        <v>17176</v>
      </c>
      <c r="H35" s="10">
        <f>I35-G35</f>
        <v>17175</v>
      </c>
      <c r="I35" s="11">
        <v>34351</v>
      </c>
      <c r="J35" s="11"/>
      <c r="K35" s="11">
        <f t="shared" ref="K35:K45" si="7">IF(G35=0,J35-G35,0)</f>
        <v>0</v>
      </c>
      <c r="L35" s="11">
        <f t="shared" si="6"/>
        <v>17176</v>
      </c>
      <c r="M35" s="41">
        <f t="shared" si="3"/>
        <v>17176</v>
      </c>
    </row>
    <row r="36" spans="1:13" ht="16.5" thickTop="1" thickBot="1" x14ac:dyDescent="0.3">
      <c r="A36" s="5" t="s">
        <v>278</v>
      </c>
      <c r="B36" s="6">
        <v>88240</v>
      </c>
      <c r="C36" s="7" t="s">
        <v>283</v>
      </c>
      <c r="D36" s="39">
        <v>46062</v>
      </c>
      <c r="E36" s="39" t="s">
        <v>13</v>
      </c>
      <c r="F36" s="39" t="s">
        <v>13</v>
      </c>
      <c r="G36" s="9">
        <v>16435.5</v>
      </c>
      <c r="H36" s="10">
        <f>I36-G36</f>
        <v>16435.5</v>
      </c>
      <c r="I36" s="11">
        <v>32871</v>
      </c>
      <c r="J36" s="11">
        <f>VLOOKUP(A36,'Feb 26'!A:G,7,FALSE)</f>
        <v>16435.5</v>
      </c>
      <c r="K36" s="11">
        <f t="shared" si="7"/>
        <v>0</v>
      </c>
      <c r="L36" s="11">
        <f t="shared" si="6"/>
        <v>0</v>
      </c>
      <c r="M36" s="41">
        <f t="shared" si="3"/>
        <v>0</v>
      </c>
    </row>
    <row r="37" spans="1:13" ht="16.5" thickTop="1" thickBot="1" x14ac:dyDescent="0.3">
      <c r="A37" s="5" t="s">
        <v>168</v>
      </c>
      <c r="B37" s="6">
        <v>85440</v>
      </c>
      <c r="C37" s="7" t="s">
        <v>14</v>
      </c>
      <c r="D37" s="39" t="s">
        <v>177</v>
      </c>
      <c r="E37" s="39">
        <v>46044</v>
      </c>
      <c r="F37" s="39">
        <v>46106</v>
      </c>
      <c r="G37" s="45"/>
      <c r="H37" s="10"/>
      <c r="I37" s="11"/>
      <c r="J37" s="11">
        <f>VLOOKUP(A37,'Feb 26'!A:G,7,FALSE)</f>
        <v>15439</v>
      </c>
      <c r="K37" s="11">
        <f t="shared" si="7"/>
        <v>15439</v>
      </c>
      <c r="L37" s="11" t="str">
        <f t="shared" si="6"/>
        <v>Invoiced this Month</v>
      </c>
      <c r="M37" s="41">
        <f>-K37</f>
        <v>-15439</v>
      </c>
    </row>
    <row r="38" spans="1:13" ht="16.5" thickTop="1" thickBot="1" x14ac:dyDescent="0.3">
      <c r="A38" s="5" t="s">
        <v>215</v>
      </c>
      <c r="B38" s="6">
        <v>88227</v>
      </c>
      <c r="C38" s="7" t="s">
        <v>14</v>
      </c>
      <c r="D38" s="39" t="s">
        <v>217</v>
      </c>
      <c r="E38" s="39" t="s">
        <v>13</v>
      </c>
      <c r="F38" s="39" t="s">
        <v>13</v>
      </c>
      <c r="G38" s="9">
        <v>32005</v>
      </c>
      <c r="H38" s="10">
        <f t="shared" ref="H38:H46" si="8">I38-G38</f>
        <v>32005</v>
      </c>
      <c r="I38" s="11">
        <v>64010</v>
      </c>
      <c r="J38" s="11">
        <f>VLOOKUP(A38,'Feb 26'!A:G,7,FALSE)</f>
        <v>32005</v>
      </c>
      <c r="K38" s="11">
        <f t="shared" si="7"/>
        <v>0</v>
      </c>
      <c r="L38" s="11">
        <f t="shared" si="6"/>
        <v>0</v>
      </c>
      <c r="M38" s="41">
        <f t="shared" si="3"/>
        <v>0</v>
      </c>
    </row>
    <row r="39" spans="1:13" ht="16.5" thickTop="1" thickBot="1" x14ac:dyDescent="0.3">
      <c r="A39" s="5" t="s">
        <v>502</v>
      </c>
      <c r="B39" s="6">
        <v>84966</v>
      </c>
      <c r="C39" s="7" t="s">
        <v>14</v>
      </c>
      <c r="D39" s="39">
        <v>46099</v>
      </c>
      <c r="E39" s="39" t="s">
        <v>13</v>
      </c>
      <c r="F39" s="39"/>
      <c r="G39" s="9">
        <v>39804</v>
      </c>
      <c r="H39" s="10">
        <f t="shared" si="8"/>
        <v>39803</v>
      </c>
      <c r="I39" s="11">
        <v>79607</v>
      </c>
      <c r="J39" s="11"/>
      <c r="K39" s="11">
        <f t="shared" si="7"/>
        <v>0</v>
      </c>
      <c r="L39" s="11">
        <f t="shared" si="6"/>
        <v>39804</v>
      </c>
      <c r="M39" s="41">
        <f t="shared" si="3"/>
        <v>39804</v>
      </c>
    </row>
    <row r="40" spans="1:13" ht="16.5" thickTop="1" thickBot="1" x14ac:dyDescent="0.3">
      <c r="A40" s="20" t="s">
        <v>24</v>
      </c>
      <c r="B40" s="13" t="s">
        <v>89</v>
      </c>
      <c r="C40" s="14"/>
      <c r="D40" s="15" t="s">
        <v>25</v>
      </c>
      <c r="E40" s="15" t="s">
        <v>13</v>
      </c>
      <c r="F40" s="40" t="s">
        <v>13</v>
      </c>
      <c r="G40" s="21">
        <v>4108</v>
      </c>
      <c r="H40" s="17">
        <f t="shared" si="8"/>
        <v>0</v>
      </c>
      <c r="I40" s="18">
        <v>4108</v>
      </c>
      <c r="J40" s="18">
        <f>VLOOKUP(A40,'Feb 26'!A:G,7,FALSE)</f>
        <v>4108</v>
      </c>
      <c r="K40" s="18">
        <f t="shared" si="7"/>
        <v>0</v>
      </c>
      <c r="L40" s="18">
        <f t="shared" si="6"/>
        <v>0</v>
      </c>
      <c r="M40" s="41">
        <f t="shared" si="3"/>
        <v>0</v>
      </c>
    </row>
    <row r="41" spans="1:13" ht="16.5" thickTop="1" thickBot="1" x14ac:dyDescent="0.3">
      <c r="A41" s="5" t="s">
        <v>359</v>
      </c>
      <c r="B41" s="6">
        <v>88513</v>
      </c>
      <c r="C41" s="7" t="s">
        <v>21</v>
      </c>
      <c r="D41" s="39">
        <v>46085</v>
      </c>
      <c r="E41" s="39" t="s">
        <v>13</v>
      </c>
      <c r="F41" s="39"/>
      <c r="G41" s="9">
        <v>11224</v>
      </c>
      <c r="H41" s="10">
        <f t="shared" si="8"/>
        <v>13423</v>
      </c>
      <c r="I41" s="11">
        <v>24647</v>
      </c>
      <c r="J41" s="11"/>
      <c r="K41" s="11">
        <f t="shared" si="7"/>
        <v>0</v>
      </c>
      <c r="L41" s="11">
        <f t="shared" si="6"/>
        <v>11224</v>
      </c>
      <c r="M41" s="41">
        <f t="shared" si="3"/>
        <v>11224</v>
      </c>
    </row>
    <row r="42" spans="1:13" ht="16.5" thickTop="1" thickBot="1" x14ac:dyDescent="0.3">
      <c r="A42" s="5" t="s">
        <v>367</v>
      </c>
      <c r="B42" s="6">
        <v>85396</v>
      </c>
      <c r="C42" s="7" t="s">
        <v>368</v>
      </c>
      <c r="D42" s="39">
        <v>46090</v>
      </c>
      <c r="E42" s="39" t="s">
        <v>13</v>
      </c>
      <c r="F42" s="39"/>
      <c r="G42" s="9">
        <v>9792</v>
      </c>
      <c r="H42" s="10">
        <f t="shared" si="8"/>
        <v>9792</v>
      </c>
      <c r="I42" s="11">
        <v>19584</v>
      </c>
      <c r="J42" s="11"/>
      <c r="K42" s="11">
        <f t="shared" si="7"/>
        <v>0</v>
      </c>
      <c r="L42" s="11">
        <f t="shared" si="6"/>
        <v>9792</v>
      </c>
      <c r="M42" s="41">
        <f t="shared" si="3"/>
        <v>9792</v>
      </c>
    </row>
    <row r="43" spans="1:13" ht="16.5" thickTop="1" thickBot="1" x14ac:dyDescent="0.3">
      <c r="A43" s="5" t="s">
        <v>332</v>
      </c>
      <c r="B43" s="6">
        <v>86825</v>
      </c>
      <c r="C43" s="7" t="s">
        <v>16</v>
      </c>
      <c r="D43" s="39" t="s">
        <v>343</v>
      </c>
      <c r="E43" s="39" t="s">
        <v>13</v>
      </c>
      <c r="F43" s="39" t="s">
        <v>13</v>
      </c>
      <c r="G43" s="9">
        <v>6409</v>
      </c>
      <c r="H43" s="10">
        <f t="shared" si="8"/>
        <v>6408</v>
      </c>
      <c r="I43" s="11">
        <v>12817</v>
      </c>
      <c r="J43" s="11">
        <f>VLOOKUP(A43,'Feb 26'!A:G,7,FALSE)</f>
        <v>6409</v>
      </c>
      <c r="K43" s="11">
        <f t="shared" si="7"/>
        <v>0</v>
      </c>
      <c r="L43" s="11">
        <f t="shared" si="6"/>
        <v>0</v>
      </c>
      <c r="M43" s="41">
        <f t="shared" si="3"/>
        <v>0</v>
      </c>
    </row>
    <row r="44" spans="1:13" ht="16.5" thickTop="1" thickBot="1" x14ac:dyDescent="0.3">
      <c r="A44" s="5" t="s">
        <v>508</v>
      </c>
      <c r="B44" s="6">
        <v>89296</v>
      </c>
      <c r="C44" s="7" t="s">
        <v>509</v>
      </c>
      <c r="D44" s="39">
        <v>46100</v>
      </c>
      <c r="E44" s="39" t="s">
        <v>13</v>
      </c>
      <c r="F44" s="39"/>
      <c r="G44" s="9">
        <v>109253</v>
      </c>
      <c r="H44" s="10">
        <f t="shared" si="8"/>
        <v>109253</v>
      </c>
      <c r="I44" s="11">
        <v>218506</v>
      </c>
      <c r="J44" s="11"/>
      <c r="K44" s="11">
        <f t="shared" si="7"/>
        <v>0</v>
      </c>
      <c r="L44" s="11">
        <f t="shared" si="6"/>
        <v>109253</v>
      </c>
      <c r="M44" s="41">
        <f t="shared" si="3"/>
        <v>109253</v>
      </c>
    </row>
    <row r="45" spans="1:13" ht="16.5" thickTop="1" thickBot="1" x14ac:dyDescent="0.3">
      <c r="A45" s="5" t="s">
        <v>274</v>
      </c>
      <c r="B45" s="6">
        <v>88868</v>
      </c>
      <c r="C45" s="7" t="s">
        <v>45</v>
      </c>
      <c r="D45" s="39">
        <v>46059</v>
      </c>
      <c r="E45" s="39" t="s">
        <v>13</v>
      </c>
      <c r="F45" s="39" t="s">
        <v>13</v>
      </c>
      <c r="G45" s="9">
        <v>17321</v>
      </c>
      <c r="H45" s="10">
        <f t="shared" si="8"/>
        <v>17321</v>
      </c>
      <c r="I45" s="11">
        <v>34642</v>
      </c>
      <c r="J45" s="11">
        <f>VLOOKUP(A45,'Feb 26'!A:G,7,FALSE)</f>
        <v>17321</v>
      </c>
      <c r="K45" s="11">
        <f t="shared" si="7"/>
        <v>0</v>
      </c>
      <c r="L45" s="11">
        <f t="shared" si="6"/>
        <v>0</v>
      </c>
      <c r="M45" s="41">
        <f t="shared" si="3"/>
        <v>0</v>
      </c>
    </row>
    <row r="46" spans="1:13" ht="16.5" thickTop="1" thickBot="1" x14ac:dyDescent="0.3">
      <c r="A46" s="5" t="s">
        <v>235</v>
      </c>
      <c r="B46" s="6">
        <v>88131</v>
      </c>
      <c r="C46" s="7" t="s">
        <v>19</v>
      </c>
      <c r="D46" s="39" t="s">
        <v>249</v>
      </c>
      <c r="E46" s="39">
        <v>46076</v>
      </c>
      <c r="F46" s="39" t="s">
        <v>13</v>
      </c>
      <c r="G46" s="9">
        <v>33237</v>
      </c>
      <c r="H46" s="10">
        <f t="shared" si="8"/>
        <v>33236</v>
      </c>
      <c r="I46" s="11">
        <v>66473</v>
      </c>
      <c r="J46" s="11">
        <f>VLOOKUP(A46,'Feb 26'!A:G,7,FALSE)</f>
        <v>33237</v>
      </c>
      <c r="K46" s="11"/>
      <c r="L46" s="11">
        <f t="shared" si="6"/>
        <v>0</v>
      </c>
      <c r="M46" s="41">
        <f t="shared" si="3"/>
        <v>0</v>
      </c>
    </row>
    <row r="47" spans="1:13" ht="16.5" thickTop="1" thickBot="1" x14ac:dyDescent="0.3">
      <c r="A47" s="5" t="s">
        <v>205</v>
      </c>
      <c r="B47" s="6">
        <v>87218</v>
      </c>
      <c r="C47" s="7" t="s">
        <v>67</v>
      </c>
      <c r="D47" s="39" t="s">
        <v>211</v>
      </c>
      <c r="E47" s="39">
        <v>46028</v>
      </c>
      <c r="F47" s="39">
        <v>46084</v>
      </c>
      <c r="G47" s="45"/>
      <c r="H47" s="10"/>
      <c r="I47" s="11"/>
      <c r="J47" s="11">
        <f>VLOOKUP(A47,'Feb 26'!A:G,7,FALSE)</f>
        <v>7433</v>
      </c>
      <c r="K47" s="11">
        <f t="shared" ref="K47:K64" si="9">IF(G47=0,J47-G47,0)</f>
        <v>7433</v>
      </c>
      <c r="L47" s="11" t="str">
        <f t="shared" si="6"/>
        <v>Invoiced this Month</v>
      </c>
      <c r="M47" s="41">
        <f t="shared" ref="M47:M48" si="10">-K47</f>
        <v>-7433</v>
      </c>
    </row>
    <row r="48" spans="1:13" ht="16.5" thickTop="1" thickBot="1" x14ac:dyDescent="0.3">
      <c r="A48" s="5" t="s">
        <v>170</v>
      </c>
      <c r="B48" s="6">
        <v>83937</v>
      </c>
      <c r="C48" s="7" t="s">
        <v>182</v>
      </c>
      <c r="D48" s="39" t="s">
        <v>178</v>
      </c>
      <c r="E48" s="39">
        <v>46071</v>
      </c>
      <c r="F48" s="39">
        <v>46112</v>
      </c>
      <c r="G48" s="45"/>
      <c r="H48" s="10"/>
      <c r="I48" s="11"/>
      <c r="J48" s="11">
        <f>VLOOKUP(A48,'Feb 26'!A:G,7,FALSE)</f>
        <v>59570.5</v>
      </c>
      <c r="K48" s="11">
        <f t="shared" si="9"/>
        <v>59570.5</v>
      </c>
      <c r="L48" s="11" t="str">
        <f t="shared" si="6"/>
        <v>Invoiced this Month</v>
      </c>
      <c r="M48" s="41">
        <f t="shared" si="10"/>
        <v>-59570.5</v>
      </c>
    </row>
    <row r="49" spans="1:13" ht="16.5" thickTop="1" thickBot="1" x14ac:dyDescent="0.3">
      <c r="A49" s="5" t="s">
        <v>358</v>
      </c>
      <c r="B49" s="6">
        <v>87426</v>
      </c>
      <c r="C49" s="7" t="s">
        <v>21</v>
      </c>
      <c r="D49" s="39">
        <v>46084</v>
      </c>
      <c r="E49" s="39" t="s">
        <v>13</v>
      </c>
      <c r="F49" s="39" t="s">
        <v>63</v>
      </c>
      <c r="G49" s="9">
        <v>94654</v>
      </c>
      <c r="H49" s="10">
        <f>I49-G49</f>
        <v>94653</v>
      </c>
      <c r="I49" s="11">
        <v>189307</v>
      </c>
      <c r="J49" s="11"/>
      <c r="K49" s="11">
        <f t="shared" si="9"/>
        <v>0</v>
      </c>
      <c r="L49" s="11">
        <f t="shared" si="6"/>
        <v>94654</v>
      </c>
      <c r="M49" s="41">
        <f t="shared" si="3"/>
        <v>94654</v>
      </c>
    </row>
    <row r="50" spans="1:13" ht="16.5" thickTop="1" thickBot="1" x14ac:dyDescent="0.3">
      <c r="A50" s="5" t="s">
        <v>75</v>
      </c>
      <c r="B50" s="6">
        <v>83108</v>
      </c>
      <c r="C50" s="7" t="s">
        <v>76</v>
      </c>
      <c r="D50" s="8" t="s">
        <v>77</v>
      </c>
      <c r="E50" s="39" t="s">
        <v>13</v>
      </c>
      <c r="F50" s="39" t="s">
        <v>13</v>
      </c>
      <c r="G50" s="9">
        <v>172204.5</v>
      </c>
      <c r="H50" s="10">
        <f>I50-G50</f>
        <v>172204.5</v>
      </c>
      <c r="I50" s="11">
        <v>344409</v>
      </c>
      <c r="J50" s="11">
        <f>VLOOKUP(A50,'Feb 26'!A:G,7,FALSE)</f>
        <v>172204.5</v>
      </c>
      <c r="K50" s="11">
        <f t="shared" si="9"/>
        <v>0</v>
      </c>
      <c r="L50" s="11">
        <f t="shared" si="6"/>
        <v>0</v>
      </c>
      <c r="M50" s="41">
        <f t="shared" si="3"/>
        <v>0</v>
      </c>
    </row>
    <row r="51" spans="1:13" ht="16.5" thickTop="1" thickBot="1" x14ac:dyDescent="0.3">
      <c r="A51" s="5" t="s">
        <v>138</v>
      </c>
      <c r="B51" s="6">
        <v>84134</v>
      </c>
      <c r="C51" s="7" t="s">
        <v>14</v>
      </c>
      <c r="D51" s="39">
        <v>45945</v>
      </c>
      <c r="E51" s="39" t="s">
        <v>13</v>
      </c>
      <c r="F51" s="39" t="s">
        <v>13</v>
      </c>
      <c r="G51" s="9">
        <v>64205</v>
      </c>
      <c r="H51" s="10">
        <f>I51-G51</f>
        <v>61477</v>
      </c>
      <c r="I51" s="11">
        <v>125682</v>
      </c>
      <c r="J51" s="11">
        <f>VLOOKUP(A51,'Feb 26'!A:G,7,FALSE)</f>
        <v>64205</v>
      </c>
      <c r="K51" s="11">
        <f t="shared" si="9"/>
        <v>0</v>
      </c>
      <c r="L51" s="11">
        <f t="shared" si="6"/>
        <v>0</v>
      </c>
      <c r="M51" s="41">
        <f t="shared" si="3"/>
        <v>0</v>
      </c>
    </row>
    <row r="52" spans="1:13" ht="16.5" thickTop="1" thickBot="1" x14ac:dyDescent="0.3">
      <c r="A52" s="5" t="s">
        <v>378</v>
      </c>
      <c r="B52" s="6">
        <v>85777</v>
      </c>
      <c r="C52" s="7" t="s">
        <v>37</v>
      </c>
      <c r="D52" s="39">
        <v>46093</v>
      </c>
      <c r="E52" s="39" t="s">
        <v>13</v>
      </c>
      <c r="F52" s="39"/>
      <c r="G52" s="9">
        <v>17769</v>
      </c>
      <c r="H52" s="10">
        <f>I52-G52</f>
        <v>168389</v>
      </c>
      <c r="I52" s="11">
        <v>186158</v>
      </c>
      <c r="J52" s="11"/>
      <c r="K52" s="11">
        <f t="shared" si="9"/>
        <v>0</v>
      </c>
      <c r="L52" s="11">
        <f t="shared" si="6"/>
        <v>17769</v>
      </c>
      <c r="M52" s="41">
        <f t="shared" si="3"/>
        <v>17769</v>
      </c>
    </row>
    <row r="53" spans="1:13" ht="16.5" thickTop="1" thickBot="1" x14ac:dyDescent="0.3">
      <c r="A53" s="5" t="s">
        <v>288</v>
      </c>
      <c r="B53" s="6">
        <v>88087</v>
      </c>
      <c r="C53" s="7" t="s">
        <v>295</v>
      </c>
      <c r="D53" s="39" t="s">
        <v>292</v>
      </c>
      <c r="E53" s="39" t="s">
        <v>13</v>
      </c>
      <c r="F53" s="39" t="s">
        <v>13</v>
      </c>
      <c r="G53" s="9">
        <v>123085</v>
      </c>
      <c r="H53" s="10">
        <f>I53-G53</f>
        <v>123084</v>
      </c>
      <c r="I53" s="11">
        <v>246169</v>
      </c>
      <c r="J53" s="11">
        <f>VLOOKUP(A53,'Feb 26'!A:G,7,FALSE)</f>
        <v>123085</v>
      </c>
      <c r="K53" s="11">
        <f t="shared" si="9"/>
        <v>0</v>
      </c>
      <c r="L53" s="11">
        <f t="shared" si="6"/>
        <v>0</v>
      </c>
      <c r="M53" s="41">
        <f t="shared" si="3"/>
        <v>0</v>
      </c>
    </row>
    <row r="54" spans="1:13" ht="16.5" thickTop="1" thickBot="1" x14ac:dyDescent="0.3">
      <c r="A54" s="5" t="s">
        <v>79</v>
      </c>
      <c r="B54" s="6">
        <v>83623</v>
      </c>
      <c r="C54" s="7" t="s">
        <v>59</v>
      </c>
      <c r="D54" s="39">
        <v>45859</v>
      </c>
      <c r="E54" s="39">
        <v>46020</v>
      </c>
      <c r="F54" s="39">
        <v>46094</v>
      </c>
      <c r="G54" s="45"/>
      <c r="H54" s="10"/>
      <c r="I54" s="11"/>
      <c r="J54" s="11">
        <f>VLOOKUP(A54,'Feb 26'!A:G,7,FALSE)</f>
        <v>75227</v>
      </c>
      <c r="K54" s="11">
        <f t="shared" si="9"/>
        <v>75227</v>
      </c>
      <c r="L54" s="11" t="str">
        <f t="shared" si="6"/>
        <v>Invoiced this Month</v>
      </c>
      <c r="M54" s="41">
        <f>-K54</f>
        <v>-75227</v>
      </c>
    </row>
    <row r="55" spans="1:13" ht="16.5" thickTop="1" thickBot="1" x14ac:dyDescent="0.3">
      <c r="A55" s="5" t="s">
        <v>122</v>
      </c>
      <c r="B55" s="6">
        <v>87161</v>
      </c>
      <c r="C55" s="7" t="s">
        <v>23</v>
      </c>
      <c r="D55" s="39">
        <v>45924</v>
      </c>
      <c r="E55" s="39">
        <v>45992</v>
      </c>
      <c r="F55" s="39" t="s">
        <v>353</v>
      </c>
      <c r="G55" s="9">
        <v>17417</v>
      </c>
      <c r="H55" s="10">
        <f t="shared" ref="H55:H69" si="11">I55-G55</f>
        <v>17417</v>
      </c>
      <c r="I55" s="11">
        <v>34834</v>
      </c>
      <c r="J55" s="11">
        <f>VLOOKUP(A55,'Feb 26'!A:G,7,FALSE)</f>
        <v>17417</v>
      </c>
      <c r="K55" s="11">
        <f t="shared" si="9"/>
        <v>0</v>
      </c>
      <c r="L55" s="11">
        <f t="shared" si="6"/>
        <v>0</v>
      </c>
      <c r="M55" s="41">
        <f t="shared" si="3"/>
        <v>0</v>
      </c>
    </row>
    <row r="56" spans="1:13" ht="16.5" thickTop="1" thickBot="1" x14ac:dyDescent="0.3">
      <c r="A56" s="5" t="s">
        <v>336</v>
      </c>
      <c r="B56" s="6">
        <v>88180</v>
      </c>
      <c r="C56" s="7" t="s">
        <v>21</v>
      </c>
      <c r="D56" s="39" t="s">
        <v>345</v>
      </c>
      <c r="E56" s="39" t="s">
        <v>13</v>
      </c>
      <c r="F56" s="39" t="s">
        <v>13</v>
      </c>
      <c r="G56" s="9">
        <v>38957</v>
      </c>
      <c r="H56" s="10">
        <f t="shared" si="11"/>
        <v>38957</v>
      </c>
      <c r="I56" s="11">
        <v>77914</v>
      </c>
      <c r="J56" s="11">
        <f>VLOOKUP(A56,'Feb 26'!A:G,7,FALSE)</f>
        <v>38957</v>
      </c>
      <c r="K56" s="11">
        <f t="shared" si="9"/>
        <v>0</v>
      </c>
      <c r="L56" s="11">
        <f t="shared" si="6"/>
        <v>0</v>
      </c>
      <c r="M56" s="41">
        <f t="shared" si="3"/>
        <v>0</v>
      </c>
    </row>
    <row r="57" spans="1:13" ht="16.5" thickTop="1" thickBot="1" x14ac:dyDescent="0.3">
      <c r="A57" s="5" t="s">
        <v>503</v>
      </c>
      <c r="B57" s="6">
        <v>89554</v>
      </c>
      <c r="C57" s="7" t="s">
        <v>19</v>
      </c>
      <c r="D57" s="39">
        <v>46100</v>
      </c>
      <c r="E57" s="39" t="s">
        <v>13</v>
      </c>
      <c r="F57" s="39"/>
      <c r="G57" s="9">
        <v>17304</v>
      </c>
      <c r="H57" s="10">
        <f t="shared" si="11"/>
        <v>17303</v>
      </c>
      <c r="I57" s="11">
        <v>34607</v>
      </c>
      <c r="J57" s="11"/>
      <c r="K57" s="11">
        <f t="shared" si="9"/>
        <v>0</v>
      </c>
      <c r="L57" s="11">
        <f t="shared" si="6"/>
        <v>17304</v>
      </c>
      <c r="M57" s="41">
        <f t="shared" si="3"/>
        <v>17304</v>
      </c>
    </row>
    <row r="58" spans="1:13" ht="16.5" thickTop="1" thickBot="1" x14ac:dyDescent="0.3">
      <c r="A58" s="5" t="s">
        <v>123</v>
      </c>
      <c r="B58" s="6">
        <v>86965</v>
      </c>
      <c r="C58" s="7" t="s">
        <v>33</v>
      </c>
      <c r="D58" s="39">
        <v>45924</v>
      </c>
      <c r="E58" s="39">
        <v>46048</v>
      </c>
      <c r="F58" s="39" t="s">
        <v>353</v>
      </c>
      <c r="G58" s="9">
        <v>49026</v>
      </c>
      <c r="H58" s="10">
        <f t="shared" si="11"/>
        <v>51328</v>
      </c>
      <c r="I58" s="11">
        <v>100354</v>
      </c>
      <c r="J58" s="11">
        <f>VLOOKUP(A58,'Feb 26'!A:G,7,FALSE)</f>
        <v>49026</v>
      </c>
      <c r="K58" s="11">
        <f t="shared" si="9"/>
        <v>0</v>
      </c>
      <c r="L58" s="11">
        <f t="shared" si="6"/>
        <v>0</v>
      </c>
      <c r="M58" s="41">
        <f t="shared" si="3"/>
        <v>0</v>
      </c>
    </row>
    <row r="59" spans="1:13" ht="16.5" thickTop="1" thickBot="1" x14ac:dyDescent="0.3">
      <c r="A59" s="5" t="s">
        <v>569</v>
      </c>
      <c r="B59" s="6">
        <v>83204</v>
      </c>
      <c r="C59" s="7" t="s">
        <v>14</v>
      </c>
      <c r="D59" s="39">
        <v>46108</v>
      </c>
      <c r="E59" s="39" t="s">
        <v>13</v>
      </c>
      <c r="F59" s="39"/>
      <c r="G59" s="9">
        <v>44368</v>
      </c>
      <c r="H59" s="10">
        <f t="shared" si="11"/>
        <v>44368</v>
      </c>
      <c r="I59" s="11">
        <v>88736</v>
      </c>
      <c r="J59" s="11"/>
      <c r="K59" s="11">
        <f t="shared" si="9"/>
        <v>0</v>
      </c>
      <c r="L59" s="11">
        <f t="shared" si="6"/>
        <v>44368</v>
      </c>
      <c r="M59" s="41">
        <f t="shared" si="3"/>
        <v>44368</v>
      </c>
    </row>
    <row r="60" spans="1:13" ht="16.5" thickTop="1" thickBot="1" x14ac:dyDescent="0.3">
      <c r="A60" s="5" t="s">
        <v>355</v>
      </c>
      <c r="B60" s="6">
        <v>85495</v>
      </c>
      <c r="C60" s="7" t="s">
        <v>14</v>
      </c>
      <c r="D60" s="39">
        <v>46083</v>
      </c>
      <c r="E60" s="39" t="s">
        <v>13</v>
      </c>
      <c r="F60" s="39"/>
      <c r="G60" s="9">
        <v>29175</v>
      </c>
      <c r="H60" s="10">
        <f t="shared" si="11"/>
        <v>29175</v>
      </c>
      <c r="I60" s="11">
        <v>58350</v>
      </c>
      <c r="J60" s="11"/>
      <c r="K60" s="11">
        <f t="shared" si="9"/>
        <v>0</v>
      </c>
      <c r="L60" s="11">
        <f t="shared" si="6"/>
        <v>29175</v>
      </c>
      <c r="M60" s="41">
        <f t="shared" si="3"/>
        <v>29175</v>
      </c>
    </row>
    <row r="61" spans="1:13" ht="16.5" thickTop="1" thickBot="1" x14ac:dyDescent="0.3">
      <c r="A61" s="5" t="s">
        <v>375</v>
      </c>
      <c r="B61" s="6">
        <v>88756</v>
      </c>
      <c r="C61" s="7" t="s">
        <v>23</v>
      </c>
      <c r="D61" s="39">
        <v>46092</v>
      </c>
      <c r="E61" s="39" t="s">
        <v>13</v>
      </c>
      <c r="F61" s="39"/>
      <c r="G61" s="9">
        <v>160000</v>
      </c>
      <c r="H61" s="10">
        <f t="shared" si="11"/>
        <v>158239</v>
      </c>
      <c r="I61" s="11">
        <v>318239</v>
      </c>
      <c r="J61" s="11"/>
      <c r="K61" s="11">
        <f t="shared" si="9"/>
        <v>0</v>
      </c>
      <c r="L61" s="11">
        <f t="shared" si="6"/>
        <v>160000</v>
      </c>
      <c r="M61" s="41">
        <f t="shared" si="3"/>
        <v>160000</v>
      </c>
    </row>
    <row r="62" spans="1:13" ht="16.5" thickTop="1" thickBot="1" x14ac:dyDescent="0.3">
      <c r="A62" s="5" t="s">
        <v>372</v>
      </c>
      <c r="B62" s="6">
        <v>89698</v>
      </c>
      <c r="C62" s="7" t="s">
        <v>23</v>
      </c>
      <c r="D62" s="39">
        <v>46091</v>
      </c>
      <c r="E62" s="39" t="s">
        <v>13</v>
      </c>
      <c r="F62" s="39"/>
      <c r="G62" s="9">
        <v>8935.32</v>
      </c>
      <c r="H62" s="10">
        <f t="shared" si="11"/>
        <v>8935.32</v>
      </c>
      <c r="I62" s="62">
        <v>17870.64</v>
      </c>
      <c r="J62" s="11"/>
      <c r="K62" s="11">
        <f t="shared" si="9"/>
        <v>0</v>
      </c>
      <c r="L62" s="11">
        <f t="shared" si="6"/>
        <v>8935.32</v>
      </c>
      <c r="M62" s="41">
        <f t="shared" si="3"/>
        <v>8935.32</v>
      </c>
    </row>
    <row r="63" spans="1:13" ht="16.5" thickTop="1" thickBot="1" x14ac:dyDescent="0.3">
      <c r="A63" s="5" t="s">
        <v>516</v>
      </c>
      <c r="B63" s="6">
        <v>88858</v>
      </c>
      <c r="C63" s="7" t="s">
        <v>23</v>
      </c>
      <c r="D63" s="39">
        <v>46105</v>
      </c>
      <c r="E63" s="39" t="s">
        <v>13</v>
      </c>
      <c r="F63" s="39"/>
      <c r="G63" s="9">
        <v>16192</v>
      </c>
      <c r="H63" s="10">
        <f t="shared" si="11"/>
        <v>16192</v>
      </c>
      <c r="I63" s="11">
        <v>32384</v>
      </c>
      <c r="J63" s="11"/>
      <c r="K63" s="11">
        <f t="shared" si="9"/>
        <v>0</v>
      </c>
      <c r="L63" s="11">
        <f t="shared" si="6"/>
        <v>16192</v>
      </c>
      <c r="M63" s="41">
        <f t="shared" si="3"/>
        <v>16192</v>
      </c>
    </row>
    <row r="64" spans="1:13" ht="16.5" thickTop="1" thickBot="1" x14ac:dyDescent="0.3">
      <c r="A64" s="5" t="s">
        <v>323</v>
      </c>
      <c r="B64" s="6">
        <v>88511</v>
      </c>
      <c r="C64" s="7" t="s">
        <v>23</v>
      </c>
      <c r="D64" s="39" t="s">
        <v>322</v>
      </c>
      <c r="E64" s="39" t="s">
        <v>13</v>
      </c>
      <c r="F64" s="39" t="s">
        <v>13</v>
      </c>
      <c r="G64" s="9">
        <v>19222</v>
      </c>
      <c r="H64" s="10">
        <f t="shared" si="11"/>
        <v>19222</v>
      </c>
      <c r="I64" s="11">
        <v>38444</v>
      </c>
      <c r="J64" s="11">
        <f>VLOOKUP(A64,'Feb 26'!A:G,7,FALSE)</f>
        <v>19222</v>
      </c>
      <c r="K64" s="11">
        <f t="shared" si="9"/>
        <v>0</v>
      </c>
      <c r="L64" s="11">
        <f t="shared" si="6"/>
        <v>0</v>
      </c>
      <c r="M64" s="41">
        <f t="shared" si="3"/>
        <v>0</v>
      </c>
    </row>
    <row r="65" spans="1:13" ht="16.5" thickTop="1" thickBot="1" x14ac:dyDescent="0.3">
      <c r="A65" s="5" t="s">
        <v>223</v>
      </c>
      <c r="B65" s="6">
        <v>83729</v>
      </c>
      <c r="C65" s="7" t="s">
        <v>23</v>
      </c>
      <c r="D65" s="39" t="s">
        <v>242</v>
      </c>
      <c r="E65" s="39" t="s">
        <v>13</v>
      </c>
      <c r="F65" s="39" t="s">
        <v>13</v>
      </c>
      <c r="G65" s="9">
        <v>31223</v>
      </c>
      <c r="H65" s="10">
        <f t="shared" si="11"/>
        <v>27501</v>
      </c>
      <c r="I65" s="11">
        <v>58724</v>
      </c>
      <c r="J65" s="11">
        <f>VLOOKUP(A65,'Feb 26'!A:G,7,FALSE)</f>
        <v>31223</v>
      </c>
      <c r="K65" s="11"/>
      <c r="L65" s="11">
        <f t="shared" si="6"/>
        <v>0</v>
      </c>
      <c r="M65" s="41">
        <f t="shared" si="3"/>
        <v>0</v>
      </c>
    </row>
    <row r="66" spans="1:13" ht="16.5" thickTop="1" thickBot="1" x14ac:dyDescent="0.3">
      <c r="A66" s="5" t="s">
        <v>504</v>
      </c>
      <c r="B66" s="6">
        <v>85504</v>
      </c>
      <c r="C66" s="7" t="s">
        <v>38</v>
      </c>
      <c r="D66" s="39">
        <v>46100</v>
      </c>
      <c r="E66" s="39" t="s">
        <v>13</v>
      </c>
      <c r="F66" s="39"/>
      <c r="G66" s="9">
        <v>151068</v>
      </c>
      <c r="H66" s="10">
        <f t="shared" si="11"/>
        <v>151068</v>
      </c>
      <c r="I66" s="11">
        <v>302136</v>
      </c>
      <c r="J66" s="11"/>
      <c r="K66" s="11">
        <f>IF(G66=0,J66-G66,0)</f>
        <v>0</v>
      </c>
      <c r="L66" s="11">
        <f t="shared" ref="L66:L97" si="12">IF(G66&gt;0,G66-J66,"Invoiced this Month")</f>
        <v>151068</v>
      </c>
      <c r="M66" s="41">
        <f t="shared" si="3"/>
        <v>151068</v>
      </c>
    </row>
    <row r="67" spans="1:13" ht="16.5" thickTop="1" thickBot="1" x14ac:dyDescent="0.3">
      <c r="A67" s="5" t="s">
        <v>495</v>
      </c>
      <c r="B67" s="6">
        <v>89285</v>
      </c>
      <c r="C67" s="7" t="s">
        <v>40</v>
      </c>
      <c r="D67" s="39">
        <v>46098</v>
      </c>
      <c r="E67" s="39" t="s">
        <v>13</v>
      </c>
      <c r="F67" s="39"/>
      <c r="G67" s="9">
        <v>23405</v>
      </c>
      <c r="H67" s="10">
        <f t="shared" si="11"/>
        <v>23404</v>
      </c>
      <c r="I67" s="11">
        <v>46809</v>
      </c>
      <c r="J67" s="11"/>
      <c r="K67" s="11">
        <f>IF(G67=0,J67-G67,0)</f>
        <v>0</v>
      </c>
      <c r="L67" s="11">
        <f t="shared" si="12"/>
        <v>23405</v>
      </c>
      <c r="M67" s="41">
        <f t="shared" ref="M67:M130" si="13">L67-K67</f>
        <v>23405</v>
      </c>
    </row>
    <row r="68" spans="1:13" ht="16.5" thickTop="1" thickBot="1" x14ac:dyDescent="0.3">
      <c r="A68" s="5" t="s">
        <v>216</v>
      </c>
      <c r="B68" s="6">
        <v>85454</v>
      </c>
      <c r="C68" s="7" t="s">
        <v>38</v>
      </c>
      <c r="D68" s="39" t="s">
        <v>218</v>
      </c>
      <c r="E68" s="39">
        <v>46044</v>
      </c>
      <c r="F68" s="39" t="s">
        <v>153</v>
      </c>
      <c r="G68" s="9">
        <v>14438</v>
      </c>
      <c r="H68" s="10">
        <f t="shared" si="11"/>
        <v>14438</v>
      </c>
      <c r="I68" s="11">
        <v>28876</v>
      </c>
      <c r="J68" s="11">
        <f>VLOOKUP(A68,'Feb 26'!A:G,7,FALSE)</f>
        <v>14438</v>
      </c>
      <c r="K68" s="11">
        <f>IF(G68=0,J68-G68,0)</f>
        <v>0</v>
      </c>
      <c r="L68" s="11">
        <f t="shared" si="12"/>
        <v>0</v>
      </c>
      <c r="M68" s="41">
        <f t="shared" si="13"/>
        <v>0</v>
      </c>
    </row>
    <row r="69" spans="1:13" ht="16.5" thickTop="1" thickBot="1" x14ac:dyDescent="0.3">
      <c r="A69" s="5" t="s">
        <v>575</v>
      </c>
      <c r="B69" s="6">
        <v>89984</v>
      </c>
      <c r="C69" s="7" t="s">
        <v>21</v>
      </c>
      <c r="D69" s="39">
        <v>46112</v>
      </c>
      <c r="E69" s="39" t="s">
        <v>13</v>
      </c>
      <c r="F69" s="39"/>
      <c r="G69" s="19">
        <v>1897</v>
      </c>
      <c r="H69" s="10">
        <f t="shared" si="11"/>
        <v>0</v>
      </c>
      <c r="I69" s="11">
        <v>1897</v>
      </c>
      <c r="J69" s="11"/>
      <c r="K69" s="11">
        <f>IF(G69=0,J69-G69,0)</f>
        <v>0</v>
      </c>
      <c r="L69" s="11">
        <f t="shared" si="12"/>
        <v>1897</v>
      </c>
      <c r="M69" s="41">
        <f t="shared" si="13"/>
        <v>1897</v>
      </c>
    </row>
    <row r="70" spans="1:13" ht="16.5" thickTop="1" thickBot="1" x14ac:dyDescent="0.3">
      <c r="A70" s="5" t="s">
        <v>258</v>
      </c>
      <c r="B70" s="6">
        <v>85838</v>
      </c>
      <c r="C70" s="7" t="s">
        <v>21</v>
      </c>
      <c r="D70" s="39" t="s">
        <v>252</v>
      </c>
      <c r="E70" s="39">
        <v>46077</v>
      </c>
      <c r="F70" s="39">
        <v>46112</v>
      </c>
      <c r="G70" s="45"/>
      <c r="H70" s="10"/>
      <c r="I70" s="11"/>
      <c r="J70" s="11">
        <f>VLOOKUP(A70,'Feb 26'!A:G,7,FALSE)</f>
        <v>3386</v>
      </c>
      <c r="K70" s="11">
        <f t="shared" ref="K70:K78" si="14">IF(G70=0,J70-G70,0)</f>
        <v>3386</v>
      </c>
      <c r="L70" s="11" t="str">
        <f t="shared" si="12"/>
        <v>Invoiced this Month</v>
      </c>
      <c r="M70" s="41">
        <f>-K70</f>
        <v>-3386</v>
      </c>
    </row>
    <row r="71" spans="1:13" ht="16.5" thickTop="1" thickBot="1" x14ac:dyDescent="0.3">
      <c r="A71" s="5" t="s">
        <v>174</v>
      </c>
      <c r="B71" s="6">
        <v>86960</v>
      </c>
      <c r="C71" s="7" t="s">
        <v>38</v>
      </c>
      <c r="D71" s="39" t="s">
        <v>181</v>
      </c>
      <c r="E71" s="39" t="s">
        <v>13</v>
      </c>
      <c r="F71" s="39" t="s">
        <v>13</v>
      </c>
      <c r="G71" s="9">
        <v>8962</v>
      </c>
      <c r="H71" s="10">
        <f>I71-G71</f>
        <v>26885</v>
      </c>
      <c r="I71" s="11">
        <v>35847</v>
      </c>
      <c r="J71" s="11">
        <f>VLOOKUP(A71,'Feb 26'!A:G,7,FALSE)</f>
        <v>8962</v>
      </c>
      <c r="K71" s="11">
        <f t="shared" si="14"/>
        <v>0</v>
      </c>
      <c r="L71" s="11">
        <f t="shared" si="12"/>
        <v>0</v>
      </c>
      <c r="M71" s="41">
        <f t="shared" si="13"/>
        <v>0</v>
      </c>
    </row>
    <row r="72" spans="1:13" ht="16.5" thickTop="1" thickBot="1" x14ac:dyDescent="0.3">
      <c r="A72" s="5" t="s">
        <v>334</v>
      </c>
      <c r="B72" s="6">
        <v>84692</v>
      </c>
      <c r="C72" s="7" t="s">
        <v>62</v>
      </c>
      <c r="D72" s="39" t="s">
        <v>343</v>
      </c>
      <c r="E72" s="39" t="s">
        <v>13</v>
      </c>
      <c r="F72" s="39" t="s">
        <v>13</v>
      </c>
      <c r="G72" s="9">
        <v>5345</v>
      </c>
      <c r="H72" s="10">
        <f>I72-G72</f>
        <v>5344</v>
      </c>
      <c r="I72" s="11">
        <v>10689</v>
      </c>
      <c r="J72" s="11">
        <f>VLOOKUP(A72,'Feb 26'!A:G,7,FALSE)</f>
        <v>5345</v>
      </c>
      <c r="K72" s="11">
        <f t="shared" si="14"/>
        <v>0</v>
      </c>
      <c r="L72" s="11">
        <f t="shared" si="12"/>
        <v>0</v>
      </c>
      <c r="M72" s="41">
        <f t="shared" si="13"/>
        <v>0</v>
      </c>
    </row>
    <row r="73" spans="1:13" ht="16.5" thickTop="1" thickBot="1" x14ac:dyDescent="0.3">
      <c r="A73" s="5" t="s">
        <v>382</v>
      </c>
      <c r="B73" s="6">
        <v>84161</v>
      </c>
      <c r="C73" s="7" t="s">
        <v>76</v>
      </c>
      <c r="D73" s="39">
        <v>46013</v>
      </c>
      <c r="E73" s="39" t="s">
        <v>13</v>
      </c>
      <c r="F73" s="39" t="s">
        <v>13</v>
      </c>
      <c r="G73" s="9">
        <v>176687</v>
      </c>
      <c r="H73" s="10">
        <f>I73-G73</f>
        <v>176686</v>
      </c>
      <c r="I73" s="11">
        <v>353373</v>
      </c>
      <c r="J73" s="11">
        <f>VLOOKUP(A73,'Feb 26'!A:G,7,FALSE)</f>
        <v>46821.919999999998</v>
      </c>
      <c r="K73" s="11">
        <f t="shared" si="14"/>
        <v>0</v>
      </c>
      <c r="L73" s="11">
        <f t="shared" si="12"/>
        <v>129865.08</v>
      </c>
      <c r="M73" s="41">
        <f t="shared" si="13"/>
        <v>129865.08</v>
      </c>
    </row>
    <row r="74" spans="1:13" ht="16.5" thickTop="1" thickBot="1" x14ac:dyDescent="0.3">
      <c r="A74" s="5" t="s">
        <v>101</v>
      </c>
      <c r="B74" s="6" t="s">
        <v>219</v>
      </c>
      <c r="C74" s="7" t="s">
        <v>76</v>
      </c>
      <c r="D74" s="39">
        <v>45868</v>
      </c>
      <c r="E74" s="39" t="s">
        <v>13</v>
      </c>
      <c r="F74" s="39" t="s">
        <v>13</v>
      </c>
      <c r="G74" s="9">
        <v>114974</v>
      </c>
      <c r="H74" s="10">
        <f>I74-G74</f>
        <v>114973</v>
      </c>
      <c r="I74" s="11">
        <v>229947</v>
      </c>
      <c r="J74" s="11">
        <f>VLOOKUP(A74,'Feb 26'!A:G,7,FALSE)</f>
        <v>57487</v>
      </c>
      <c r="K74" s="11">
        <f t="shared" si="14"/>
        <v>0</v>
      </c>
      <c r="L74" s="11">
        <f t="shared" si="12"/>
        <v>57487</v>
      </c>
      <c r="M74" s="41">
        <f t="shared" si="13"/>
        <v>57487</v>
      </c>
    </row>
    <row r="75" spans="1:13" ht="16.5" thickTop="1" thickBot="1" x14ac:dyDescent="0.3">
      <c r="A75" s="5" t="s">
        <v>206</v>
      </c>
      <c r="B75" s="6">
        <v>87121</v>
      </c>
      <c r="C75" s="7" t="s">
        <v>21</v>
      </c>
      <c r="D75" s="39" t="s">
        <v>211</v>
      </c>
      <c r="E75" s="39">
        <v>46079</v>
      </c>
      <c r="F75" s="39">
        <v>46106</v>
      </c>
      <c r="G75" s="45"/>
      <c r="H75" s="10"/>
      <c r="I75" s="11"/>
      <c r="J75" s="11">
        <f>VLOOKUP(A75,'Feb 26'!A:G,7,FALSE)</f>
        <v>8901</v>
      </c>
      <c r="K75" s="11">
        <f t="shared" si="14"/>
        <v>8901</v>
      </c>
      <c r="L75" s="11" t="str">
        <f t="shared" si="12"/>
        <v>Invoiced this Month</v>
      </c>
      <c r="M75" s="41">
        <f>-K75</f>
        <v>-8901</v>
      </c>
    </row>
    <row r="76" spans="1:13" ht="16.5" thickTop="1" thickBot="1" x14ac:dyDescent="0.3">
      <c r="A76" s="5" t="s">
        <v>286</v>
      </c>
      <c r="B76" s="6">
        <v>87492</v>
      </c>
      <c r="C76" s="7" t="s">
        <v>295</v>
      </c>
      <c r="D76" s="39" t="s">
        <v>291</v>
      </c>
      <c r="E76" s="39" t="s">
        <v>13</v>
      </c>
      <c r="F76" s="39" t="s">
        <v>13</v>
      </c>
      <c r="G76" s="9">
        <v>22079</v>
      </c>
      <c r="H76" s="10">
        <f t="shared" ref="H76:H82" si="15">I76-G76</f>
        <v>22079</v>
      </c>
      <c r="I76" s="11">
        <v>44158</v>
      </c>
      <c r="J76" s="11">
        <f>VLOOKUP(A76,'Feb 26'!A:G,7,FALSE)</f>
        <v>22079</v>
      </c>
      <c r="K76" s="11">
        <f t="shared" si="14"/>
        <v>0</v>
      </c>
      <c r="L76" s="11">
        <f t="shared" si="12"/>
        <v>0</v>
      </c>
      <c r="M76" s="41">
        <f t="shared" si="13"/>
        <v>0</v>
      </c>
    </row>
    <row r="77" spans="1:13" ht="16.5" thickTop="1" thickBot="1" x14ac:dyDescent="0.3">
      <c r="A77" s="5" t="s">
        <v>339</v>
      </c>
      <c r="B77" s="6">
        <v>89313</v>
      </c>
      <c r="C77" s="7" t="s">
        <v>23</v>
      </c>
      <c r="D77" s="39" t="s">
        <v>346</v>
      </c>
      <c r="E77" s="39" t="s">
        <v>13</v>
      </c>
      <c r="F77" s="39" t="s">
        <v>13</v>
      </c>
      <c r="G77" s="9">
        <v>8773</v>
      </c>
      <c r="H77" s="10">
        <f t="shared" si="15"/>
        <v>8773</v>
      </c>
      <c r="I77" s="11">
        <v>17546</v>
      </c>
      <c r="J77" s="11">
        <f>VLOOKUP(A77,'Feb 26'!A:G,7,FALSE)</f>
        <v>8773</v>
      </c>
      <c r="K77" s="11">
        <f t="shared" si="14"/>
        <v>0</v>
      </c>
      <c r="L77" s="11">
        <f t="shared" si="12"/>
        <v>0</v>
      </c>
      <c r="M77" s="41">
        <f t="shared" si="13"/>
        <v>0</v>
      </c>
    </row>
    <row r="78" spans="1:13" ht="16.5" thickTop="1" thickBot="1" x14ac:dyDescent="0.3">
      <c r="A78" s="5" t="s">
        <v>224</v>
      </c>
      <c r="B78" s="6">
        <v>88603</v>
      </c>
      <c r="C78" s="7" t="s">
        <v>21</v>
      </c>
      <c r="D78" s="39" t="s">
        <v>242</v>
      </c>
      <c r="E78" s="39" t="s">
        <v>13</v>
      </c>
      <c r="F78" s="39" t="s">
        <v>13</v>
      </c>
      <c r="G78" s="9">
        <v>23396</v>
      </c>
      <c r="H78" s="10">
        <f t="shared" si="15"/>
        <v>23396</v>
      </c>
      <c r="I78" s="11">
        <v>46792</v>
      </c>
      <c r="J78" s="11">
        <f>VLOOKUP(A78,'Feb 26'!A:G,7,FALSE)</f>
        <v>23396</v>
      </c>
      <c r="K78" s="11">
        <f t="shared" si="14"/>
        <v>0</v>
      </c>
      <c r="L78" s="11">
        <f t="shared" si="12"/>
        <v>0</v>
      </c>
      <c r="M78" s="41">
        <f t="shared" si="13"/>
        <v>0</v>
      </c>
    </row>
    <row r="79" spans="1:13" ht="16.5" thickTop="1" thickBot="1" x14ac:dyDescent="0.3">
      <c r="A79" s="5" t="s">
        <v>330</v>
      </c>
      <c r="B79" s="6">
        <v>88082</v>
      </c>
      <c r="C79" s="7" t="s">
        <v>14</v>
      </c>
      <c r="D79" s="39" t="s">
        <v>343</v>
      </c>
      <c r="E79" s="39" t="s">
        <v>13</v>
      </c>
      <c r="F79" s="39" t="s">
        <v>13</v>
      </c>
      <c r="G79" s="9">
        <v>35295</v>
      </c>
      <c r="H79" s="10">
        <f t="shared" si="15"/>
        <v>35294</v>
      </c>
      <c r="I79" s="11">
        <v>70589</v>
      </c>
      <c r="J79" s="11">
        <f>VLOOKUP(A79,'Feb 26'!A:G,7,FALSE)</f>
        <v>35295</v>
      </c>
      <c r="K79" s="11">
        <f t="shared" ref="K79:K110" si="16">IF(G79=0,J79-G79,0)</f>
        <v>0</v>
      </c>
      <c r="L79" s="11">
        <f t="shared" si="12"/>
        <v>0</v>
      </c>
      <c r="M79" s="41">
        <f t="shared" si="13"/>
        <v>0</v>
      </c>
    </row>
    <row r="80" spans="1:13" ht="16.5" thickTop="1" thickBot="1" x14ac:dyDescent="0.3">
      <c r="A80" s="5" t="s">
        <v>363</v>
      </c>
      <c r="B80" s="6">
        <v>88012</v>
      </c>
      <c r="C80" s="7" t="s">
        <v>17</v>
      </c>
      <c r="D80" s="39">
        <v>46086</v>
      </c>
      <c r="E80" s="39" t="s">
        <v>13</v>
      </c>
      <c r="F80" s="39"/>
      <c r="G80" s="9">
        <v>25461</v>
      </c>
      <c r="H80" s="10">
        <f t="shared" si="15"/>
        <v>25461</v>
      </c>
      <c r="I80" s="11">
        <v>50922</v>
      </c>
      <c r="J80" s="11"/>
      <c r="K80" s="11">
        <f t="shared" si="16"/>
        <v>0</v>
      </c>
      <c r="L80" s="11">
        <f t="shared" si="12"/>
        <v>25461</v>
      </c>
      <c r="M80" s="41">
        <f t="shared" si="13"/>
        <v>25461</v>
      </c>
    </row>
    <row r="81" spans="1:13" ht="16.5" thickTop="1" thickBot="1" x14ac:dyDescent="0.3">
      <c r="A81" s="12" t="s">
        <v>34</v>
      </c>
      <c r="B81" s="13">
        <v>76624</v>
      </c>
      <c r="C81" s="14" t="s">
        <v>14</v>
      </c>
      <c r="D81" s="15" t="s">
        <v>35</v>
      </c>
      <c r="E81" s="40">
        <v>46038</v>
      </c>
      <c r="F81" s="15" t="s">
        <v>350</v>
      </c>
      <c r="G81" s="16">
        <v>82176</v>
      </c>
      <c r="H81" s="17">
        <f t="shared" si="15"/>
        <v>82176</v>
      </c>
      <c r="I81" s="18">
        <v>164352</v>
      </c>
      <c r="J81" s="11">
        <f>VLOOKUP(A81,'Feb 26'!A:G,7,FALSE)</f>
        <v>82176</v>
      </c>
      <c r="K81" s="18">
        <f t="shared" si="16"/>
        <v>0</v>
      </c>
      <c r="L81" s="11">
        <f t="shared" si="12"/>
        <v>0</v>
      </c>
      <c r="M81" s="41">
        <f t="shared" si="13"/>
        <v>0</v>
      </c>
    </row>
    <row r="82" spans="1:13" ht="16.5" thickTop="1" thickBot="1" x14ac:dyDescent="0.3">
      <c r="A82" s="5" t="s">
        <v>517</v>
      </c>
      <c r="B82" s="6">
        <v>89773</v>
      </c>
      <c r="C82" s="7" t="s">
        <v>21</v>
      </c>
      <c r="D82" s="39">
        <v>46106</v>
      </c>
      <c r="E82" s="39" t="s">
        <v>13</v>
      </c>
      <c r="F82" s="39"/>
      <c r="G82" s="19">
        <v>1142.27</v>
      </c>
      <c r="H82" s="10">
        <f t="shared" si="15"/>
        <v>0</v>
      </c>
      <c r="I82" s="11">
        <v>1142.27</v>
      </c>
      <c r="J82" s="11"/>
      <c r="K82" s="11">
        <f t="shared" si="16"/>
        <v>0</v>
      </c>
      <c r="L82" s="11">
        <f t="shared" si="12"/>
        <v>1142.27</v>
      </c>
      <c r="M82" s="41">
        <f t="shared" si="13"/>
        <v>1142.27</v>
      </c>
    </row>
    <row r="83" spans="1:13" ht="16.5" thickTop="1" thickBot="1" x14ac:dyDescent="0.3">
      <c r="A83" s="5" t="s">
        <v>340</v>
      </c>
      <c r="B83" s="6">
        <v>89187</v>
      </c>
      <c r="C83" s="7" t="s">
        <v>21</v>
      </c>
      <c r="D83" s="39" t="s">
        <v>346</v>
      </c>
      <c r="E83" s="39" t="s">
        <v>13</v>
      </c>
      <c r="F83" s="39">
        <v>46106</v>
      </c>
      <c r="G83" s="45"/>
      <c r="H83" s="10"/>
      <c r="I83" s="11"/>
      <c r="J83" s="11">
        <f>VLOOKUP(A83,'Feb 26'!A:G,7,FALSE)</f>
        <v>3000</v>
      </c>
      <c r="K83" s="11">
        <f t="shared" si="16"/>
        <v>3000</v>
      </c>
      <c r="L83" s="11" t="str">
        <f t="shared" si="12"/>
        <v>Invoiced this Month</v>
      </c>
      <c r="M83" s="41">
        <f>-K83</f>
        <v>-3000</v>
      </c>
    </row>
    <row r="84" spans="1:13" ht="16.5" thickTop="1" thickBot="1" x14ac:dyDescent="0.3">
      <c r="A84" s="5" t="s">
        <v>230</v>
      </c>
      <c r="B84" s="6">
        <v>87128</v>
      </c>
      <c r="C84" s="7" t="s">
        <v>254</v>
      </c>
      <c r="D84" s="39" t="s">
        <v>245</v>
      </c>
      <c r="E84" s="39" t="s">
        <v>13</v>
      </c>
      <c r="F84" s="39" t="s">
        <v>13</v>
      </c>
      <c r="G84" s="9">
        <v>25470</v>
      </c>
      <c r="H84" s="10">
        <f t="shared" ref="H84:H89" si="17">I84-G84</f>
        <v>25467</v>
      </c>
      <c r="I84" s="11">
        <v>50937</v>
      </c>
      <c r="J84" s="11">
        <f>VLOOKUP(A84,'Feb 26'!A:G,7,FALSE)</f>
        <v>25470</v>
      </c>
      <c r="K84" s="11">
        <f t="shared" si="16"/>
        <v>0</v>
      </c>
      <c r="L84" s="11">
        <f t="shared" si="12"/>
        <v>0</v>
      </c>
      <c r="M84" s="41">
        <f t="shared" si="13"/>
        <v>0</v>
      </c>
    </row>
    <row r="85" spans="1:13" ht="16.5" thickTop="1" thickBot="1" x14ac:dyDescent="0.3">
      <c r="A85" s="5" t="s">
        <v>275</v>
      </c>
      <c r="B85" s="6">
        <v>89121</v>
      </c>
      <c r="C85" s="7" t="s">
        <v>23</v>
      </c>
      <c r="D85" s="39">
        <v>46062</v>
      </c>
      <c r="E85" s="39" t="s">
        <v>13</v>
      </c>
      <c r="F85" s="39" t="s">
        <v>13</v>
      </c>
      <c r="G85" s="9">
        <v>2712</v>
      </c>
      <c r="H85" s="10">
        <f t="shared" si="17"/>
        <v>3336</v>
      </c>
      <c r="I85" s="11">
        <v>6048</v>
      </c>
      <c r="J85" s="11">
        <f>VLOOKUP(A85,'Feb 26'!A:G,7,FALSE)</f>
        <v>2712</v>
      </c>
      <c r="K85" s="11">
        <f t="shared" si="16"/>
        <v>0</v>
      </c>
      <c r="L85" s="11">
        <f t="shared" si="12"/>
        <v>0</v>
      </c>
      <c r="M85" s="41">
        <f t="shared" si="13"/>
        <v>0</v>
      </c>
    </row>
    <row r="86" spans="1:13" ht="16.5" thickTop="1" thickBot="1" x14ac:dyDescent="0.3">
      <c r="A86" s="5" t="s">
        <v>70</v>
      </c>
      <c r="B86" s="6">
        <v>82632</v>
      </c>
      <c r="C86" s="7" t="s">
        <v>71</v>
      </c>
      <c r="D86" s="8" t="s">
        <v>72</v>
      </c>
      <c r="E86" s="39" t="s">
        <v>13</v>
      </c>
      <c r="F86" s="39" t="s">
        <v>13</v>
      </c>
      <c r="G86" s="9">
        <v>109478</v>
      </c>
      <c r="H86" s="10">
        <f t="shared" si="17"/>
        <v>109478</v>
      </c>
      <c r="I86" s="11">
        <v>218956</v>
      </c>
      <c r="J86" s="11">
        <f>VLOOKUP(A86,'Feb 26'!A:G,7,FALSE)</f>
        <v>99911</v>
      </c>
      <c r="K86" s="11">
        <f t="shared" si="16"/>
        <v>0</v>
      </c>
      <c r="L86" s="11">
        <f t="shared" si="12"/>
        <v>9567</v>
      </c>
      <c r="M86" s="41">
        <f t="shared" si="13"/>
        <v>9567</v>
      </c>
    </row>
    <row r="87" spans="1:13" ht="16.5" thickTop="1" thickBot="1" x14ac:dyDescent="0.3">
      <c r="A87" s="5" t="s">
        <v>103</v>
      </c>
      <c r="B87" s="6">
        <v>84210</v>
      </c>
      <c r="C87" s="7" t="s">
        <v>44</v>
      </c>
      <c r="D87" s="39">
        <v>45876</v>
      </c>
      <c r="E87" s="39" t="s">
        <v>13</v>
      </c>
      <c r="F87" s="39" t="s">
        <v>13</v>
      </c>
      <c r="G87" s="9">
        <v>31567</v>
      </c>
      <c r="H87" s="10">
        <f t="shared" si="17"/>
        <v>46437</v>
      </c>
      <c r="I87" s="11">
        <v>78004</v>
      </c>
      <c r="J87" s="11">
        <f>VLOOKUP(A87,'Feb 26'!A:G,7,FALSE)</f>
        <v>31567</v>
      </c>
      <c r="K87" s="11">
        <f t="shared" si="16"/>
        <v>0</v>
      </c>
      <c r="L87" s="11">
        <f t="shared" si="12"/>
        <v>0</v>
      </c>
      <c r="M87" s="41">
        <f t="shared" si="13"/>
        <v>0</v>
      </c>
    </row>
    <row r="88" spans="1:13" ht="16.5" thickTop="1" thickBot="1" x14ac:dyDescent="0.3">
      <c r="A88" s="5" t="s">
        <v>231</v>
      </c>
      <c r="B88" s="6">
        <v>88433</v>
      </c>
      <c r="C88" s="7" t="s">
        <v>14</v>
      </c>
      <c r="D88" s="39" t="s">
        <v>246</v>
      </c>
      <c r="E88" s="39" t="s">
        <v>13</v>
      </c>
      <c r="F88" s="39" t="s">
        <v>13</v>
      </c>
      <c r="G88" s="9">
        <v>80538</v>
      </c>
      <c r="H88" s="10">
        <f t="shared" si="17"/>
        <v>80538</v>
      </c>
      <c r="I88" s="11">
        <v>161076</v>
      </c>
      <c r="J88" s="11">
        <f>VLOOKUP(A88,'Feb 26'!A:G,7,FALSE)</f>
        <v>80538</v>
      </c>
      <c r="K88" s="11">
        <f t="shared" si="16"/>
        <v>0</v>
      </c>
      <c r="L88" s="11">
        <f t="shared" si="12"/>
        <v>0</v>
      </c>
      <c r="M88" s="41">
        <f t="shared" si="13"/>
        <v>0</v>
      </c>
    </row>
    <row r="89" spans="1:13" ht="16.5" thickTop="1" thickBot="1" x14ac:dyDescent="0.3">
      <c r="A89" s="5" t="s">
        <v>282</v>
      </c>
      <c r="B89" s="6">
        <v>88896</v>
      </c>
      <c r="C89" s="7" t="s">
        <v>19</v>
      </c>
      <c r="D89" s="39">
        <v>46058</v>
      </c>
      <c r="E89" s="39" t="s">
        <v>13</v>
      </c>
      <c r="F89" s="39" t="s">
        <v>13</v>
      </c>
      <c r="G89" s="9">
        <v>10238</v>
      </c>
      <c r="H89" s="10">
        <f t="shared" si="17"/>
        <v>10237</v>
      </c>
      <c r="I89" s="11">
        <v>20475</v>
      </c>
      <c r="J89" s="11">
        <f>VLOOKUP(A89,'Feb 26'!A:G,7,FALSE)</f>
        <v>10238</v>
      </c>
      <c r="K89" s="11">
        <f t="shared" si="16"/>
        <v>0</v>
      </c>
      <c r="L89" s="11">
        <f t="shared" si="12"/>
        <v>0</v>
      </c>
      <c r="M89" s="41">
        <f t="shared" si="13"/>
        <v>0</v>
      </c>
    </row>
    <row r="90" spans="1:13" ht="16.5" thickTop="1" thickBot="1" x14ac:dyDescent="0.3">
      <c r="A90" s="5" t="s">
        <v>234</v>
      </c>
      <c r="B90" s="6">
        <v>87577</v>
      </c>
      <c r="C90" s="7" t="s">
        <v>253</v>
      </c>
      <c r="D90" s="39" t="s">
        <v>248</v>
      </c>
      <c r="E90" s="39">
        <v>46072</v>
      </c>
      <c r="F90" s="39">
        <v>46094</v>
      </c>
      <c r="G90" s="45"/>
      <c r="H90" s="10"/>
      <c r="I90" s="11"/>
      <c r="J90" s="11">
        <f>VLOOKUP(A90,'Feb 26'!A:G,7,FALSE)</f>
        <v>11785</v>
      </c>
      <c r="K90" s="11">
        <f t="shared" si="16"/>
        <v>11785</v>
      </c>
      <c r="L90" s="11" t="str">
        <f t="shared" si="12"/>
        <v>Invoiced this Month</v>
      </c>
      <c r="M90" s="41">
        <f>-K90</f>
        <v>-11785</v>
      </c>
    </row>
    <row r="91" spans="1:13" ht="16.5" thickTop="1" thickBot="1" x14ac:dyDescent="0.3">
      <c r="A91" s="5" t="s">
        <v>184</v>
      </c>
      <c r="B91" s="6">
        <v>87792</v>
      </c>
      <c r="C91" s="7" t="s">
        <v>31</v>
      </c>
      <c r="D91" s="39" t="s">
        <v>193</v>
      </c>
      <c r="E91" s="39">
        <v>46045</v>
      </c>
      <c r="F91" s="39" t="s">
        <v>353</v>
      </c>
      <c r="G91" s="9">
        <v>49733</v>
      </c>
      <c r="H91" s="10">
        <f t="shared" ref="H91:H97" si="18">I91-G91</f>
        <v>49713</v>
      </c>
      <c r="I91" s="11">
        <v>99446</v>
      </c>
      <c r="J91" s="11">
        <f>VLOOKUP(A91,'Feb 26'!A:G,7,FALSE)</f>
        <v>49733</v>
      </c>
      <c r="K91" s="11">
        <f t="shared" si="16"/>
        <v>0</v>
      </c>
      <c r="L91" s="11">
        <f t="shared" si="12"/>
        <v>0</v>
      </c>
      <c r="M91" s="41">
        <f t="shared" si="13"/>
        <v>0</v>
      </c>
    </row>
    <row r="92" spans="1:13" ht="16.5" thickTop="1" thickBot="1" x14ac:dyDescent="0.3">
      <c r="A92" s="5" t="s">
        <v>86</v>
      </c>
      <c r="B92" s="6">
        <v>85175</v>
      </c>
      <c r="C92" s="7" t="s">
        <v>87</v>
      </c>
      <c r="D92" s="39">
        <v>46084</v>
      </c>
      <c r="E92" s="39" t="s">
        <v>13</v>
      </c>
      <c r="F92" s="39"/>
      <c r="G92" s="9">
        <v>22778</v>
      </c>
      <c r="H92" s="10">
        <f t="shared" si="18"/>
        <v>22779</v>
      </c>
      <c r="I92" s="11">
        <v>45557</v>
      </c>
      <c r="J92" s="11"/>
      <c r="K92" s="11">
        <f t="shared" si="16"/>
        <v>0</v>
      </c>
      <c r="L92" s="11">
        <f t="shared" si="12"/>
        <v>22778</v>
      </c>
      <c r="M92" s="41">
        <f t="shared" si="13"/>
        <v>22778</v>
      </c>
    </row>
    <row r="93" spans="1:13" ht="16.5" thickTop="1" thickBot="1" x14ac:dyDescent="0.3">
      <c r="A93" s="5" t="s">
        <v>203</v>
      </c>
      <c r="B93" s="6">
        <v>87488</v>
      </c>
      <c r="C93" s="7" t="s">
        <v>14</v>
      </c>
      <c r="D93" s="39" t="s">
        <v>209</v>
      </c>
      <c r="E93" s="39" t="s">
        <v>13</v>
      </c>
      <c r="F93" s="39" t="s">
        <v>13</v>
      </c>
      <c r="G93" s="9">
        <v>17613</v>
      </c>
      <c r="H93" s="10">
        <f t="shared" si="18"/>
        <v>17612</v>
      </c>
      <c r="I93" s="11">
        <v>35225</v>
      </c>
      <c r="J93" s="11">
        <f>VLOOKUP(A93,'Feb 26'!A:G,7,FALSE)</f>
        <v>17613</v>
      </c>
      <c r="K93" s="11">
        <f t="shared" si="16"/>
        <v>0</v>
      </c>
      <c r="L93" s="11">
        <f t="shared" si="12"/>
        <v>0</v>
      </c>
      <c r="M93" s="41">
        <f t="shared" si="13"/>
        <v>0</v>
      </c>
    </row>
    <row r="94" spans="1:13" ht="16.5" thickTop="1" thickBot="1" x14ac:dyDescent="0.3">
      <c r="A94" s="5" t="s">
        <v>510</v>
      </c>
      <c r="B94" s="6">
        <v>89316</v>
      </c>
      <c r="C94" s="7" t="s">
        <v>511</v>
      </c>
      <c r="D94" s="39">
        <v>46100</v>
      </c>
      <c r="E94" s="39" t="s">
        <v>13</v>
      </c>
      <c r="F94" s="39"/>
      <c r="G94" s="9">
        <v>56063</v>
      </c>
      <c r="H94" s="10">
        <f t="shared" si="18"/>
        <v>56063</v>
      </c>
      <c r="I94" s="11">
        <v>112126</v>
      </c>
      <c r="J94" s="11"/>
      <c r="K94" s="11">
        <f t="shared" si="16"/>
        <v>0</v>
      </c>
      <c r="L94" s="11">
        <f t="shared" si="12"/>
        <v>56063</v>
      </c>
      <c r="M94" s="41">
        <f t="shared" si="13"/>
        <v>56063</v>
      </c>
    </row>
    <row r="95" spans="1:13" ht="16.5" thickTop="1" thickBot="1" x14ac:dyDescent="0.3">
      <c r="A95" s="5" t="s">
        <v>360</v>
      </c>
      <c r="B95" s="6">
        <v>87376</v>
      </c>
      <c r="C95" s="7" t="s">
        <v>23</v>
      </c>
      <c r="D95" s="39">
        <v>46085</v>
      </c>
      <c r="E95" s="39" t="s">
        <v>13</v>
      </c>
      <c r="F95" s="39"/>
      <c r="G95" s="9">
        <v>20322</v>
      </c>
      <c r="H95" s="10">
        <f t="shared" si="18"/>
        <v>20321</v>
      </c>
      <c r="I95" s="11">
        <v>40643</v>
      </c>
      <c r="J95" s="11"/>
      <c r="K95" s="11">
        <f t="shared" si="16"/>
        <v>0</v>
      </c>
      <c r="L95" s="11">
        <f t="shared" si="12"/>
        <v>20322</v>
      </c>
      <c r="M95" s="41">
        <f t="shared" si="13"/>
        <v>20322</v>
      </c>
    </row>
    <row r="96" spans="1:13" ht="16.5" thickTop="1" thickBot="1" x14ac:dyDescent="0.3">
      <c r="A96" s="5" t="s">
        <v>514</v>
      </c>
      <c r="B96" s="6">
        <v>86904</v>
      </c>
      <c r="C96" s="7" t="s">
        <v>23</v>
      </c>
      <c r="D96" s="39">
        <v>46105</v>
      </c>
      <c r="E96" s="39" t="s">
        <v>13</v>
      </c>
      <c r="F96" s="39"/>
      <c r="G96" s="9">
        <v>6516</v>
      </c>
      <c r="H96" s="10">
        <f t="shared" si="18"/>
        <v>6515</v>
      </c>
      <c r="I96" s="11">
        <v>13031</v>
      </c>
      <c r="J96" s="11"/>
      <c r="K96" s="11">
        <f t="shared" si="16"/>
        <v>0</v>
      </c>
      <c r="L96" s="11">
        <f t="shared" si="12"/>
        <v>6516</v>
      </c>
      <c r="M96" s="41">
        <f t="shared" si="13"/>
        <v>6516</v>
      </c>
    </row>
    <row r="97" spans="1:13" ht="16.5" thickTop="1" thickBot="1" x14ac:dyDescent="0.3">
      <c r="A97" s="5" t="s">
        <v>373</v>
      </c>
      <c r="B97" s="6">
        <v>87512</v>
      </c>
      <c r="C97" s="7" t="s">
        <v>14</v>
      </c>
      <c r="D97" s="39">
        <v>46092</v>
      </c>
      <c r="E97" s="39" t="s">
        <v>13</v>
      </c>
      <c r="F97" s="39"/>
      <c r="G97" s="9">
        <v>4742</v>
      </c>
      <c r="H97" s="10">
        <f t="shared" si="18"/>
        <v>4972</v>
      </c>
      <c r="I97" s="11">
        <v>9714</v>
      </c>
      <c r="J97" s="11"/>
      <c r="K97" s="11">
        <f t="shared" si="16"/>
        <v>0</v>
      </c>
      <c r="L97" s="11">
        <f t="shared" si="12"/>
        <v>4742</v>
      </c>
      <c r="M97" s="41">
        <f t="shared" si="13"/>
        <v>4742</v>
      </c>
    </row>
    <row r="98" spans="1:13" ht="16.5" thickTop="1" thickBot="1" x14ac:dyDescent="0.3">
      <c r="A98" s="5" t="s">
        <v>183</v>
      </c>
      <c r="B98" s="6">
        <v>88258</v>
      </c>
      <c r="C98" s="7" t="s">
        <v>23</v>
      </c>
      <c r="D98" s="39" t="s">
        <v>193</v>
      </c>
      <c r="E98" s="39">
        <v>46064</v>
      </c>
      <c r="F98" s="39">
        <v>46097</v>
      </c>
      <c r="G98" s="45"/>
      <c r="H98" s="10"/>
      <c r="I98" s="11"/>
      <c r="J98" s="11">
        <f>VLOOKUP(A98,'Feb 26'!A:G,7,FALSE)</f>
        <v>9467</v>
      </c>
      <c r="K98" s="11">
        <f t="shared" si="16"/>
        <v>9467</v>
      </c>
      <c r="L98" s="11" t="str">
        <f t="shared" ref="L98:L129" si="19">IF(G98&gt;0,G98-J98,"Invoiced this Month")</f>
        <v>Invoiced this Month</v>
      </c>
      <c r="M98" s="41">
        <f>-K98</f>
        <v>-9467</v>
      </c>
    </row>
    <row r="99" spans="1:13" ht="16.5" thickTop="1" thickBot="1" x14ac:dyDescent="0.3">
      <c r="A99" s="5" t="s">
        <v>499</v>
      </c>
      <c r="B99" s="6">
        <v>88931</v>
      </c>
      <c r="C99" s="7" t="s">
        <v>21</v>
      </c>
      <c r="D99" s="39">
        <v>46099</v>
      </c>
      <c r="E99" s="39" t="s">
        <v>13</v>
      </c>
      <c r="F99" s="39"/>
      <c r="G99" s="9">
        <v>5000</v>
      </c>
      <c r="H99" s="10">
        <f t="shared" ref="H99:H104" si="20">I99-G99</f>
        <v>2102</v>
      </c>
      <c r="I99" s="11">
        <v>7102</v>
      </c>
      <c r="J99" s="11"/>
      <c r="K99" s="11">
        <f t="shared" si="16"/>
        <v>0</v>
      </c>
      <c r="L99" s="11">
        <f t="shared" si="19"/>
        <v>5000</v>
      </c>
      <c r="M99" s="41">
        <f t="shared" si="13"/>
        <v>5000</v>
      </c>
    </row>
    <row r="100" spans="1:13" ht="16.5" thickTop="1" thickBot="1" x14ac:dyDescent="0.3">
      <c r="A100" s="5" t="s">
        <v>167</v>
      </c>
      <c r="B100" s="6">
        <v>87636</v>
      </c>
      <c r="C100" s="7" t="s">
        <v>16</v>
      </c>
      <c r="D100" s="39" t="s">
        <v>177</v>
      </c>
      <c r="E100" s="39">
        <v>46010</v>
      </c>
      <c r="F100" s="39" t="s">
        <v>353</v>
      </c>
      <c r="G100" s="9">
        <v>45837</v>
      </c>
      <c r="H100" s="10">
        <f t="shared" si="20"/>
        <v>44121</v>
      </c>
      <c r="I100" s="11">
        <v>89958</v>
      </c>
      <c r="J100" s="11">
        <f>VLOOKUP(A100,'Feb 26'!A:G,7,FALSE)</f>
        <v>45837</v>
      </c>
      <c r="K100" s="11">
        <f t="shared" si="16"/>
        <v>0</v>
      </c>
      <c r="L100" s="11">
        <f t="shared" si="19"/>
        <v>0</v>
      </c>
      <c r="M100" s="41">
        <f t="shared" si="13"/>
        <v>0</v>
      </c>
    </row>
    <row r="101" spans="1:13" ht="16.5" thickTop="1" thickBot="1" x14ac:dyDescent="0.3">
      <c r="A101" s="5" t="s">
        <v>93</v>
      </c>
      <c r="B101" s="6">
        <v>78503</v>
      </c>
      <c r="C101" s="7" t="s">
        <v>28</v>
      </c>
      <c r="D101" s="39">
        <v>45825</v>
      </c>
      <c r="E101" s="39" t="s">
        <v>13</v>
      </c>
      <c r="F101" s="39" t="s">
        <v>13</v>
      </c>
      <c r="G101" s="9">
        <v>15815</v>
      </c>
      <c r="H101" s="10">
        <f t="shared" si="20"/>
        <v>15814</v>
      </c>
      <c r="I101" s="11">
        <v>31629</v>
      </c>
      <c r="J101" s="11">
        <f>VLOOKUP(A101,'Feb 26'!A:G,7,FALSE)</f>
        <v>15815</v>
      </c>
      <c r="K101" s="11">
        <f t="shared" si="16"/>
        <v>0</v>
      </c>
      <c r="L101" s="11">
        <f t="shared" si="19"/>
        <v>0</v>
      </c>
      <c r="M101" s="41">
        <f t="shared" si="13"/>
        <v>0</v>
      </c>
    </row>
    <row r="102" spans="1:13" ht="16.5" thickTop="1" thickBot="1" x14ac:dyDescent="0.3">
      <c r="A102" s="5" t="s">
        <v>266</v>
      </c>
      <c r="B102" s="6">
        <v>87077</v>
      </c>
      <c r="C102" s="7" t="s">
        <v>40</v>
      </c>
      <c r="D102" s="39" t="s">
        <v>269</v>
      </c>
      <c r="E102" s="39" t="s">
        <v>13</v>
      </c>
      <c r="F102" s="39" t="s">
        <v>13</v>
      </c>
      <c r="G102" s="9">
        <v>11448</v>
      </c>
      <c r="H102" s="10">
        <f t="shared" si="20"/>
        <v>3238</v>
      </c>
      <c r="I102" s="11">
        <v>14686</v>
      </c>
      <c r="J102" s="11">
        <f>VLOOKUP(A102,'Feb 26'!A:G,7,FALSE)</f>
        <v>11448</v>
      </c>
      <c r="K102" s="11">
        <f t="shared" si="16"/>
        <v>0</v>
      </c>
      <c r="L102" s="11">
        <f t="shared" si="19"/>
        <v>0</v>
      </c>
      <c r="M102" s="41">
        <f t="shared" si="13"/>
        <v>0</v>
      </c>
    </row>
    <row r="103" spans="1:13" ht="16.5" thickTop="1" thickBot="1" x14ac:dyDescent="0.3">
      <c r="A103" s="5" t="s">
        <v>381</v>
      </c>
      <c r="B103" s="6">
        <v>89314</v>
      </c>
      <c r="C103" s="7" t="s">
        <v>23</v>
      </c>
      <c r="D103" s="39">
        <v>46097</v>
      </c>
      <c r="E103" s="39" t="s">
        <v>13</v>
      </c>
      <c r="F103" s="39"/>
      <c r="G103" s="9">
        <v>3125</v>
      </c>
      <c r="H103" s="10">
        <f t="shared" si="20"/>
        <v>3124</v>
      </c>
      <c r="I103" s="11">
        <v>6249</v>
      </c>
      <c r="J103" s="11"/>
      <c r="K103" s="11">
        <f t="shared" si="16"/>
        <v>0</v>
      </c>
      <c r="L103" s="11">
        <f t="shared" si="19"/>
        <v>3125</v>
      </c>
      <c r="M103" s="41">
        <f t="shared" si="13"/>
        <v>3125</v>
      </c>
    </row>
    <row r="104" spans="1:13" ht="16.5" thickTop="1" thickBot="1" x14ac:dyDescent="0.3">
      <c r="A104" s="5" t="s">
        <v>241</v>
      </c>
      <c r="B104" s="6">
        <v>87242</v>
      </c>
      <c r="C104" s="7" t="s">
        <v>14</v>
      </c>
      <c r="D104" s="39" t="s">
        <v>252</v>
      </c>
      <c r="E104" s="39" t="s">
        <v>13</v>
      </c>
      <c r="F104" s="39" t="s">
        <v>13</v>
      </c>
      <c r="G104" s="9">
        <v>44650</v>
      </c>
      <c r="H104" s="10">
        <f t="shared" si="20"/>
        <v>45536</v>
      </c>
      <c r="I104" s="11">
        <v>90186</v>
      </c>
      <c r="J104" s="11">
        <f>VLOOKUP(A104,'Feb 26'!A:G,7,FALSE)</f>
        <v>44650</v>
      </c>
      <c r="K104" s="11">
        <f t="shared" si="16"/>
        <v>0</v>
      </c>
      <c r="L104" s="11">
        <f t="shared" si="19"/>
        <v>0</v>
      </c>
      <c r="M104" s="41">
        <f t="shared" si="13"/>
        <v>0</v>
      </c>
    </row>
    <row r="105" spans="1:13" ht="16.5" thickTop="1" thickBot="1" x14ac:dyDescent="0.3">
      <c r="A105" s="5" t="s">
        <v>142</v>
      </c>
      <c r="B105" s="6">
        <v>85352</v>
      </c>
      <c r="C105" s="7" t="s">
        <v>141</v>
      </c>
      <c r="D105" s="39">
        <v>45952</v>
      </c>
      <c r="E105" s="39">
        <v>46065</v>
      </c>
      <c r="F105" s="39">
        <v>46106</v>
      </c>
      <c r="G105" s="45"/>
      <c r="H105" s="10"/>
      <c r="I105" s="11"/>
      <c r="J105" s="11">
        <f>VLOOKUP(A105,'Feb 26'!A:G,7,FALSE)</f>
        <v>35018</v>
      </c>
      <c r="K105" s="11">
        <f t="shared" si="16"/>
        <v>35018</v>
      </c>
      <c r="L105" s="11" t="str">
        <f t="shared" si="19"/>
        <v>Invoiced this Month</v>
      </c>
      <c r="M105" s="41">
        <f t="shared" ref="M105:M107" si="21">-K105</f>
        <v>-35018</v>
      </c>
    </row>
    <row r="106" spans="1:13" ht="16.5" thickTop="1" thickBot="1" x14ac:dyDescent="0.3">
      <c r="A106" s="5" t="s">
        <v>262</v>
      </c>
      <c r="B106" s="6">
        <v>88618</v>
      </c>
      <c r="C106" s="7" t="s">
        <v>21</v>
      </c>
      <c r="D106" s="39" t="s">
        <v>268</v>
      </c>
      <c r="E106" s="39" t="s">
        <v>13</v>
      </c>
      <c r="F106" s="39">
        <v>46106</v>
      </c>
      <c r="G106" s="45"/>
      <c r="H106" s="10"/>
      <c r="I106" s="11"/>
      <c r="J106" s="11">
        <f>VLOOKUP(A106,'Feb 26'!A:G,7,FALSE)</f>
        <v>6845</v>
      </c>
      <c r="K106" s="11">
        <f t="shared" si="16"/>
        <v>6845</v>
      </c>
      <c r="L106" s="11" t="str">
        <f t="shared" si="19"/>
        <v>Invoiced this Month</v>
      </c>
      <c r="M106" s="41">
        <f t="shared" si="21"/>
        <v>-6845</v>
      </c>
    </row>
    <row r="107" spans="1:13" ht="16.5" thickTop="1" thickBot="1" x14ac:dyDescent="0.3">
      <c r="A107" s="5" t="s">
        <v>199</v>
      </c>
      <c r="B107" s="6">
        <v>87830</v>
      </c>
      <c r="C107" s="7" t="s">
        <v>33</v>
      </c>
      <c r="D107" s="39">
        <v>46002</v>
      </c>
      <c r="E107" s="39">
        <v>46069</v>
      </c>
      <c r="F107" s="39">
        <v>46090</v>
      </c>
      <c r="G107" s="45"/>
      <c r="H107" s="10"/>
      <c r="I107" s="11"/>
      <c r="J107" s="11">
        <f>VLOOKUP(A107,'Feb 26'!A:G,7,FALSE)</f>
        <v>7852</v>
      </c>
      <c r="K107" s="11">
        <f t="shared" si="16"/>
        <v>7852</v>
      </c>
      <c r="L107" s="11" t="str">
        <f t="shared" si="19"/>
        <v>Invoiced this Month</v>
      </c>
      <c r="M107" s="41">
        <f t="shared" si="21"/>
        <v>-7852</v>
      </c>
    </row>
    <row r="108" spans="1:13" ht="16.5" thickTop="1" thickBot="1" x14ac:dyDescent="0.3">
      <c r="A108" s="5" t="s">
        <v>106</v>
      </c>
      <c r="B108" s="6">
        <v>85604</v>
      </c>
      <c r="C108" s="7" t="s">
        <v>17</v>
      </c>
      <c r="D108" s="39">
        <v>45881</v>
      </c>
      <c r="E108" s="39" t="s">
        <v>13</v>
      </c>
      <c r="F108" s="39" t="s">
        <v>13</v>
      </c>
      <c r="G108" s="19">
        <v>80676.28</v>
      </c>
      <c r="H108" s="10">
        <f>I108-G108</f>
        <v>-4388.2799999999988</v>
      </c>
      <c r="I108" s="11">
        <v>76288</v>
      </c>
      <c r="J108" s="11">
        <f>VLOOKUP(A108,'Feb 26'!A:G,7,FALSE)</f>
        <v>80676.28</v>
      </c>
      <c r="K108" s="11">
        <f t="shared" si="16"/>
        <v>0</v>
      </c>
      <c r="L108" s="11">
        <f t="shared" si="19"/>
        <v>0</v>
      </c>
      <c r="M108" s="41">
        <f t="shared" si="13"/>
        <v>0</v>
      </c>
    </row>
    <row r="109" spans="1:13" ht="16.5" thickTop="1" thickBot="1" x14ac:dyDescent="0.3">
      <c r="A109" s="5" t="s">
        <v>146</v>
      </c>
      <c r="B109" s="6">
        <v>87595</v>
      </c>
      <c r="C109" s="7" t="s">
        <v>14</v>
      </c>
      <c r="D109" s="39">
        <v>45959</v>
      </c>
      <c r="E109" s="39">
        <v>46077</v>
      </c>
      <c r="F109" s="39">
        <v>46100</v>
      </c>
      <c r="G109" s="45"/>
      <c r="H109" s="10"/>
      <c r="I109" s="11"/>
      <c r="J109" s="11">
        <f>VLOOKUP(A109,'Feb 26'!A:G,7,FALSE)</f>
        <v>13979.5</v>
      </c>
      <c r="K109" s="11">
        <f t="shared" si="16"/>
        <v>13979.5</v>
      </c>
      <c r="L109" s="11" t="str">
        <f t="shared" si="19"/>
        <v>Invoiced this Month</v>
      </c>
      <c r="M109" s="41">
        <f>-K109</f>
        <v>-13979.5</v>
      </c>
    </row>
    <row r="110" spans="1:13" ht="16.5" thickTop="1" thickBot="1" x14ac:dyDescent="0.3">
      <c r="A110" s="5" t="s">
        <v>188</v>
      </c>
      <c r="B110" s="6">
        <v>88335</v>
      </c>
      <c r="C110" s="7" t="s">
        <v>14</v>
      </c>
      <c r="D110" s="39" t="s">
        <v>195</v>
      </c>
      <c r="E110" s="39">
        <v>46055</v>
      </c>
      <c r="F110" s="39" t="s">
        <v>13</v>
      </c>
      <c r="G110" s="9">
        <v>21104</v>
      </c>
      <c r="H110" s="10">
        <f t="shared" ref="H110:H118" si="22">I110-G110</f>
        <v>21104</v>
      </c>
      <c r="I110" s="11">
        <v>42208</v>
      </c>
      <c r="J110" s="11">
        <f>VLOOKUP(A110,'Feb 26'!A:G,7,FALSE)</f>
        <v>21104</v>
      </c>
      <c r="K110" s="11">
        <f t="shared" si="16"/>
        <v>0</v>
      </c>
      <c r="L110" s="11">
        <f t="shared" si="19"/>
        <v>0</v>
      </c>
      <c r="M110" s="41">
        <f t="shared" si="13"/>
        <v>0</v>
      </c>
    </row>
    <row r="111" spans="1:13" ht="16.5" thickTop="1" thickBot="1" x14ac:dyDescent="0.3">
      <c r="A111" s="5" t="s">
        <v>41</v>
      </c>
      <c r="B111" s="6">
        <v>79059</v>
      </c>
      <c r="C111" s="7" t="s">
        <v>14</v>
      </c>
      <c r="D111" s="8" t="s">
        <v>42</v>
      </c>
      <c r="E111" s="39">
        <v>46057</v>
      </c>
      <c r="F111" s="39" t="s">
        <v>13</v>
      </c>
      <c r="G111" s="9">
        <v>87422</v>
      </c>
      <c r="H111" s="10">
        <f t="shared" si="22"/>
        <v>87421</v>
      </c>
      <c r="I111" s="11">
        <v>174843</v>
      </c>
      <c r="J111" s="11">
        <f>VLOOKUP(A111,'Feb 26'!A:G,7,FALSE)</f>
        <v>43711</v>
      </c>
      <c r="K111" s="11">
        <f t="shared" ref="K111:K140" si="23">IF(G111=0,J111-G111,0)</f>
        <v>0</v>
      </c>
      <c r="L111" s="11">
        <f t="shared" si="19"/>
        <v>43711</v>
      </c>
      <c r="M111" s="41">
        <f t="shared" si="13"/>
        <v>43711</v>
      </c>
    </row>
    <row r="112" spans="1:13" ht="16.5" thickTop="1" thickBot="1" x14ac:dyDescent="0.3">
      <c r="A112" s="5" t="s">
        <v>117</v>
      </c>
      <c r="B112" s="6">
        <v>83698</v>
      </c>
      <c r="C112" s="7" t="s">
        <v>14</v>
      </c>
      <c r="D112" s="39">
        <v>45904</v>
      </c>
      <c r="E112" s="39">
        <v>46057</v>
      </c>
      <c r="F112" s="39" t="s">
        <v>13</v>
      </c>
      <c r="G112" s="9">
        <v>7860</v>
      </c>
      <c r="H112" s="10">
        <f t="shared" si="22"/>
        <v>6740</v>
      </c>
      <c r="I112" s="11">
        <v>14600</v>
      </c>
      <c r="J112" s="11">
        <f>VLOOKUP(A112,'Feb 26'!A:G,7,FALSE)</f>
        <v>7860</v>
      </c>
      <c r="K112" s="11">
        <f t="shared" si="23"/>
        <v>0</v>
      </c>
      <c r="L112" s="11">
        <f t="shared" si="19"/>
        <v>0</v>
      </c>
      <c r="M112" s="41">
        <f t="shared" si="13"/>
        <v>0</v>
      </c>
    </row>
    <row r="113" spans="1:13" ht="16.5" thickTop="1" thickBot="1" x14ac:dyDescent="0.3">
      <c r="A113" s="5" t="s">
        <v>212</v>
      </c>
      <c r="B113" s="6">
        <v>87641</v>
      </c>
      <c r="C113" s="7" t="s">
        <v>14</v>
      </c>
      <c r="D113" s="39">
        <v>46013</v>
      </c>
      <c r="E113" s="39" t="s">
        <v>13</v>
      </c>
      <c r="F113" s="39" t="s">
        <v>13</v>
      </c>
      <c r="G113" s="9">
        <v>13019</v>
      </c>
      <c r="H113" s="10">
        <f t="shared" si="22"/>
        <v>13018</v>
      </c>
      <c r="I113" s="11">
        <v>26037</v>
      </c>
      <c r="J113" s="11">
        <f>VLOOKUP(A113,'Feb 26'!A:G,7,FALSE)</f>
        <v>13019</v>
      </c>
      <c r="K113" s="11">
        <f t="shared" si="23"/>
        <v>0</v>
      </c>
      <c r="L113" s="11">
        <f t="shared" si="19"/>
        <v>0</v>
      </c>
      <c r="M113" s="41">
        <f t="shared" si="13"/>
        <v>0</v>
      </c>
    </row>
    <row r="114" spans="1:13" ht="16.5" thickTop="1" thickBot="1" x14ac:dyDescent="0.3">
      <c r="A114" s="5" t="s">
        <v>43</v>
      </c>
      <c r="B114" s="6">
        <v>80858</v>
      </c>
      <c r="C114" s="7" t="s">
        <v>44</v>
      </c>
      <c r="D114" s="8" t="s">
        <v>36</v>
      </c>
      <c r="E114" s="39" t="s">
        <v>13</v>
      </c>
      <c r="F114" s="39" t="s">
        <v>13</v>
      </c>
      <c r="G114" s="9">
        <v>6843</v>
      </c>
      <c r="H114" s="10">
        <f t="shared" si="22"/>
        <v>6843</v>
      </c>
      <c r="I114" s="11">
        <v>13686</v>
      </c>
      <c r="J114" s="11">
        <f>VLOOKUP(A114,'Feb 26'!A:G,7,FALSE)</f>
        <v>6843</v>
      </c>
      <c r="K114" s="11">
        <f t="shared" si="23"/>
        <v>0</v>
      </c>
      <c r="L114" s="11">
        <f t="shared" si="19"/>
        <v>0</v>
      </c>
      <c r="M114" s="41">
        <f t="shared" si="13"/>
        <v>0</v>
      </c>
    </row>
    <row r="115" spans="1:13" ht="16.5" thickTop="1" thickBot="1" x14ac:dyDescent="0.3">
      <c r="A115" s="5" t="s">
        <v>506</v>
      </c>
      <c r="B115" s="6">
        <v>83550</v>
      </c>
      <c r="C115" s="7" t="s">
        <v>505</v>
      </c>
      <c r="D115" s="39">
        <v>46100</v>
      </c>
      <c r="E115" s="39" t="s">
        <v>13</v>
      </c>
      <c r="F115" s="39"/>
      <c r="G115" s="9">
        <v>17904</v>
      </c>
      <c r="H115" s="10">
        <f t="shared" si="22"/>
        <v>17904</v>
      </c>
      <c r="I115" s="11">
        <v>35808</v>
      </c>
      <c r="J115" s="11"/>
      <c r="K115" s="11">
        <f t="shared" si="23"/>
        <v>0</v>
      </c>
      <c r="L115" s="11">
        <f t="shared" si="19"/>
        <v>17904</v>
      </c>
      <c r="M115" s="41">
        <f t="shared" si="13"/>
        <v>17904</v>
      </c>
    </row>
    <row r="116" spans="1:13" ht="16.5" thickTop="1" thickBot="1" x14ac:dyDescent="0.3">
      <c r="A116" s="5" t="s">
        <v>287</v>
      </c>
      <c r="B116" s="6">
        <v>87078</v>
      </c>
      <c r="C116" s="7" t="s">
        <v>57</v>
      </c>
      <c r="D116" s="39" t="s">
        <v>292</v>
      </c>
      <c r="E116" s="39" t="s">
        <v>13</v>
      </c>
      <c r="F116" s="39" t="s">
        <v>13</v>
      </c>
      <c r="G116" s="9">
        <v>12457</v>
      </c>
      <c r="H116" s="10">
        <f t="shared" si="22"/>
        <v>12457</v>
      </c>
      <c r="I116" s="11">
        <v>24914</v>
      </c>
      <c r="J116" s="11">
        <f>VLOOKUP(A116,'Feb 26'!A:G,7,FALSE)</f>
        <v>12457</v>
      </c>
      <c r="K116" s="11">
        <f t="shared" si="23"/>
        <v>0</v>
      </c>
      <c r="L116" s="11">
        <f t="shared" si="19"/>
        <v>0</v>
      </c>
      <c r="M116" s="41">
        <f t="shared" si="13"/>
        <v>0</v>
      </c>
    </row>
    <row r="117" spans="1:13" ht="16.5" thickTop="1" thickBot="1" x14ac:dyDescent="0.3">
      <c r="A117" s="5" t="s">
        <v>321</v>
      </c>
      <c r="B117" s="6">
        <v>86134</v>
      </c>
      <c r="C117" s="7" t="s">
        <v>21</v>
      </c>
      <c r="D117" s="39" t="s">
        <v>319</v>
      </c>
      <c r="E117" s="39" t="s">
        <v>13</v>
      </c>
      <c r="F117" s="39" t="s">
        <v>13</v>
      </c>
      <c r="G117" s="9">
        <v>5151</v>
      </c>
      <c r="H117" s="10">
        <f t="shared" si="22"/>
        <v>12016</v>
      </c>
      <c r="I117" s="11">
        <v>17167</v>
      </c>
      <c r="J117" s="11">
        <f>VLOOKUP(A117,'Feb 26'!A:G,7,FALSE)</f>
        <v>5151</v>
      </c>
      <c r="K117" s="11">
        <f t="shared" si="23"/>
        <v>0</v>
      </c>
      <c r="L117" s="11">
        <f t="shared" si="19"/>
        <v>0</v>
      </c>
      <c r="M117" s="41">
        <f t="shared" si="13"/>
        <v>0</v>
      </c>
    </row>
    <row r="118" spans="1:13" ht="16.5" thickTop="1" thickBot="1" x14ac:dyDescent="0.3">
      <c r="A118" s="5" t="s">
        <v>338</v>
      </c>
      <c r="B118" s="6">
        <v>87824</v>
      </c>
      <c r="C118" s="7" t="s">
        <v>20</v>
      </c>
      <c r="D118" s="39" t="s">
        <v>346</v>
      </c>
      <c r="E118" s="39" t="s">
        <v>13</v>
      </c>
      <c r="F118" s="39" t="s">
        <v>13</v>
      </c>
      <c r="G118" s="9">
        <v>109880</v>
      </c>
      <c r="H118" s="10">
        <f t="shared" si="22"/>
        <v>109880</v>
      </c>
      <c r="I118" s="11">
        <v>219760</v>
      </c>
      <c r="J118" s="11">
        <f>VLOOKUP(A118,'Feb 26'!A:G,7,FALSE)</f>
        <v>109880</v>
      </c>
      <c r="K118" s="11">
        <f t="shared" si="23"/>
        <v>0</v>
      </c>
      <c r="L118" s="11">
        <f t="shared" si="19"/>
        <v>0</v>
      </c>
      <c r="M118" s="41">
        <f t="shared" si="13"/>
        <v>0</v>
      </c>
    </row>
    <row r="119" spans="1:13" ht="16.5" thickTop="1" thickBot="1" x14ac:dyDescent="0.3">
      <c r="A119" s="5" t="s">
        <v>226</v>
      </c>
      <c r="B119" s="6">
        <v>86639</v>
      </c>
      <c r="C119" s="7" t="s">
        <v>21</v>
      </c>
      <c r="D119" s="39" t="s">
        <v>244</v>
      </c>
      <c r="E119" s="39">
        <v>46070</v>
      </c>
      <c r="F119" s="39">
        <v>46105</v>
      </c>
      <c r="G119" s="45"/>
      <c r="H119" s="10"/>
      <c r="I119" s="11"/>
      <c r="J119" s="11">
        <f>VLOOKUP(A119,'Feb 26'!A:G,7,FALSE)</f>
        <v>29037</v>
      </c>
      <c r="K119" s="11">
        <f t="shared" si="23"/>
        <v>29037</v>
      </c>
      <c r="L119" s="11" t="str">
        <f t="shared" si="19"/>
        <v>Invoiced this Month</v>
      </c>
      <c r="M119" s="41">
        <f>-K119</f>
        <v>-29037</v>
      </c>
    </row>
    <row r="120" spans="1:13" ht="16.5" thickTop="1" thickBot="1" x14ac:dyDescent="0.3">
      <c r="A120" s="5" t="s">
        <v>337</v>
      </c>
      <c r="B120" s="6">
        <v>88771</v>
      </c>
      <c r="C120" s="7" t="s">
        <v>21</v>
      </c>
      <c r="D120" s="39" t="s">
        <v>346</v>
      </c>
      <c r="E120" s="39" t="s">
        <v>13</v>
      </c>
      <c r="F120" s="39" t="s">
        <v>13</v>
      </c>
      <c r="G120" s="9">
        <v>1781</v>
      </c>
      <c r="H120" s="10">
        <f>I120-G120</f>
        <v>1781</v>
      </c>
      <c r="I120" s="11">
        <v>3562</v>
      </c>
      <c r="J120" s="11">
        <f>VLOOKUP(A120,'Feb 26'!A:G,7,FALSE)</f>
        <v>1781</v>
      </c>
      <c r="K120" s="11">
        <f t="shared" si="23"/>
        <v>0</v>
      </c>
      <c r="L120" s="11">
        <f t="shared" si="19"/>
        <v>0</v>
      </c>
      <c r="M120" s="41">
        <f t="shared" si="13"/>
        <v>0</v>
      </c>
    </row>
    <row r="121" spans="1:13" ht="16.5" thickTop="1" thickBot="1" x14ac:dyDescent="0.3">
      <c r="A121" s="5" t="s">
        <v>290</v>
      </c>
      <c r="B121" s="6">
        <v>88927</v>
      </c>
      <c r="C121" s="7" t="s">
        <v>296</v>
      </c>
      <c r="D121" s="39" t="s">
        <v>294</v>
      </c>
      <c r="E121" s="39" t="s">
        <v>13</v>
      </c>
      <c r="F121" s="39" t="s">
        <v>13</v>
      </c>
      <c r="G121" s="9">
        <v>7884</v>
      </c>
      <c r="H121" s="10">
        <f>I121-G121</f>
        <v>7884</v>
      </c>
      <c r="I121" s="11">
        <v>15768</v>
      </c>
      <c r="J121" s="11">
        <f>VLOOKUP(A121,'Feb 26'!A:G,7,FALSE)</f>
        <v>7884</v>
      </c>
      <c r="K121" s="11">
        <f t="shared" si="23"/>
        <v>0</v>
      </c>
      <c r="L121" s="11">
        <f t="shared" si="19"/>
        <v>0</v>
      </c>
      <c r="M121" s="41">
        <f t="shared" si="13"/>
        <v>0</v>
      </c>
    </row>
    <row r="122" spans="1:13" ht="16.5" thickTop="1" thickBot="1" x14ac:dyDescent="0.3">
      <c r="A122" s="5" t="s">
        <v>239</v>
      </c>
      <c r="B122" s="6">
        <v>86537</v>
      </c>
      <c r="C122" s="7" t="s">
        <v>256</v>
      </c>
      <c r="D122" s="39" t="s">
        <v>251</v>
      </c>
      <c r="E122" s="39" t="s">
        <v>13</v>
      </c>
      <c r="F122" s="39" t="s">
        <v>13</v>
      </c>
      <c r="G122" s="9">
        <v>10013</v>
      </c>
      <c r="H122" s="10">
        <f>I122-G122</f>
        <v>10012</v>
      </c>
      <c r="I122" s="11">
        <v>20025</v>
      </c>
      <c r="J122" s="11">
        <f>VLOOKUP(A122,'Feb 26'!A:G,7,FALSE)</f>
        <v>10013</v>
      </c>
      <c r="K122" s="11">
        <f t="shared" si="23"/>
        <v>0</v>
      </c>
      <c r="L122" s="11">
        <f t="shared" si="19"/>
        <v>0</v>
      </c>
      <c r="M122" s="41">
        <f t="shared" si="13"/>
        <v>0</v>
      </c>
    </row>
    <row r="123" spans="1:13" ht="16.5" thickTop="1" thickBot="1" x14ac:dyDescent="0.3">
      <c r="A123" s="5" t="s">
        <v>574</v>
      </c>
      <c r="B123" s="6">
        <v>89520</v>
      </c>
      <c r="C123" s="7" t="s">
        <v>254</v>
      </c>
      <c r="D123" s="39">
        <v>46112</v>
      </c>
      <c r="E123" s="39" t="s">
        <v>13</v>
      </c>
      <c r="F123" s="39"/>
      <c r="G123" s="9">
        <v>8091.5</v>
      </c>
      <c r="H123" s="10">
        <f>I123-G123</f>
        <v>8091.5</v>
      </c>
      <c r="I123" s="11">
        <v>16183</v>
      </c>
      <c r="J123" s="11"/>
      <c r="K123" s="11">
        <f t="shared" si="23"/>
        <v>0</v>
      </c>
      <c r="L123" s="11">
        <f t="shared" si="19"/>
        <v>8091.5</v>
      </c>
      <c r="M123" s="41">
        <f t="shared" si="13"/>
        <v>8091.5</v>
      </c>
    </row>
    <row r="124" spans="1:13" ht="16.5" thickTop="1" thickBot="1" x14ac:dyDescent="0.3">
      <c r="A124" s="5" t="s">
        <v>132</v>
      </c>
      <c r="B124" s="6">
        <v>86090</v>
      </c>
      <c r="C124" s="7" t="s">
        <v>39</v>
      </c>
      <c r="D124" s="39">
        <v>45936</v>
      </c>
      <c r="E124" s="39">
        <v>45975</v>
      </c>
      <c r="F124" s="39" t="s">
        <v>350</v>
      </c>
      <c r="G124" s="9">
        <v>50633.5</v>
      </c>
      <c r="H124" s="10">
        <f>I124-G124</f>
        <v>50633.5</v>
      </c>
      <c r="I124" s="11">
        <v>101267</v>
      </c>
      <c r="J124" s="11">
        <f>VLOOKUP(A124,'Feb 26'!A:G,7,FALSE)</f>
        <v>50633.5</v>
      </c>
      <c r="K124" s="11">
        <f t="shared" si="23"/>
        <v>0</v>
      </c>
      <c r="L124" s="11">
        <f t="shared" si="19"/>
        <v>0</v>
      </c>
      <c r="M124" s="41">
        <f t="shared" si="13"/>
        <v>0</v>
      </c>
    </row>
    <row r="125" spans="1:13" ht="16.5" thickTop="1" thickBot="1" x14ac:dyDescent="0.3">
      <c r="A125" s="5" t="s">
        <v>164</v>
      </c>
      <c r="B125" s="6">
        <v>87645</v>
      </c>
      <c r="C125" s="7" t="s">
        <v>14</v>
      </c>
      <c r="D125" s="39">
        <v>45971</v>
      </c>
      <c r="E125" s="39">
        <v>46027</v>
      </c>
      <c r="F125" s="39">
        <v>46107</v>
      </c>
      <c r="G125" s="45"/>
      <c r="H125" s="10"/>
      <c r="I125" s="11"/>
      <c r="J125" s="11">
        <f>VLOOKUP(A125,'Feb 26'!A:G,7,FALSE)</f>
        <v>13500</v>
      </c>
      <c r="K125" s="11">
        <f t="shared" si="23"/>
        <v>13500</v>
      </c>
      <c r="L125" s="11" t="str">
        <f t="shared" si="19"/>
        <v>Invoiced this Month</v>
      </c>
      <c r="M125" s="41">
        <f>-K125</f>
        <v>-13500</v>
      </c>
    </row>
    <row r="126" spans="1:13" ht="16.5" thickTop="1" thickBot="1" x14ac:dyDescent="0.3">
      <c r="A126" s="5" t="s">
        <v>361</v>
      </c>
      <c r="B126" s="6">
        <v>87346</v>
      </c>
      <c r="C126" s="7" t="s">
        <v>11</v>
      </c>
      <c r="D126" s="39">
        <v>46085</v>
      </c>
      <c r="E126" s="39" t="s">
        <v>13</v>
      </c>
      <c r="F126" s="39"/>
      <c r="G126" s="9">
        <v>11754</v>
      </c>
      <c r="H126" s="10">
        <f>I126-G126</f>
        <v>11754</v>
      </c>
      <c r="I126" s="11">
        <v>23508</v>
      </c>
      <c r="J126" s="11"/>
      <c r="K126" s="11">
        <f t="shared" si="23"/>
        <v>0</v>
      </c>
      <c r="L126" s="11">
        <f t="shared" si="19"/>
        <v>11754</v>
      </c>
      <c r="M126" s="41">
        <f t="shared" si="13"/>
        <v>11754</v>
      </c>
    </row>
    <row r="127" spans="1:13" ht="16.5" thickTop="1" thickBot="1" x14ac:dyDescent="0.3">
      <c r="A127" s="5" t="s">
        <v>165</v>
      </c>
      <c r="B127" s="6">
        <v>87446</v>
      </c>
      <c r="C127" s="7" t="s">
        <v>33</v>
      </c>
      <c r="D127" s="39">
        <v>45971</v>
      </c>
      <c r="E127" s="39">
        <v>46055</v>
      </c>
      <c r="F127" s="39">
        <v>46098</v>
      </c>
      <c r="G127" s="45"/>
      <c r="H127" s="10"/>
      <c r="I127" s="11"/>
      <c r="J127" s="11">
        <f>VLOOKUP(A127,'Feb 26'!A:G,7,FALSE)</f>
        <v>20000</v>
      </c>
      <c r="K127" s="11">
        <f t="shared" si="23"/>
        <v>20000</v>
      </c>
      <c r="L127" s="11" t="str">
        <f t="shared" si="19"/>
        <v>Invoiced this Month</v>
      </c>
      <c r="M127" s="41">
        <f>-K127</f>
        <v>-20000</v>
      </c>
    </row>
    <row r="128" spans="1:13" ht="16.5" thickTop="1" thickBot="1" x14ac:dyDescent="0.3">
      <c r="A128" s="5" t="s">
        <v>496</v>
      </c>
      <c r="B128" s="6">
        <v>88920</v>
      </c>
      <c r="C128" s="7" t="s">
        <v>40</v>
      </c>
      <c r="D128" s="39">
        <v>46098</v>
      </c>
      <c r="E128" s="39" t="s">
        <v>13</v>
      </c>
      <c r="F128" s="39"/>
      <c r="G128" s="9">
        <v>6961</v>
      </c>
      <c r="H128" s="10">
        <f t="shared" ref="H128:H138" si="24">I128-G128</f>
        <v>6961</v>
      </c>
      <c r="I128" s="11">
        <v>13922</v>
      </c>
      <c r="J128" s="11"/>
      <c r="K128" s="11">
        <f t="shared" si="23"/>
        <v>0</v>
      </c>
      <c r="L128" s="11">
        <f t="shared" si="19"/>
        <v>6961</v>
      </c>
      <c r="M128" s="41">
        <f t="shared" si="13"/>
        <v>6961</v>
      </c>
    </row>
    <row r="129" spans="1:13" ht="16.5" thickTop="1" thickBot="1" x14ac:dyDescent="0.3">
      <c r="A129" s="5" t="s">
        <v>127</v>
      </c>
      <c r="B129" s="6">
        <v>86087</v>
      </c>
      <c r="C129" s="7" t="s">
        <v>78</v>
      </c>
      <c r="D129" s="39" t="s">
        <v>129</v>
      </c>
      <c r="E129" s="39" t="s">
        <v>13</v>
      </c>
      <c r="F129" s="39" t="s">
        <v>13</v>
      </c>
      <c r="G129" s="9">
        <v>16786</v>
      </c>
      <c r="H129" s="10">
        <f t="shared" si="24"/>
        <v>16786</v>
      </c>
      <c r="I129" s="11">
        <v>33572</v>
      </c>
      <c r="J129" s="11">
        <f>VLOOKUP(A129,'Feb 26'!A:G,7,FALSE)</f>
        <v>16786</v>
      </c>
      <c r="K129" s="11">
        <f t="shared" si="23"/>
        <v>0</v>
      </c>
      <c r="L129" s="11">
        <f t="shared" si="19"/>
        <v>0</v>
      </c>
      <c r="M129" s="41">
        <f t="shared" si="13"/>
        <v>0</v>
      </c>
    </row>
    <row r="130" spans="1:13" ht="16.5" thickTop="1" thickBot="1" x14ac:dyDescent="0.3">
      <c r="A130" s="5" t="s">
        <v>329</v>
      </c>
      <c r="B130" s="6">
        <v>88524</v>
      </c>
      <c r="C130" s="7" t="s">
        <v>23</v>
      </c>
      <c r="D130" s="39" t="s">
        <v>343</v>
      </c>
      <c r="E130" s="39" t="s">
        <v>13</v>
      </c>
      <c r="F130" s="39" t="s">
        <v>13</v>
      </c>
      <c r="G130" s="9">
        <v>6563</v>
      </c>
      <c r="H130" s="10">
        <f t="shared" si="24"/>
        <v>6563</v>
      </c>
      <c r="I130" s="11">
        <v>13126</v>
      </c>
      <c r="J130" s="11">
        <f>VLOOKUP(A130,'Feb 26'!A:G,7,FALSE)</f>
        <v>6563</v>
      </c>
      <c r="K130" s="11">
        <f t="shared" si="23"/>
        <v>0</v>
      </c>
      <c r="L130" s="11">
        <f t="shared" ref="L130:L140" si="25">IF(G130&gt;0,G130-J130,"Invoiced this Month")</f>
        <v>0</v>
      </c>
      <c r="M130" s="41">
        <f t="shared" si="13"/>
        <v>0</v>
      </c>
    </row>
    <row r="131" spans="1:13" ht="16.5" thickTop="1" thickBot="1" x14ac:dyDescent="0.3">
      <c r="A131" s="5" t="s">
        <v>501</v>
      </c>
      <c r="B131" s="6">
        <v>89555</v>
      </c>
      <c r="C131" s="7" t="s">
        <v>14</v>
      </c>
      <c r="D131" s="39">
        <v>46099</v>
      </c>
      <c r="E131" s="39" t="s">
        <v>13</v>
      </c>
      <c r="F131" s="39"/>
      <c r="G131" s="9">
        <v>10888</v>
      </c>
      <c r="H131" s="10">
        <f t="shared" si="24"/>
        <v>10887</v>
      </c>
      <c r="I131" s="11">
        <v>21775</v>
      </c>
      <c r="J131" s="11"/>
      <c r="K131" s="11">
        <f t="shared" si="23"/>
        <v>0</v>
      </c>
      <c r="L131" s="11">
        <f t="shared" si="25"/>
        <v>10888</v>
      </c>
      <c r="M131" s="41">
        <f t="shared" ref="M131:M194" si="26">L131-K131</f>
        <v>10888</v>
      </c>
    </row>
    <row r="132" spans="1:13" ht="16.5" thickTop="1" thickBot="1" x14ac:dyDescent="0.3">
      <c r="A132" s="5" t="s">
        <v>259</v>
      </c>
      <c r="B132" s="6">
        <v>88810</v>
      </c>
      <c r="C132" s="7" t="s">
        <v>14</v>
      </c>
      <c r="D132" s="39" t="s">
        <v>267</v>
      </c>
      <c r="E132" s="39" t="s">
        <v>13</v>
      </c>
      <c r="F132" s="39" t="s">
        <v>13</v>
      </c>
      <c r="G132" s="9">
        <v>22507</v>
      </c>
      <c r="H132" s="10">
        <f t="shared" si="24"/>
        <v>22506</v>
      </c>
      <c r="I132" s="11">
        <v>45013</v>
      </c>
      <c r="J132" s="11">
        <f>VLOOKUP(A132,'Feb 26'!A:G,7,FALSE)</f>
        <v>22507</v>
      </c>
      <c r="K132" s="11">
        <f t="shared" si="23"/>
        <v>0</v>
      </c>
      <c r="L132" s="11">
        <f t="shared" si="25"/>
        <v>0</v>
      </c>
      <c r="M132" s="41">
        <f t="shared" si="26"/>
        <v>0</v>
      </c>
    </row>
    <row r="133" spans="1:13" ht="16.5" thickTop="1" thickBot="1" x14ac:dyDescent="0.3">
      <c r="A133" s="5" t="s">
        <v>316</v>
      </c>
      <c r="B133" s="6">
        <v>88919</v>
      </c>
      <c r="C133" s="7" t="s">
        <v>78</v>
      </c>
      <c r="D133" s="39" t="s">
        <v>315</v>
      </c>
      <c r="E133" s="39" t="s">
        <v>13</v>
      </c>
      <c r="F133" s="39" t="s">
        <v>13</v>
      </c>
      <c r="G133" s="9">
        <v>8348</v>
      </c>
      <c r="H133" s="10">
        <f t="shared" si="24"/>
        <v>8347</v>
      </c>
      <c r="I133" s="11">
        <v>16695</v>
      </c>
      <c r="J133" s="11">
        <f>VLOOKUP(A133,'Feb 26'!A:G,7,FALSE)</f>
        <v>8348</v>
      </c>
      <c r="K133" s="11">
        <f t="shared" si="23"/>
        <v>0</v>
      </c>
      <c r="L133" s="11">
        <f t="shared" si="25"/>
        <v>0</v>
      </c>
      <c r="M133" s="41">
        <f t="shared" si="26"/>
        <v>0</v>
      </c>
    </row>
    <row r="134" spans="1:13" ht="16.5" thickTop="1" thickBot="1" x14ac:dyDescent="0.3">
      <c r="A134" s="5" t="s">
        <v>99</v>
      </c>
      <c r="B134" s="6">
        <v>81910</v>
      </c>
      <c r="C134" s="7" t="s">
        <v>14</v>
      </c>
      <c r="D134" s="39">
        <v>45859</v>
      </c>
      <c r="E134" s="39" t="s">
        <v>13</v>
      </c>
      <c r="F134" s="39" t="s">
        <v>13</v>
      </c>
      <c r="G134" s="9">
        <v>13876</v>
      </c>
      <c r="H134" s="10">
        <f t="shared" si="24"/>
        <v>13875</v>
      </c>
      <c r="I134" s="11">
        <v>27751</v>
      </c>
      <c r="J134" s="11">
        <f>VLOOKUP(A134,'Feb 26'!A:G,7,FALSE)</f>
        <v>13876</v>
      </c>
      <c r="K134" s="11">
        <f t="shared" si="23"/>
        <v>0</v>
      </c>
      <c r="L134" s="11">
        <f t="shared" si="25"/>
        <v>0</v>
      </c>
      <c r="M134" s="41">
        <f t="shared" si="26"/>
        <v>0</v>
      </c>
    </row>
    <row r="135" spans="1:13" ht="16.5" thickTop="1" thickBot="1" x14ac:dyDescent="0.3">
      <c r="A135" s="5" t="s">
        <v>573</v>
      </c>
      <c r="B135" s="6">
        <v>88415</v>
      </c>
      <c r="C135" s="7" t="s">
        <v>62</v>
      </c>
      <c r="D135" s="39">
        <v>46112</v>
      </c>
      <c r="E135" s="39" t="s">
        <v>13</v>
      </c>
      <c r="F135" s="39"/>
      <c r="G135" s="9">
        <v>64984</v>
      </c>
      <c r="H135" s="10">
        <f t="shared" si="24"/>
        <v>64984</v>
      </c>
      <c r="I135" s="11">
        <v>129968</v>
      </c>
      <c r="J135" s="11"/>
      <c r="K135" s="11">
        <f t="shared" si="23"/>
        <v>0</v>
      </c>
      <c r="L135" s="11">
        <f t="shared" si="25"/>
        <v>64984</v>
      </c>
      <c r="M135" s="41">
        <f t="shared" si="26"/>
        <v>64984</v>
      </c>
    </row>
    <row r="136" spans="1:13" ht="16.5" thickTop="1" thickBot="1" x14ac:dyDescent="0.3">
      <c r="A136" s="5" t="s">
        <v>500</v>
      </c>
      <c r="B136" s="6">
        <v>88490</v>
      </c>
      <c r="C136" s="7" t="s">
        <v>19</v>
      </c>
      <c r="D136" s="39">
        <v>46099</v>
      </c>
      <c r="E136" s="39" t="s">
        <v>13</v>
      </c>
      <c r="F136" s="39"/>
      <c r="G136" s="9">
        <v>21569</v>
      </c>
      <c r="H136" s="10">
        <f t="shared" si="24"/>
        <v>21569</v>
      </c>
      <c r="I136" s="11">
        <v>43138</v>
      </c>
      <c r="J136" s="11"/>
      <c r="K136" s="11">
        <f t="shared" si="23"/>
        <v>0</v>
      </c>
      <c r="L136" s="11">
        <f t="shared" si="25"/>
        <v>21569</v>
      </c>
      <c r="M136" s="41">
        <f t="shared" si="26"/>
        <v>21569</v>
      </c>
    </row>
    <row r="137" spans="1:13" ht="16.5" thickTop="1" thickBot="1" x14ac:dyDescent="0.3">
      <c r="A137" s="5" t="s">
        <v>149</v>
      </c>
      <c r="B137" s="6">
        <v>87713</v>
      </c>
      <c r="C137" s="7" t="s">
        <v>31</v>
      </c>
      <c r="D137" s="39">
        <v>45960</v>
      </c>
      <c r="E137" s="39" t="s">
        <v>13</v>
      </c>
      <c r="F137" s="39" t="s">
        <v>13</v>
      </c>
      <c r="G137" s="9">
        <v>192821</v>
      </c>
      <c r="H137" s="10">
        <f t="shared" si="24"/>
        <v>192821</v>
      </c>
      <c r="I137" s="11">
        <v>385642</v>
      </c>
      <c r="J137" s="11">
        <f>VLOOKUP(A137,'Feb 26'!A:G,7,FALSE)</f>
        <v>192821</v>
      </c>
      <c r="K137" s="11">
        <f t="shared" si="23"/>
        <v>0</v>
      </c>
      <c r="L137" s="11">
        <f t="shared" si="25"/>
        <v>0</v>
      </c>
      <c r="M137" s="41">
        <f t="shared" si="26"/>
        <v>0</v>
      </c>
    </row>
    <row r="138" spans="1:13" ht="16.5" thickTop="1" thickBot="1" x14ac:dyDescent="0.3">
      <c r="A138" s="5" t="s">
        <v>150</v>
      </c>
      <c r="B138" s="6">
        <v>87716</v>
      </c>
      <c r="C138" s="7" t="s">
        <v>31</v>
      </c>
      <c r="D138" s="39">
        <v>45960</v>
      </c>
      <c r="E138" s="39" t="s">
        <v>13</v>
      </c>
      <c r="F138" s="39" t="s">
        <v>13</v>
      </c>
      <c r="G138" s="9">
        <v>94522</v>
      </c>
      <c r="H138" s="10">
        <f t="shared" si="24"/>
        <v>94521</v>
      </c>
      <c r="I138" s="11">
        <v>189043</v>
      </c>
      <c r="J138" s="11">
        <f>VLOOKUP(A138,'Feb 26'!A:G,7,FALSE)</f>
        <v>94522</v>
      </c>
      <c r="K138" s="11">
        <f t="shared" si="23"/>
        <v>0</v>
      </c>
      <c r="L138" s="11">
        <f t="shared" si="25"/>
        <v>0</v>
      </c>
      <c r="M138" s="41">
        <f t="shared" si="26"/>
        <v>0</v>
      </c>
    </row>
    <row r="139" spans="1:13" ht="16.5" thickTop="1" thickBot="1" x14ac:dyDescent="0.3">
      <c r="A139" s="5" t="s">
        <v>68</v>
      </c>
      <c r="B139" s="6">
        <v>83381</v>
      </c>
      <c r="C139" s="7" t="s">
        <v>33</v>
      </c>
      <c r="D139" s="8" t="s">
        <v>69</v>
      </c>
      <c r="E139" s="39">
        <v>46056</v>
      </c>
      <c r="F139" s="39">
        <v>46101</v>
      </c>
      <c r="G139" s="45"/>
      <c r="H139" s="10"/>
      <c r="I139" s="11"/>
      <c r="J139" s="11">
        <f>VLOOKUP(A139,'Feb 26'!A:G,7,FALSE)</f>
        <v>35519.5</v>
      </c>
      <c r="K139" s="11">
        <f t="shared" si="23"/>
        <v>35519.5</v>
      </c>
      <c r="L139" s="11" t="str">
        <f t="shared" si="25"/>
        <v>Invoiced this Month</v>
      </c>
      <c r="M139" s="41">
        <f>-K139</f>
        <v>-35519.5</v>
      </c>
    </row>
    <row r="140" spans="1:13" ht="16.5" thickTop="1" thickBot="1" x14ac:dyDescent="0.3">
      <c r="A140" s="5" t="s">
        <v>377</v>
      </c>
      <c r="B140" s="6">
        <v>88750</v>
      </c>
      <c r="C140" s="7" t="s">
        <v>62</v>
      </c>
      <c r="D140" s="39">
        <v>46093</v>
      </c>
      <c r="E140" s="39" t="s">
        <v>13</v>
      </c>
      <c r="F140" s="39"/>
      <c r="G140" s="9">
        <v>44798</v>
      </c>
      <c r="H140" s="10">
        <f>I140-G140</f>
        <v>48405</v>
      </c>
      <c r="I140" s="11">
        <v>93203</v>
      </c>
      <c r="J140" s="11"/>
      <c r="K140" s="11">
        <f t="shared" si="23"/>
        <v>0</v>
      </c>
      <c r="L140" s="11">
        <f t="shared" si="25"/>
        <v>44798</v>
      </c>
      <c r="M140" s="41">
        <f t="shared" si="26"/>
        <v>44798</v>
      </c>
    </row>
    <row r="141" spans="1:13" ht="16.5" thickTop="1" thickBot="1" x14ac:dyDescent="0.3">
      <c r="A141" s="5" t="s">
        <v>571</v>
      </c>
      <c r="B141" s="6">
        <v>89472</v>
      </c>
      <c r="C141" s="7" t="s">
        <v>572</v>
      </c>
      <c r="D141" s="39">
        <v>46111</v>
      </c>
      <c r="E141" s="39" t="s">
        <v>13</v>
      </c>
      <c r="F141" s="39"/>
      <c r="G141" s="9">
        <v>58315.5</v>
      </c>
      <c r="H141" s="10">
        <f>I141-'Apr 26'!G117</f>
        <v>100908</v>
      </c>
      <c r="I141" s="11">
        <v>116631</v>
      </c>
      <c r="J141" s="11"/>
      <c r="K141" s="11">
        <f>IF('Apr 26'!G117=0,J141-'Apr 26'!G117,0)</f>
        <v>0</v>
      </c>
      <c r="L141" s="11">
        <f>IF('Apr 26'!G117&gt;0,'Apr 26'!G117-J141,"Invoiced this Month")</f>
        <v>15723</v>
      </c>
      <c r="M141" s="41">
        <f t="shared" si="26"/>
        <v>15723</v>
      </c>
    </row>
    <row r="142" spans="1:13" ht="16.5" thickTop="1" thickBot="1" x14ac:dyDescent="0.3">
      <c r="A142" s="5" t="s">
        <v>171</v>
      </c>
      <c r="B142" s="6">
        <v>87145</v>
      </c>
      <c r="C142" s="7" t="s">
        <v>23</v>
      </c>
      <c r="D142" s="39" t="s">
        <v>179</v>
      </c>
      <c r="E142" s="39" t="s">
        <v>13</v>
      </c>
      <c r="F142" s="39" t="s">
        <v>13</v>
      </c>
      <c r="G142" s="9">
        <v>100990</v>
      </c>
      <c r="H142" s="10">
        <f>I142-G142</f>
        <v>100990</v>
      </c>
      <c r="I142" s="11">
        <v>201980</v>
      </c>
      <c r="J142" s="11">
        <f>VLOOKUP(A142,'Feb 26'!A:G,7,FALSE)</f>
        <v>100990</v>
      </c>
      <c r="K142" s="11">
        <f>IF(G142=0,J142-G142,0)</f>
        <v>0</v>
      </c>
      <c r="L142" s="11">
        <f t="shared" ref="L142:L161" si="27">IF(G142&gt;0,G142-J142,"Invoiced this Month")</f>
        <v>0</v>
      </c>
      <c r="M142" s="41">
        <f t="shared" si="26"/>
        <v>0</v>
      </c>
    </row>
    <row r="143" spans="1:13" ht="16.5" thickTop="1" thickBot="1" x14ac:dyDescent="0.3">
      <c r="A143" s="5" t="s">
        <v>238</v>
      </c>
      <c r="B143" s="6">
        <v>88897</v>
      </c>
      <c r="C143" s="7" t="s">
        <v>11</v>
      </c>
      <c r="D143" s="39" t="s">
        <v>250</v>
      </c>
      <c r="E143" s="39" t="s">
        <v>13</v>
      </c>
      <c r="F143" s="39">
        <v>46104</v>
      </c>
      <c r="G143" s="45"/>
      <c r="H143" s="10"/>
      <c r="I143" s="11"/>
      <c r="J143" s="11">
        <f>VLOOKUP(A143,'Feb 26'!A:G,7,FALSE)</f>
        <v>11041</v>
      </c>
      <c r="K143" s="11">
        <f>IF(G143=0,J143-G143,0)</f>
        <v>11041</v>
      </c>
      <c r="L143" s="11" t="str">
        <f t="shared" si="27"/>
        <v>Invoiced this Month</v>
      </c>
      <c r="M143" s="41">
        <f>-K143</f>
        <v>-11041</v>
      </c>
    </row>
    <row r="144" spans="1:13" ht="16.5" thickTop="1" thickBot="1" x14ac:dyDescent="0.3">
      <c r="A144" s="5" t="s">
        <v>376</v>
      </c>
      <c r="B144" s="6">
        <v>87907</v>
      </c>
      <c r="C144" s="7" t="s">
        <v>20</v>
      </c>
      <c r="D144" s="39">
        <v>46093</v>
      </c>
      <c r="E144" s="39" t="s">
        <v>13</v>
      </c>
      <c r="F144" s="39"/>
      <c r="G144" s="9">
        <v>10418</v>
      </c>
      <c r="H144" s="10">
        <f t="shared" ref="H144:H154" si="28">I144-G144</f>
        <v>10418</v>
      </c>
      <c r="I144" s="11">
        <v>20836</v>
      </c>
      <c r="J144" s="11"/>
      <c r="K144" s="11">
        <f>IF(G144=0,J144-G144,0)</f>
        <v>0</v>
      </c>
      <c r="L144" s="11">
        <f t="shared" si="27"/>
        <v>10418</v>
      </c>
      <c r="M144" s="41">
        <f t="shared" si="26"/>
        <v>10418</v>
      </c>
    </row>
    <row r="145" spans="1:13" ht="16.5" thickTop="1" thickBot="1" x14ac:dyDescent="0.3">
      <c r="A145" s="5" t="s">
        <v>471</v>
      </c>
      <c r="B145" s="6">
        <v>87389</v>
      </c>
      <c r="C145" s="7" t="s">
        <v>11</v>
      </c>
      <c r="D145" s="39">
        <v>46094</v>
      </c>
      <c r="E145" s="39" t="s">
        <v>13</v>
      </c>
      <c r="F145" s="39"/>
      <c r="G145" s="9">
        <v>15425</v>
      </c>
      <c r="H145" s="10">
        <f t="shared" si="28"/>
        <v>15425</v>
      </c>
      <c r="I145" s="11">
        <v>30850</v>
      </c>
      <c r="J145" s="11"/>
      <c r="K145" s="11">
        <f>IF(G145=0,J145-G145,0)</f>
        <v>0</v>
      </c>
      <c r="L145" s="11">
        <f t="shared" si="27"/>
        <v>15425</v>
      </c>
      <c r="M145" s="41">
        <f t="shared" si="26"/>
        <v>15425</v>
      </c>
    </row>
    <row r="146" spans="1:13" ht="16.5" thickTop="1" thickBot="1" x14ac:dyDescent="0.3">
      <c r="A146" s="5" t="s">
        <v>124</v>
      </c>
      <c r="B146" s="6">
        <v>87412</v>
      </c>
      <c r="C146" s="7" t="s">
        <v>23</v>
      </c>
      <c r="D146" s="39">
        <v>45926</v>
      </c>
      <c r="E146" s="39">
        <v>46070</v>
      </c>
      <c r="F146" s="39" t="s">
        <v>13</v>
      </c>
      <c r="G146" s="9">
        <f>44034+12383.91</f>
        <v>56417.91</v>
      </c>
      <c r="H146" s="10">
        <f t="shared" si="28"/>
        <v>56668.09</v>
      </c>
      <c r="I146" s="11">
        <v>113086</v>
      </c>
      <c r="J146" s="11">
        <f>VLOOKUP(A146,'Feb 26'!A:G,7,FALSE)</f>
        <v>56417.91</v>
      </c>
      <c r="K146" s="11">
        <f>IF(G146=0,J146-G146,0)</f>
        <v>0</v>
      </c>
      <c r="L146" s="11">
        <f t="shared" si="27"/>
        <v>0</v>
      </c>
      <c r="M146" s="41">
        <f t="shared" si="26"/>
        <v>0</v>
      </c>
    </row>
    <row r="147" spans="1:13" ht="16.5" thickTop="1" thickBot="1" x14ac:dyDescent="0.3">
      <c r="A147" s="5" t="s">
        <v>357</v>
      </c>
      <c r="B147" s="6">
        <v>88948</v>
      </c>
      <c r="C147" s="7" t="s">
        <v>23</v>
      </c>
      <c r="D147" s="39">
        <v>46084</v>
      </c>
      <c r="E147" s="39" t="s">
        <v>13</v>
      </c>
      <c r="F147" s="39"/>
      <c r="G147" s="9">
        <v>55860.75</v>
      </c>
      <c r="H147" s="10">
        <f t="shared" si="28"/>
        <v>56989.25</v>
      </c>
      <c r="I147" s="11">
        <v>112850</v>
      </c>
      <c r="J147" s="11"/>
      <c r="K147" s="11">
        <f t="shared" ref="K147:K178" si="29">IF(G147=0,J147-G147,0)</f>
        <v>0</v>
      </c>
      <c r="L147" s="11">
        <f t="shared" si="27"/>
        <v>55860.75</v>
      </c>
      <c r="M147" s="41">
        <f t="shared" si="26"/>
        <v>55860.75</v>
      </c>
    </row>
    <row r="148" spans="1:13" ht="16.5" thickTop="1" thickBot="1" x14ac:dyDescent="0.3">
      <c r="A148" s="5" t="s">
        <v>365</v>
      </c>
      <c r="B148" s="6">
        <v>89075</v>
      </c>
      <c r="C148" s="7" t="s">
        <v>23</v>
      </c>
      <c r="D148" s="39">
        <v>46090</v>
      </c>
      <c r="E148" s="39" t="s">
        <v>13</v>
      </c>
      <c r="F148" s="39"/>
      <c r="G148" s="9">
        <v>930.6</v>
      </c>
      <c r="H148" s="10">
        <f t="shared" si="28"/>
        <v>949.4</v>
      </c>
      <c r="I148" s="11">
        <v>1880</v>
      </c>
      <c r="J148" s="11"/>
      <c r="K148" s="11">
        <f t="shared" si="29"/>
        <v>0</v>
      </c>
      <c r="L148" s="11">
        <f t="shared" si="27"/>
        <v>930.6</v>
      </c>
      <c r="M148" s="41">
        <f t="shared" si="26"/>
        <v>930.6</v>
      </c>
    </row>
    <row r="149" spans="1:13" ht="16.5" thickTop="1" thickBot="1" x14ac:dyDescent="0.3">
      <c r="A149" s="5" t="s">
        <v>469</v>
      </c>
      <c r="B149" s="6">
        <v>88440</v>
      </c>
      <c r="C149" s="7" t="s">
        <v>23</v>
      </c>
      <c r="D149" s="39">
        <v>46094</v>
      </c>
      <c r="E149" s="39" t="s">
        <v>13</v>
      </c>
      <c r="F149" s="39"/>
      <c r="G149" s="9">
        <v>1207</v>
      </c>
      <c r="H149" s="10">
        <f t="shared" si="28"/>
        <v>1206</v>
      </c>
      <c r="I149" s="11">
        <v>2413</v>
      </c>
      <c r="J149" s="11"/>
      <c r="K149" s="11">
        <f t="shared" si="29"/>
        <v>0</v>
      </c>
      <c r="L149" s="11">
        <f t="shared" si="27"/>
        <v>1207</v>
      </c>
      <c r="M149" s="41">
        <f t="shared" si="26"/>
        <v>1207</v>
      </c>
    </row>
    <row r="150" spans="1:13" ht="16.5" thickTop="1" thickBot="1" x14ac:dyDescent="0.3">
      <c r="A150" s="5" t="s">
        <v>202</v>
      </c>
      <c r="B150" s="6">
        <v>87088</v>
      </c>
      <c r="C150" s="7" t="s">
        <v>23</v>
      </c>
      <c r="D150" s="39" t="s">
        <v>209</v>
      </c>
      <c r="E150" s="39" t="s">
        <v>13</v>
      </c>
      <c r="F150" s="39" t="s">
        <v>13</v>
      </c>
      <c r="G150" s="9">
        <v>1253.3399999999999</v>
      </c>
      <c r="H150" s="10">
        <f t="shared" si="28"/>
        <v>1277.6600000000001</v>
      </c>
      <c r="I150" s="11">
        <v>2531</v>
      </c>
      <c r="J150" s="11">
        <f>VLOOKUP(A150,'Feb 26'!A:G,7,FALSE)</f>
        <v>1253.3399999999999</v>
      </c>
      <c r="K150" s="11">
        <f t="shared" si="29"/>
        <v>0</v>
      </c>
      <c r="L150" s="11">
        <f t="shared" si="27"/>
        <v>0</v>
      </c>
      <c r="M150" s="41">
        <f t="shared" si="26"/>
        <v>0</v>
      </c>
    </row>
    <row r="151" spans="1:13" ht="16.5" thickTop="1" thickBot="1" x14ac:dyDescent="0.3">
      <c r="A151" s="5" t="s">
        <v>264</v>
      </c>
      <c r="B151" s="6">
        <v>87390</v>
      </c>
      <c r="C151" s="7" t="s">
        <v>23</v>
      </c>
      <c r="D151" s="39" t="s">
        <v>268</v>
      </c>
      <c r="E151" s="39">
        <v>46077</v>
      </c>
      <c r="F151" s="39" t="s">
        <v>13</v>
      </c>
      <c r="G151" s="9">
        <v>12751.2</v>
      </c>
      <c r="H151" s="10">
        <f t="shared" si="28"/>
        <v>13007.8</v>
      </c>
      <c r="I151" s="11">
        <v>25759</v>
      </c>
      <c r="J151" s="11">
        <f>VLOOKUP(A151,'Feb 26'!A:G,7,FALSE)</f>
        <v>12751.2</v>
      </c>
      <c r="K151" s="11">
        <f t="shared" si="29"/>
        <v>0</v>
      </c>
      <c r="L151" s="11">
        <f t="shared" si="27"/>
        <v>0</v>
      </c>
      <c r="M151" s="41">
        <f t="shared" si="26"/>
        <v>0</v>
      </c>
    </row>
    <row r="152" spans="1:13" ht="16.5" thickTop="1" thickBot="1" x14ac:dyDescent="0.3">
      <c r="A152" s="5" t="s">
        <v>326</v>
      </c>
      <c r="B152" s="6">
        <v>89398</v>
      </c>
      <c r="C152" s="7" t="s">
        <v>23</v>
      </c>
      <c r="D152" s="39" t="s">
        <v>324</v>
      </c>
      <c r="E152" s="39" t="s">
        <v>13</v>
      </c>
      <c r="F152" s="39" t="s">
        <v>13</v>
      </c>
      <c r="G152" s="9">
        <v>8052.66</v>
      </c>
      <c r="H152" s="10">
        <f t="shared" si="28"/>
        <v>8214.34</v>
      </c>
      <c r="I152" s="11">
        <v>16267</v>
      </c>
      <c r="J152" s="11">
        <f>VLOOKUP(A152,'Feb 26'!A:G,7,FALSE)</f>
        <v>8052.66</v>
      </c>
      <c r="K152" s="11">
        <f t="shared" si="29"/>
        <v>0</v>
      </c>
      <c r="L152" s="11">
        <f t="shared" si="27"/>
        <v>0</v>
      </c>
      <c r="M152" s="41">
        <f t="shared" si="26"/>
        <v>0</v>
      </c>
    </row>
    <row r="153" spans="1:13" ht="16.5" thickTop="1" thickBot="1" x14ac:dyDescent="0.3">
      <c r="A153" s="5" t="s">
        <v>160</v>
      </c>
      <c r="B153" s="6">
        <v>88001</v>
      </c>
      <c r="C153" s="7" t="s">
        <v>23</v>
      </c>
      <c r="D153" s="39">
        <v>45966</v>
      </c>
      <c r="E153" s="39">
        <v>46070</v>
      </c>
      <c r="F153" s="39" t="s">
        <v>13</v>
      </c>
      <c r="G153" s="9">
        <f>4514.4+3087.81</f>
        <v>7602.2099999999991</v>
      </c>
      <c r="H153" s="10">
        <f t="shared" si="28"/>
        <v>1516.7900000000009</v>
      </c>
      <c r="I153" s="11">
        <v>9119</v>
      </c>
      <c r="J153" s="11">
        <f>VLOOKUP(A153,'Feb 26'!A:G,7,FALSE)</f>
        <v>7602.2099999999991</v>
      </c>
      <c r="K153" s="11">
        <f t="shared" si="29"/>
        <v>0</v>
      </c>
      <c r="L153" s="11">
        <f t="shared" si="27"/>
        <v>0</v>
      </c>
      <c r="M153" s="41">
        <f t="shared" si="26"/>
        <v>0</v>
      </c>
    </row>
    <row r="154" spans="1:13" ht="16.5" thickTop="1" thickBot="1" x14ac:dyDescent="0.3">
      <c r="A154" s="5" t="s">
        <v>498</v>
      </c>
      <c r="B154" s="6">
        <v>89372</v>
      </c>
      <c r="C154" s="7" t="s">
        <v>57</v>
      </c>
      <c r="D154" s="39">
        <v>46099</v>
      </c>
      <c r="E154" s="39" t="s">
        <v>13</v>
      </c>
      <c r="F154" s="39"/>
      <c r="G154" s="9">
        <v>14007</v>
      </c>
      <c r="H154" s="10">
        <f t="shared" si="28"/>
        <v>14007</v>
      </c>
      <c r="I154" s="11">
        <v>28014</v>
      </c>
      <c r="J154" s="11"/>
      <c r="K154" s="11">
        <f t="shared" si="29"/>
        <v>0</v>
      </c>
      <c r="L154" s="11">
        <f t="shared" si="27"/>
        <v>14007</v>
      </c>
      <c r="M154" s="41">
        <f t="shared" si="26"/>
        <v>14007</v>
      </c>
    </row>
    <row r="155" spans="1:13" ht="16.5" thickTop="1" thickBot="1" x14ac:dyDescent="0.3">
      <c r="A155" s="5" t="s">
        <v>335</v>
      </c>
      <c r="B155" s="6">
        <v>89379</v>
      </c>
      <c r="C155" s="7" t="s">
        <v>57</v>
      </c>
      <c r="D155" s="39" t="s">
        <v>344</v>
      </c>
      <c r="E155" s="39">
        <v>46080</v>
      </c>
      <c r="F155" s="39">
        <v>46101</v>
      </c>
      <c r="G155" s="45"/>
      <c r="H155" s="10"/>
      <c r="I155" s="11"/>
      <c r="J155" s="11">
        <f>VLOOKUP(A155,'Feb 26'!A:G,7,FALSE)</f>
        <v>1130.58</v>
      </c>
      <c r="K155" s="11">
        <f t="shared" si="29"/>
        <v>1130.58</v>
      </c>
      <c r="L155" s="11" t="str">
        <f t="shared" si="27"/>
        <v>Invoiced this Month</v>
      </c>
      <c r="M155" s="41">
        <f t="shared" ref="M155:M157" si="30">-K155</f>
        <v>-1130.58</v>
      </c>
    </row>
    <row r="156" spans="1:13" ht="16.5" thickTop="1" thickBot="1" x14ac:dyDescent="0.3">
      <c r="A156" s="5" t="s">
        <v>225</v>
      </c>
      <c r="B156" s="6">
        <v>88670</v>
      </c>
      <c r="C156" s="7" t="s">
        <v>57</v>
      </c>
      <c r="D156" s="39" t="s">
        <v>243</v>
      </c>
      <c r="E156" s="39">
        <v>46069</v>
      </c>
      <c r="F156" s="39">
        <v>46097</v>
      </c>
      <c r="G156" s="45"/>
      <c r="H156" s="10"/>
      <c r="I156" s="11"/>
      <c r="J156" s="11">
        <f>VLOOKUP(A156,'Feb 26'!A:G,7,FALSE)</f>
        <v>8423</v>
      </c>
      <c r="K156" s="11">
        <f t="shared" si="29"/>
        <v>8423</v>
      </c>
      <c r="L156" s="11" t="str">
        <f t="shared" si="27"/>
        <v>Invoiced this Month</v>
      </c>
      <c r="M156" s="41">
        <f t="shared" si="30"/>
        <v>-8423</v>
      </c>
    </row>
    <row r="157" spans="1:13" ht="16.5" thickTop="1" thickBot="1" x14ac:dyDescent="0.3">
      <c r="A157" s="5" t="s">
        <v>162</v>
      </c>
      <c r="B157" s="6">
        <v>85711</v>
      </c>
      <c r="C157" s="7" t="s">
        <v>57</v>
      </c>
      <c r="D157" s="39">
        <v>45967</v>
      </c>
      <c r="E157" s="39">
        <v>46008</v>
      </c>
      <c r="F157" s="39">
        <v>46084</v>
      </c>
      <c r="G157" s="45"/>
      <c r="H157" s="10"/>
      <c r="I157" s="11"/>
      <c r="J157" s="11">
        <f>VLOOKUP(A157,'Feb 26'!A:G,7,FALSE)</f>
        <v>56739.87</v>
      </c>
      <c r="K157" s="11">
        <f t="shared" si="29"/>
        <v>56739.87</v>
      </c>
      <c r="L157" s="11" t="str">
        <f t="shared" si="27"/>
        <v>Invoiced this Month</v>
      </c>
      <c r="M157" s="41">
        <f t="shared" si="30"/>
        <v>-56739.87</v>
      </c>
    </row>
    <row r="158" spans="1:13" ht="16.5" thickTop="1" thickBot="1" x14ac:dyDescent="0.3">
      <c r="A158" s="5" t="s">
        <v>331</v>
      </c>
      <c r="B158" s="6">
        <v>89367</v>
      </c>
      <c r="C158" s="7" t="s">
        <v>57</v>
      </c>
      <c r="D158" s="39" t="s">
        <v>343</v>
      </c>
      <c r="E158" s="39" t="s">
        <v>13</v>
      </c>
      <c r="F158" s="39" t="s">
        <v>13</v>
      </c>
      <c r="G158" s="9">
        <v>105339.96</v>
      </c>
      <c r="H158" s="10">
        <f>I158-G158</f>
        <v>107468.04</v>
      </c>
      <c r="I158" s="11">
        <v>212808</v>
      </c>
      <c r="J158" s="11">
        <f>VLOOKUP(A158,'Feb 26'!A:G,7,FALSE)</f>
        <v>105339.96</v>
      </c>
      <c r="K158" s="11">
        <f t="shared" si="29"/>
        <v>0</v>
      </c>
      <c r="L158" s="11">
        <f t="shared" si="27"/>
        <v>0</v>
      </c>
      <c r="M158" s="41">
        <f t="shared" si="26"/>
        <v>0</v>
      </c>
    </row>
    <row r="159" spans="1:13" ht="16.5" thickTop="1" thickBot="1" x14ac:dyDescent="0.3">
      <c r="A159" s="5" t="s">
        <v>263</v>
      </c>
      <c r="B159" s="6">
        <v>88892</v>
      </c>
      <c r="C159" s="7" t="s">
        <v>57</v>
      </c>
      <c r="D159" s="39" t="s">
        <v>268</v>
      </c>
      <c r="E159" s="39">
        <v>46064</v>
      </c>
      <c r="F159" s="39">
        <v>46084</v>
      </c>
      <c r="G159" s="45"/>
      <c r="H159" s="10"/>
      <c r="I159" s="11"/>
      <c r="J159" s="11">
        <f>VLOOKUP(A159,'Feb 26'!A:G,7,FALSE)</f>
        <v>1058.31</v>
      </c>
      <c r="K159" s="11">
        <f t="shared" si="29"/>
        <v>1058.31</v>
      </c>
      <c r="L159" s="11" t="str">
        <f t="shared" si="27"/>
        <v>Invoiced this Month</v>
      </c>
      <c r="M159" s="41">
        <f>-K159</f>
        <v>-1058.31</v>
      </c>
    </row>
    <row r="160" spans="1:13" ht="16.5" thickTop="1" thickBot="1" x14ac:dyDescent="0.3">
      <c r="A160" s="5" t="s">
        <v>366</v>
      </c>
      <c r="B160" s="6">
        <v>89414</v>
      </c>
      <c r="C160" s="7" t="s">
        <v>57</v>
      </c>
      <c r="D160" s="39">
        <v>46090</v>
      </c>
      <c r="E160" s="39" t="s">
        <v>13</v>
      </c>
      <c r="F160" s="39"/>
      <c r="G160" s="9">
        <v>7799.22</v>
      </c>
      <c r="H160" s="10">
        <f t="shared" ref="H160:H168" si="31">I160-G160</f>
        <v>7956.78</v>
      </c>
      <c r="I160" s="11">
        <v>15756</v>
      </c>
      <c r="J160" s="11"/>
      <c r="K160" s="11">
        <f t="shared" si="29"/>
        <v>0</v>
      </c>
      <c r="L160" s="11">
        <f t="shared" si="27"/>
        <v>7799.22</v>
      </c>
      <c r="M160" s="41">
        <f t="shared" si="26"/>
        <v>7799.22</v>
      </c>
    </row>
    <row r="161" spans="1:13" ht="16.5" thickTop="1" thickBot="1" x14ac:dyDescent="0.3">
      <c r="A161" s="5" t="s">
        <v>109</v>
      </c>
      <c r="B161" s="6">
        <v>86334</v>
      </c>
      <c r="C161" s="7" t="s">
        <v>23</v>
      </c>
      <c r="D161" s="39">
        <v>45890</v>
      </c>
      <c r="E161" s="39" t="s">
        <v>13</v>
      </c>
      <c r="F161" s="39" t="s">
        <v>13</v>
      </c>
      <c r="G161" s="9">
        <f>5145-51.45</f>
        <v>5093.55</v>
      </c>
      <c r="H161" s="10">
        <f t="shared" si="31"/>
        <v>5195.45</v>
      </c>
      <c r="I161" s="11">
        <v>10289</v>
      </c>
      <c r="J161" s="11">
        <f>VLOOKUP(A161,'Feb 26'!A:G,7,FALSE)</f>
        <v>5093.55</v>
      </c>
      <c r="K161" s="11">
        <f t="shared" si="29"/>
        <v>0</v>
      </c>
      <c r="L161" s="11">
        <f t="shared" si="27"/>
        <v>0</v>
      </c>
      <c r="M161" s="41">
        <f t="shared" si="26"/>
        <v>0</v>
      </c>
    </row>
    <row r="162" spans="1:13" ht="16.5" thickTop="1" thickBot="1" x14ac:dyDescent="0.3">
      <c r="A162" s="5" t="s">
        <v>474</v>
      </c>
      <c r="B162" s="6">
        <v>89609</v>
      </c>
      <c r="C162" s="7" t="s">
        <v>20</v>
      </c>
      <c r="D162" s="39">
        <v>46094</v>
      </c>
      <c r="E162" s="39" t="s">
        <v>13</v>
      </c>
      <c r="F162" s="39"/>
      <c r="G162" s="9">
        <v>6258.05</v>
      </c>
      <c r="H162" s="10">
        <f t="shared" si="31"/>
        <v>6258.04</v>
      </c>
      <c r="I162" s="11">
        <v>12516.09</v>
      </c>
      <c r="J162" s="11"/>
      <c r="K162" s="11">
        <f t="shared" si="29"/>
        <v>0</v>
      </c>
      <c r="L162" s="11">
        <f t="shared" ref="L162:L196" si="32">IF(G162&gt;0,G162-J162,"Invoiced this Month")</f>
        <v>6258.05</v>
      </c>
      <c r="M162" s="41">
        <f t="shared" si="26"/>
        <v>6258.05</v>
      </c>
    </row>
    <row r="163" spans="1:13" ht="16.5" thickTop="1" thickBot="1" x14ac:dyDescent="0.3">
      <c r="A163" s="5" t="s">
        <v>341</v>
      </c>
      <c r="B163" s="6">
        <v>87599</v>
      </c>
      <c r="C163" s="7" t="s">
        <v>27</v>
      </c>
      <c r="D163" s="39" t="s">
        <v>347</v>
      </c>
      <c r="E163" s="39" t="s">
        <v>13</v>
      </c>
      <c r="F163" s="39" t="s">
        <v>13</v>
      </c>
      <c r="G163" s="9">
        <v>51424.45</v>
      </c>
      <c r="H163" s="10">
        <f t="shared" si="31"/>
        <v>73834.55</v>
      </c>
      <c r="I163" s="11">
        <v>125259</v>
      </c>
      <c r="J163" s="11">
        <f>VLOOKUP(A163,'Feb 26'!A:G,7,FALSE)</f>
        <v>51424.45</v>
      </c>
      <c r="K163" s="11">
        <f t="shared" si="29"/>
        <v>0</v>
      </c>
      <c r="L163" s="11">
        <f t="shared" si="32"/>
        <v>0</v>
      </c>
      <c r="M163" s="41">
        <f t="shared" si="26"/>
        <v>0</v>
      </c>
    </row>
    <row r="164" spans="1:13" ht="16.5" thickTop="1" thickBot="1" x14ac:dyDescent="0.3">
      <c r="A164" s="5" t="s">
        <v>191</v>
      </c>
      <c r="B164" s="6">
        <v>87232</v>
      </c>
      <c r="C164" s="7" t="s">
        <v>11</v>
      </c>
      <c r="D164" s="39" t="s">
        <v>196</v>
      </c>
      <c r="E164" s="39">
        <v>46048</v>
      </c>
      <c r="F164" s="39" t="s">
        <v>349</v>
      </c>
      <c r="G164" s="9">
        <f>23575+6065.5</f>
        <v>29640.5</v>
      </c>
      <c r="H164" s="10">
        <f t="shared" si="31"/>
        <v>20406.5</v>
      </c>
      <c r="I164" s="11">
        <v>50047</v>
      </c>
      <c r="J164" s="11">
        <f>VLOOKUP(A164,'Feb 26'!A:G,7,FALSE)</f>
        <v>29640.5</v>
      </c>
      <c r="K164" s="11">
        <f t="shared" si="29"/>
        <v>0</v>
      </c>
      <c r="L164" s="11">
        <f t="shared" si="32"/>
        <v>0</v>
      </c>
      <c r="M164" s="41">
        <f t="shared" si="26"/>
        <v>0</v>
      </c>
    </row>
    <row r="165" spans="1:13" ht="16.5" thickTop="1" thickBot="1" x14ac:dyDescent="0.3">
      <c r="A165" s="5" t="s">
        <v>110</v>
      </c>
      <c r="B165" s="6">
        <v>84075</v>
      </c>
      <c r="C165" s="7" t="s">
        <v>14</v>
      </c>
      <c r="D165" s="39">
        <v>45894</v>
      </c>
      <c r="E165" s="39" t="s">
        <v>13</v>
      </c>
      <c r="F165" s="39" t="s">
        <v>13</v>
      </c>
      <c r="G165" s="9">
        <v>13567</v>
      </c>
      <c r="H165" s="10">
        <f t="shared" si="31"/>
        <v>13566</v>
      </c>
      <c r="I165" s="11">
        <v>27133</v>
      </c>
      <c r="J165" s="11">
        <f>VLOOKUP(A165,'Feb 26'!A:G,7,FALSE)</f>
        <v>13567</v>
      </c>
      <c r="K165" s="11">
        <f t="shared" si="29"/>
        <v>0</v>
      </c>
      <c r="L165" s="11">
        <f t="shared" si="32"/>
        <v>0</v>
      </c>
      <c r="M165" s="41">
        <f t="shared" si="26"/>
        <v>0</v>
      </c>
    </row>
    <row r="166" spans="1:13" ht="16.5" thickTop="1" thickBot="1" x14ac:dyDescent="0.3">
      <c r="A166" s="5" t="s">
        <v>97</v>
      </c>
      <c r="B166" s="6">
        <v>84726</v>
      </c>
      <c r="C166" s="7" t="s">
        <v>14</v>
      </c>
      <c r="D166" s="39">
        <v>45845</v>
      </c>
      <c r="E166" s="39" t="s">
        <v>13</v>
      </c>
      <c r="F166" s="39" t="s">
        <v>13</v>
      </c>
      <c r="G166" s="9">
        <v>231351</v>
      </c>
      <c r="H166" s="10">
        <f t="shared" si="31"/>
        <v>231350</v>
      </c>
      <c r="I166" s="11">
        <v>462701</v>
      </c>
      <c r="J166" s="11">
        <f>VLOOKUP(A166,'Feb 26'!A:G,7,FALSE)</f>
        <v>231351</v>
      </c>
      <c r="K166" s="11">
        <f t="shared" si="29"/>
        <v>0</v>
      </c>
      <c r="L166" s="11">
        <f t="shared" si="32"/>
        <v>0</v>
      </c>
      <c r="M166" s="41">
        <f t="shared" si="26"/>
        <v>0</v>
      </c>
    </row>
    <row r="167" spans="1:13" ht="16.5" thickTop="1" thickBot="1" x14ac:dyDescent="0.3">
      <c r="A167" s="5" t="s">
        <v>96</v>
      </c>
      <c r="B167" s="6">
        <v>84719</v>
      </c>
      <c r="C167" s="7" t="s">
        <v>14</v>
      </c>
      <c r="D167" s="39">
        <v>45845</v>
      </c>
      <c r="E167" s="39" t="s">
        <v>13</v>
      </c>
      <c r="F167" s="39" t="s">
        <v>13</v>
      </c>
      <c r="G167" s="9">
        <v>416603</v>
      </c>
      <c r="H167" s="10">
        <f t="shared" si="31"/>
        <v>416602</v>
      </c>
      <c r="I167" s="11">
        <v>833205</v>
      </c>
      <c r="J167" s="11">
        <f>VLOOKUP(A167,'Feb 26'!A:G,7,FALSE)</f>
        <v>416603</v>
      </c>
      <c r="K167" s="11">
        <f t="shared" si="29"/>
        <v>0</v>
      </c>
      <c r="L167" s="11">
        <f t="shared" si="32"/>
        <v>0</v>
      </c>
      <c r="M167" s="41">
        <f t="shared" si="26"/>
        <v>0</v>
      </c>
    </row>
    <row r="168" spans="1:13" ht="16.5" thickTop="1" thickBot="1" x14ac:dyDescent="0.3">
      <c r="A168" s="5" t="s">
        <v>261</v>
      </c>
      <c r="B168" s="6">
        <v>88206</v>
      </c>
      <c r="C168" s="7" t="s">
        <v>14</v>
      </c>
      <c r="D168" s="39" t="s">
        <v>267</v>
      </c>
      <c r="E168" s="39" t="s">
        <v>13</v>
      </c>
      <c r="F168" s="39" t="s">
        <v>13</v>
      </c>
      <c r="G168" s="9">
        <v>42008</v>
      </c>
      <c r="H168" s="10">
        <f t="shared" si="31"/>
        <v>42008</v>
      </c>
      <c r="I168" s="11">
        <v>84016</v>
      </c>
      <c r="J168" s="11">
        <f>VLOOKUP(A168,'Feb 26'!A:G,7,FALSE)</f>
        <v>42008</v>
      </c>
      <c r="K168" s="11">
        <f t="shared" si="29"/>
        <v>0</v>
      </c>
      <c r="L168" s="11">
        <f t="shared" si="32"/>
        <v>0</v>
      </c>
      <c r="M168" s="41">
        <f t="shared" si="26"/>
        <v>0</v>
      </c>
    </row>
    <row r="169" spans="1:13" ht="16.5" thickTop="1" thickBot="1" x14ac:dyDescent="0.3">
      <c r="A169" s="5" t="s">
        <v>271</v>
      </c>
      <c r="B169" s="6">
        <v>89139</v>
      </c>
      <c r="C169" s="7" t="s">
        <v>20</v>
      </c>
      <c r="D169" s="39">
        <v>46055</v>
      </c>
      <c r="E169" s="39" t="s">
        <v>13</v>
      </c>
      <c r="F169" s="39">
        <v>46106</v>
      </c>
      <c r="G169" s="45"/>
      <c r="H169" s="56"/>
      <c r="I169" s="57"/>
      <c r="J169" s="11">
        <f>VLOOKUP(A169,'Feb 26'!A:G,7,FALSE)</f>
        <v>24500</v>
      </c>
      <c r="K169" s="11">
        <f t="shared" si="29"/>
        <v>24500</v>
      </c>
      <c r="L169" s="11" t="str">
        <f t="shared" si="32"/>
        <v>Invoiced this Month</v>
      </c>
      <c r="M169" s="41">
        <f>-K169</f>
        <v>-24500</v>
      </c>
    </row>
    <row r="170" spans="1:13" ht="16.5" thickTop="1" thickBot="1" x14ac:dyDescent="0.3">
      <c r="A170" s="5" t="s">
        <v>277</v>
      </c>
      <c r="B170" s="6">
        <v>89065</v>
      </c>
      <c r="C170" s="7" t="s">
        <v>32</v>
      </c>
      <c r="D170" s="39">
        <v>46062</v>
      </c>
      <c r="E170" s="39" t="s">
        <v>13</v>
      </c>
      <c r="F170" s="39" t="s">
        <v>13</v>
      </c>
      <c r="G170" s="19">
        <v>33289</v>
      </c>
      <c r="H170" s="56">
        <f t="shared" ref="H170:H178" si="33">I170-G170</f>
        <v>0</v>
      </c>
      <c r="I170" s="11">
        <v>33289</v>
      </c>
      <c r="J170" s="11">
        <f>VLOOKUP(A170,'Feb 26'!A:G,7,FALSE)</f>
        <v>33289</v>
      </c>
      <c r="K170" s="11">
        <f t="shared" si="29"/>
        <v>0</v>
      </c>
      <c r="L170" s="11">
        <f t="shared" si="32"/>
        <v>0</v>
      </c>
      <c r="M170" s="41">
        <f t="shared" si="26"/>
        <v>0</v>
      </c>
    </row>
    <row r="171" spans="1:13" ht="16.5" thickTop="1" thickBot="1" x14ac:dyDescent="0.3">
      <c r="A171" s="5" t="s">
        <v>240</v>
      </c>
      <c r="B171" s="6">
        <v>86373</v>
      </c>
      <c r="C171" s="7" t="s">
        <v>39</v>
      </c>
      <c r="D171" s="39" t="s">
        <v>252</v>
      </c>
      <c r="E171" s="39" t="s">
        <v>13</v>
      </c>
      <c r="F171" s="39" t="s">
        <v>13</v>
      </c>
      <c r="G171" s="19">
        <f>12125+12125</f>
        <v>24250</v>
      </c>
      <c r="H171" s="10">
        <f t="shared" si="33"/>
        <v>0</v>
      </c>
      <c r="I171" s="11">
        <v>24250</v>
      </c>
      <c r="J171" s="11">
        <f>VLOOKUP(A171,'Feb 26'!A:G,7,FALSE)</f>
        <v>24250</v>
      </c>
      <c r="K171" s="11">
        <f t="shared" si="29"/>
        <v>0</v>
      </c>
      <c r="L171" s="11">
        <f t="shared" si="32"/>
        <v>0</v>
      </c>
      <c r="M171" s="41">
        <f t="shared" si="26"/>
        <v>0</v>
      </c>
    </row>
    <row r="172" spans="1:13" ht="16.5" thickTop="1" thickBot="1" x14ac:dyDescent="0.3">
      <c r="A172" s="5" t="s">
        <v>285</v>
      </c>
      <c r="B172" s="6">
        <v>85509</v>
      </c>
      <c r="C172" s="7" t="s">
        <v>67</v>
      </c>
      <c r="D172" s="39" t="s">
        <v>291</v>
      </c>
      <c r="E172" s="39" t="s">
        <v>13</v>
      </c>
      <c r="F172" s="39" t="s">
        <v>13</v>
      </c>
      <c r="G172" s="9">
        <v>8442</v>
      </c>
      <c r="H172" s="10">
        <f t="shared" si="33"/>
        <v>8443</v>
      </c>
      <c r="I172" s="11">
        <v>16885</v>
      </c>
      <c r="J172" s="11">
        <f>VLOOKUP(A172,'Feb 26'!A:G,7,FALSE)</f>
        <v>8442</v>
      </c>
      <c r="K172" s="11">
        <f t="shared" si="29"/>
        <v>0</v>
      </c>
      <c r="L172" s="11">
        <f t="shared" si="32"/>
        <v>0</v>
      </c>
      <c r="M172" s="41">
        <f t="shared" si="26"/>
        <v>0</v>
      </c>
    </row>
    <row r="173" spans="1:13" ht="16.5" thickTop="1" thickBot="1" x14ac:dyDescent="0.3">
      <c r="A173" s="5" t="s">
        <v>513</v>
      </c>
      <c r="B173" s="6">
        <v>86157</v>
      </c>
      <c r="C173" s="7" t="s">
        <v>23</v>
      </c>
      <c r="D173" s="39">
        <v>46101</v>
      </c>
      <c r="E173" s="39" t="s">
        <v>13</v>
      </c>
      <c r="F173" s="39"/>
      <c r="G173" s="9">
        <v>255026</v>
      </c>
      <c r="H173" s="10">
        <f t="shared" si="33"/>
        <v>255025</v>
      </c>
      <c r="I173" s="11">
        <v>510051</v>
      </c>
      <c r="J173" s="11"/>
      <c r="K173" s="11">
        <f t="shared" si="29"/>
        <v>0</v>
      </c>
      <c r="L173" s="11">
        <f t="shared" si="32"/>
        <v>255026</v>
      </c>
      <c r="M173" s="41">
        <f t="shared" si="26"/>
        <v>255026</v>
      </c>
    </row>
    <row r="174" spans="1:13" ht="16.5" thickTop="1" thickBot="1" x14ac:dyDescent="0.3">
      <c r="A174" s="5" t="s">
        <v>233</v>
      </c>
      <c r="B174" s="6">
        <v>86089</v>
      </c>
      <c r="C174" s="7" t="s">
        <v>23</v>
      </c>
      <c r="D174" s="39" t="s">
        <v>248</v>
      </c>
      <c r="E174" s="39" t="s">
        <v>13</v>
      </c>
      <c r="F174" s="39" t="s">
        <v>13</v>
      </c>
      <c r="G174" s="9">
        <v>416889.25</v>
      </c>
      <c r="H174" s="10">
        <f t="shared" si="33"/>
        <v>412013.75</v>
      </c>
      <c r="I174" s="11">
        <v>828903</v>
      </c>
      <c r="J174" s="11">
        <f>VLOOKUP(A174,'Feb 26'!A:G,7,FALSE)</f>
        <v>204790</v>
      </c>
      <c r="K174" s="11">
        <f t="shared" si="29"/>
        <v>0</v>
      </c>
      <c r="L174" s="11">
        <f t="shared" si="32"/>
        <v>212099.25</v>
      </c>
      <c r="M174" s="41">
        <f t="shared" si="26"/>
        <v>212099.25</v>
      </c>
    </row>
    <row r="175" spans="1:13" ht="16.5" thickTop="1" thickBot="1" x14ac:dyDescent="0.3">
      <c r="A175" s="5" t="s">
        <v>289</v>
      </c>
      <c r="B175" s="6">
        <v>87805</v>
      </c>
      <c r="C175" s="7" t="s">
        <v>33</v>
      </c>
      <c r="D175" s="39" t="s">
        <v>293</v>
      </c>
      <c r="E175" s="39" t="s">
        <v>13</v>
      </c>
      <c r="F175" s="39" t="s">
        <v>13</v>
      </c>
      <c r="G175" s="9">
        <v>3646</v>
      </c>
      <c r="H175" s="56">
        <f t="shared" si="33"/>
        <v>13048</v>
      </c>
      <c r="I175" s="11">
        <v>16694</v>
      </c>
      <c r="J175" s="11">
        <f>VLOOKUP(A175,'Feb 26'!A:G,7,FALSE)</f>
        <v>3646</v>
      </c>
      <c r="K175" s="11">
        <f t="shared" si="29"/>
        <v>0</v>
      </c>
      <c r="L175" s="11">
        <f t="shared" si="32"/>
        <v>0</v>
      </c>
      <c r="M175" s="41">
        <f t="shared" si="26"/>
        <v>0</v>
      </c>
    </row>
    <row r="176" spans="1:13" ht="16.5" thickTop="1" thickBot="1" x14ac:dyDescent="0.3">
      <c r="A176" s="5" t="s">
        <v>379</v>
      </c>
      <c r="B176" s="6">
        <v>89201</v>
      </c>
      <c r="C176" s="7" t="s">
        <v>57</v>
      </c>
      <c r="D176" s="39">
        <v>46093</v>
      </c>
      <c r="E176" s="39" t="s">
        <v>13</v>
      </c>
      <c r="F176" s="39"/>
      <c r="G176" s="9">
        <v>29243</v>
      </c>
      <c r="H176" s="10">
        <f t="shared" si="33"/>
        <v>41380</v>
      </c>
      <c r="I176" s="11">
        <v>70623</v>
      </c>
      <c r="J176" s="11"/>
      <c r="K176" s="11">
        <f t="shared" si="29"/>
        <v>0</v>
      </c>
      <c r="L176" s="11">
        <f t="shared" si="32"/>
        <v>29243</v>
      </c>
      <c r="M176" s="41">
        <f t="shared" si="26"/>
        <v>29243</v>
      </c>
    </row>
    <row r="177" spans="1:13" ht="16.5" thickTop="1" thickBot="1" x14ac:dyDescent="0.3">
      <c r="A177" s="5" t="s">
        <v>279</v>
      </c>
      <c r="B177" s="6">
        <v>88322</v>
      </c>
      <c r="C177" s="7" t="s">
        <v>32</v>
      </c>
      <c r="D177" s="39">
        <v>46062</v>
      </c>
      <c r="E177" s="39" t="s">
        <v>13</v>
      </c>
      <c r="F177" s="39" t="s">
        <v>13</v>
      </c>
      <c r="G177" s="9">
        <v>11708</v>
      </c>
      <c r="H177" s="10">
        <f t="shared" si="33"/>
        <v>11707</v>
      </c>
      <c r="I177" s="11">
        <v>23415</v>
      </c>
      <c r="J177" s="11">
        <f>VLOOKUP(A177,'Feb 26'!A:G,7,FALSE)</f>
        <v>11708</v>
      </c>
      <c r="K177" s="11">
        <f t="shared" si="29"/>
        <v>0</v>
      </c>
      <c r="L177" s="11">
        <f t="shared" si="32"/>
        <v>0</v>
      </c>
      <c r="M177" s="41">
        <f t="shared" si="26"/>
        <v>0</v>
      </c>
    </row>
    <row r="178" spans="1:13" ht="16.5" thickTop="1" thickBot="1" x14ac:dyDescent="0.3">
      <c r="A178" s="5" t="s">
        <v>236</v>
      </c>
      <c r="B178" s="6">
        <v>88403</v>
      </c>
      <c r="C178" s="7" t="s">
        <v>255</v>
      </c>
      <c r="D178" s="39" t="s">
        <v>249</v>
      </c>
      <c r="E178" s="39">
        <v>46066</v>
      </c>
      <c r="F178" s="39" t="s">
        <v>13</v>
      </c>
      <c r="G178" s="9">
        <v>8650</v>
      </c>
      <c r="H178" s="10">
        <f t="shared" si="33"/>
        <v>8650</v>
      </c>
      <c r="I178" s="11">
        <v>17300</v>
      </c>
      <c r="J178" s="11">
        <f>VLOOKUP(A178,'Feb 26'!A:G,7,FALSE)</f>
        <v>8650</v>
      </c>
      <c r="K178" s="11">
        <f t="shared" si="29"/>
        <v>0</v>
      </c>
      <c r="L178" s="11">
        <f t="shared" si="32"/>
        <v>0</v>
      </c>
      <c r="M178" s="41">
        <f t="shared" si="26"/>
        <v>0</v>
      </c>
    </row>
    <row r="179" spans="1:13" ht="16.5" thickTop="1" thickBot="1" x14ac:dyDescent="0.3">
      <c r="A179" s="12" t="s">
        <v>49</v>
      </c>
      <c r="B179" s="13">
        <v>73738</v>
      </c>
      <c r="C179" s="14" t="s">
        <v>40</v>
      </c>
      <c r="D179" s="15" t="s">
        <v>50</v>
      </c>
      <c r="E179" s="15" t="s">
        <v>494</v>
      </c>
      <c r="F179" s="40">
        <v>46106</v>
      </c>
      <c r="G179" s="45"/>
      <c r="H179" s="17"/>
      <c r="I179" s="18"/>
      <c r="J179" s="18">
        <f>VLOOKUP(A179,'Feb 26'!A:G,7,FALSE)</f>
        <v>30878</v>
      </c>
      <c r="K179" s="18">
        <f t="shared" ref="K179:K196" si="34">IF(G179=0,J179-G179,0)</f>
        <v>30878</v>
      </c>
      <c r="L179" s="18" t="str">
        <f t="shared" si="32"/>
        <v>Invoiced this Month</v>
      </c>
      <c r="M179" s="41">
        <f>-K179</f>
        <v>-30878</v>
      </c>
    </row>
    <row r="180" spans="1:13" ht="16.5" thickTop="1" thickBot="1" x14ac:dyDescent="0.3">
      <c r="A180" s="5" t="s">
        <v>94</v>
      </c>
      <c r="B180" s="6">
        <v>85860</v>
      </c>
      <c r="C180" s="7" t="s">
        <v>38</v>
      </c>
      <c r="D180" s="39">
        <v>45826</v>
      </c>
      <c r="E180" s="39" t="s">
        <v>13</v>
      </c>
      <c r="F180" s="39" t="s">
        <v>13</v>
      </c>
      <c r="G180" s="9">
        <v>68221</v>
      </c>
      <c r="H180" s="10">
        <f>I180-G180</f>
        <v>75946</v>
      </c>
      <c r="I180" s="11">
        <v>144167</v>
      </c>
      <c r="J180" s="11">
        <f>VLOOKUP(A180,'Feb 26'!A:G,7,FALSE)</f>
        <v>68221</v>
      </c>
      <c r="K180" s="11">
        <f t="shared" si="34"/>
        <v>0</v>
      </c>
      <c r="L180" s="11">
        <f t="shared" si="32"/>
        <v>0</v>
      </c>
      <c r="M180" s="41">
        <f t="shared" si="26"/>
        <v>0</v>
      </c>
    </row>
    <row r="181" spans="1:13" ht="16.5" thickTop="1" thickBot="1" x14ac:dyDescent="0.3">
      <c r="A181" s="5" t="s">
        <v>276</v>
      </c>
      <c r="B181" s="6">
        <v>88397</v>
      </c>
      <c r="C181" s="7" t="s">
        <v>19</v>
      </c>
      <c r="D181" s="39">
        <v>46062</v>
      </c>
      <c r="E181" s="39" t="s">
        <v>13</v>
      </c>
      <c r="F181" s="39" t="s">
        <v>13</v>
      </c>
      <c r="G181" s="9">
        <v>59154.25</v>
      </c>
      <c r="H181" s="10">
        <f>I181-G181</f>
        <v>181512.75</v>
      </c>
      <c r="I181" s="57">
        <v>240667</v>
      </c>
      <c r="J181" s="11">
        <f>VLOOKUP(A181,'Feb 26'!A:G,7,FALSE)</f>
        <v>59154.25</v>
      </c>
      <c r="K181" s="11">
        <f t="shared" si="34"/>
        <v>0</v>
      </c>
      <c r="L181" s="11">
        <f t="shared" si="32"/>
        <v>0</v>
      </c>
      <c r="M181" s="41">
        <f t="shared" si="26"/>
        <v>0</v>
      </c>
    </row>
    <row r="182" spans="1:13" ht="16.5" thickTop="1" thickBot="1" x14ac:dyDescent="0.3">
      <c r="A182" s="5" t="s">
        <v>190</v>
      </c>
      <c r="B182" s="6">
        <v>84246</v>
      </c>
      <c r="C182" s="7" t="s">
        <v>21</v>
      </c>
      <c r="D182" s="39" t="s">
        <v>195</v>
      </c>
      <c r="E182" s="39" t="s">
        <v>13</v>
      </c>
      <c r="F182" s="39" t="s">
        <v>13</v>
      </c>
      <c r="G182" s="9">
        <v>17115</v>
      </c>
      <c r="H182" s="10">
        <f>I182-G182</f>
        <v>17115</v>
      </c>
      <c r="I182" s="11">
        <v>34230</v>
      </c>
      <c r="J182" s="11">
        <f>VLOOKUP(A182,'Feb 26'!A:G,7,FALSE)</f>
        <v>17115</v>
      </c>
      <c r="K182" s="11">
        <f t="shared" si="34"/>
        <v>0</v>
      </c>
      <c r="L182" s="11">
        <f t="shared" si="32"/>
        <v>0</v>
      </c>
      <c r="M182" s="41">
        <f t="shared" si="26"/>
        <v>0</v>
      </c>
    </row>
    <row r="183" spans="1:13" ht="16.5" thickTop="1" thickBot="1" x14ac:dyDescent="0.3">
      <c r="A183" s="5" t="s">
        <v>260</v>
      </c>
      <c r="B183" s="6">
        <v>88889</v>
      </c>
      <c r="C183" s="7" t="s">
        <v>11</v>
      </c>
      <c r="D183" s="39" t="s">
        <v>267</v>
      </c>
      <c r="E183" s="39">
        <v>46063</v>
      </c>
      <c r="F183" s="39">
        <v>46083</v>
      </c>
      <c r="G183" s="45"/>
      <c r="H183" s="10"/>
      <c r="I183" s="11"/>
      <c r="J183" s="11">
        <f>VLOOKUP(A183,'Feb 26'!A:G,7,FALSE)</f>
        <v>4060</v>
      </c>
      <c r="K183" s="11">
        <f t="shared" si="34"/>
        <v>4060</v>
      </c>
      <c r="L183" s="11" t="str">
        <f t="shared" si="32"/>
        <v>Invoiced this Month</v>
      </c>
      <c r="M183" s="41">
        <f>-K183</f>
        <v>-4060</v>
      </c>
    </row>
    <row r="184" spans="1:13" ht="16.5" thickTop="1" thickBot="1" x14ac:dyDescent="0.3">
      <c r="A184" s="5" t="s">
        <v>100</v>
      </c>
      <c r="B184" s="6">
        <v>84221</v>
      </c>
      <c r="C184" s="7" t="s">
        <v>58</v>
      </c>
      <c r="D184" s="39">
        <v>45863</v>
      </c>
      <c r="E184" s="39" t="s">
        <v>13</v>
      </c>
      <c r="F184" s="39" t="s">
        <v>13</v>
      </c>
      <c r="G184" s="9">
        <v>68175</v>
      </c>
      <c r="H184" s="10">
        <f>I184-G184</f>
        <v>196483</v>
      </c>
      <c r="I184" s="57">
        <v>264658</v>
      </c>
      <c r="J184" s="11">
        <f>VLOOKUP(A184,'Feb 26'!A:G,7,FALSE)</f>
        <v>68175</v>
      </c>
      <c r="K184" s="11">
        <f t="shared" si="34"/>
        <v>0</v>
      </c>
      <c r="L184" s="11">
        <f t="shared" si="32"/>
        <v>0</v>
      </c>
      <c r="M184" s="41">
        <f t="shared" si="26"/>
        <v>0</v>
      </c>
    </row>
    <row r="185" spans="1:13" ht="16.5" thickTop="1" thickBot="1" x14ac:dyDescent="0.3">
      <c r="A185" s="5" t="s">
        <v>325</v>
      </c>
      <c r="B185" s="6">
        <v>87450</v>
      </c>
      <c r="C185" s="7" t="s">
        <v>327</v>
      </c>
      <c r="D185" s="39" t="s">
        <v>324</v>
      </c>
      <c r="E185" s="39" t="s">
        <v>13</v>
      </c>
      <c r="F185" s="39" t="s">
        <v>13</v>
      </c>
      <c r="G185" s="9">
        <v>9898</v>
      </c>
      <c r="H185" s="10">
        <f>I185-G185</f>
        <v>29693</v>
      </c>
      <c r="I185" s="11">
        <v>39591</v>
      </c>
      <c r="J185" s="11">
        <f>VLOOKUP(A185,'Feb 26'!A:G,7,FALSE)</f>
        <v>9898</v>
      </c>
      <c r="K185" s="11">
        <f t="shared" si="34"/>
        <v>0</v>
      </c>
      <c r="L185" s="11">
        <f t="shared" si="32"/>
        <v>0</v>
      </c>
      <c r="M185" s="41">
        <f t="shared" si="26"/>
        <v>0</v>
      </c>
    </row>
    <row r="186" spans="1:13" ht="16.5" thickTop="1" thickBot="1" x14ac:dyDescent="0.3">
      <c r="A186" s="5" t="s">
        <v>232</v>
      </c>
      <c r="B186" s="6">
        <v>88448</v>
      </c>
      <c r="C186" s="7" t="s">
        <v>21</v>
      </c>
      <c r="D186" s="39" t="s">
        <v>247</v>
      </c>
      <c r="E186" s="39">
        <v>46080</v>
      </c>
      <c r="F186" s="39" t="s">
        <v>13</v>
      </c>
      <c r="G186" s="9">
        <v>37830</v>
      </c>
      <c r="H186" s="10">
        <f>I186-G186</f>
        <v>42288</v>
      </c>
      <c r="I186" s="11">
        <v>80118</v>
      </c>
      <c r="J186" s="11">
        <f>VLOOKUP(A186,'Feb 26'!A:G,7,FALSE)</f>
        <v>37830</v>
      </c>
      <c r="K186" s="11">
        <f t="shared" si="34"/>
        <v>0</v>
      </c>
      <c r="L186" s="11">
        <f t="shared" si="32"/>
        <v>0</v>
      </c>
      <c r="M186" s="41">
        <f t="shared" si="26"/>
        <v>0</v>
      </c>
    </row>
    <row r="187" spans="1:13" ht="16.5" thickTop="1" thickBot="1" x14ac:dyDescent="0.3">
      <c r="A187" s="5" t="s">
        <v>320</v>
      </c>
      <c r="B187" s="6">
        <v>89119</v>
      </c>
      <c r="C187" s="7" t="s">
        <v>21</v>
      </c>
      <c r="D187" s="39" t="s">
        <v>319</v>
      </c>
      <c r="E187" s="39" t="s">
        <v>13</v>
      </c>
      <c r="F187" s="39">
        <v>46112</v>
      </c>
      <c r="G187" s="45"/>
      <c r="H187" s="10"/>
      <c r="I187" s="11"/>
      <c r="J187" s="11">
        <f>VLOOKUP(A187,'Feb 26'!A:G,7,FALSE)</f>
        <v>4158</v>
      </c>
      <c r="K187" s="11">
        <f t="shared" si="34"/>
        <v>4158</v>
      </c>
      <c r="L187" s="11" t="str">
        <f t="shared" si="32"/>
        <v>Invoiced this Month</v>
      </c>
      <c r="M187" s="41">
        <f>-K187</f>
        <v>-4158</v>
      </c>
    </row>
    <row r="188" spans="1:13" ht="16.5" thickTop="1" thickBot="1" x14ac:dyDescent="0.3">
      <c r="A188" s="5" t="s">
        <v>342</v>
      </c>
      <c r="B188" s="6">
        <v>89263</v>
      </c>
      <c r="C188" s="7" t="s">
        <v>21</v>
      </c>
      <c r="D188" s="39" t="s">
        <v>347</v>
      </c>
      <c r="E188" s="39" t="s">
        <v>13</v>
      </c>
      <c r="F188" s="39" t="s">
        <v>13</v>
      </c>
      <c r="G188" s="9">
        <v>2398</v>
      </c>
      <c r="H188" s="10">
        <f>I188-G188</f>
        <v>2398</v>
      </c>
      <c r="I188" s="11">
        <v>4796</v>
      </c>
      <c r="J188" s="11">
        <f>VLOOKUP(A188,'Feb 26'!A:G,7,FALSE)</f>
        <v>2398</v>
      </c>
      <c r="K188" s="11">
        <f t="shared" si="34"/>
        <v>0</v>
      </c>
      <c r="L188" s="11">
        <f t="shared" si="32"/>
        <v>0</v>
      </c>
      <c r="M188" s="41">
        <f t="shared" si="26"/>
        <v>0</v>
      </c>
    </row>
    <row r="189" spans="1:13" ht="16.5" thickTop="1" thickBot="1" x14ac:dyDescent="0.3">
      <c r="A189" s="5" t="s">
        <v>333</v>
      </c>
      <c r="B189" s="6">
        <v>86704</v>
      </c>
      <c r="C189" s="7" t="s">
        <v>33</v>
      </c>
      <c r="D189" s="39" t="s">
        <v>343</v>
      </c>
      <c r="E189" s="39" t="s">
        <v>13</v>
      </c>
      <c r="F189" s="39" t="s">
        <v>13</v>
      </c>
      <c r="G189" s="9">
        <v>90025</v>
      </c>
      <c r="H189" s="56">
        <f>I189-G189</f>
        <v>90024</v>
      </c>
      <c r="I189" s="11">
        <v>180049</v>
      </c>
      <c r="J189" s="11">
        <f>VLOOKUP(A189,'Feb 26'!A:G,7,FALSE)</f>
        <v>90025</v>
      </c>
      <c r="K189" s="11">
        <f t="shared" si="34"/>
        <v>0</v>
      </c>
      <c r="L189" s="11">
        <f t="shared" si="32"/>
        <v>0</v>
      </c>
      <c r="M189" s="41">
        <f t="shared" si="26"/>
        <v>0</v>
      </c>
    </row>
    <row r="190" spans="1:13" ht="16.5" thickTop="1" thickBot="1" x14ac:dyDescent="0.3">
      <c r="A190" s="5" t="s">
        <v>228</v>
      </c>
      <c r="B190" s="6">
        <v>83501</v>
      </c>
      <c r="C190" s="7" t="s">
        <v>27</v>
      </c>
      <c r="D190" s="39" t="s">
        <v>244</v>
      </c>
      <c r="E190" s="39" t="s">
        <v>13</v>
      </c>
      <c r="F190" s="39" t="s">
        <v>13</v>
      </c>
      <c r="G190" s="9">
        <v>17221</v>
      </c>
      <c r="H190" s="10">
        <f>I190-G190</f>
        <v>17220</v>
      </c>
      <c r="I190" s="11">
        <v>34441</v>
      </c>
      <c r="J190" s="11">
        <f>VLOOKUP(A190,'Feb 26'!A:G,7,FALSE)</f>
        <v>17221</v>
      </c>
      <c r="K190" s="11">
        <f t="shared" si="34"/>
        <v>0</v>
      </c>
      <c r="L190" s="11">
        <f t="shared" si="32"/>
        <v>0</v>
      </c>
      <c r="M190" s="41">
        <f t="shared" si="26"/>
        <v>0</v>
      </c>
    </row>
    <row r="191" spans="1:13" ht="16.5" thickTop="1" thickBot="1" x14ac:dyDescent="0.3">
      <c r="A191" s="5" t="s">
        <v>111</v>
      </c>
      <c r="B191" s="6">
        <v>82413</v>
      </c>
      <c r="C191" s="7" t="s">
        <v>27</v>
      </c>
      <c r="D191" s="39" t="s">
        <v>113</v>
      </c>
      <c r="E191" s="39" t="s">
        <v>13</v>
      </c>
      <c r="F191" s="39" t="s">
        <v>13</v>
      </c>
      <c r="G191" s="9">
        <v>16601</v>
      </c>
      <c r="H191" s="10">
        <f>35982.68-16601</f>
        <v>19381.68</v>
      </c>
      <c r="I191" s="11">
        <f>G191+H191</f>
        <v>35982.68</v>
      </c>
      <c r="J191" s="11">
        <f>VLOOKUP(A191,'Feb 26'!A:G,7,FALSE)</f>
        <v>16601</v>
      </c>
      <c r="K191" s="11">
        <f t="shared" si="34"/>
        <v>0</v>
      </c>
      <c r="L191" s="11">
        <f t="shared" si="32"/>
        <v>0</v>
      </c>
      <c r="M191" s="41">
        <f t="shared" si="26"/>
        <v>0</v>
      </c>
    </row>
    <row r="192" spans="1:13" ht="16.5" thickTop="1" thickBot="1" x14ac:dyDescent="0.3">
      <c r="A192" s="5" t="s">
        <v>116</v>
      </c>
      <c r="B192" s="6">
        <v>86496</v>
      </c>
      <c r="C192" s="7" t="s">
        <v>62</v>
      </c>
      <c r="D192" s="39">
        <v>45903</v>
      </c>
      <c r="E192" s="39">
        <v>46055</v>
      </c>
      <c r="F192" s="39" t="s">
        <v>13</v>
      </c>
      <c r="G192" s="9">
        <v>52666</v>
      </c>
      <c r="H192" s="56">
        <f>I192-G192</f>
        <v>52666</v>
      </c>
      <c r="I192" s="57">
        <v>105332</v>
      </c>
      <c r="J192" s="11">
        <f>VLOOKUP(A192,'Feb 26'!A:G,7,FALSE)</f>
        <v>52666</v>
      </c>
      <c r="K192" s="11">
        <f t="shared" si="34"/>
        <v>0</v>
      </c>
      <c r="L192" s="11">
        <f t="shared" si="32"/>
        <v>0</v>
      </c>
      <c r="M192" s="41">
        <f t="shared" si="26"/>
        <v>0</v>
      </c>
    </row>
    <row r="193" spans="1:13" ht="16.5" thickTop="1" thickBot="1" x14ac:dyDescent="0.3">
      <c r="A193" s="5" t="s">
        <v>207</v>
      </c>
      <c r="B193" s="6">
        <v>88423</v>
      </c>
      <c r="C193" s="7" t="s">
        <v>32</v>
      </c>
      <c r="D193" s="39" t="s">
        <v>211</v>
      </c>
      <c r="E193" s="39">
        <v>46056</v>
      </c>
      <c r="F193" s="39">
        <v>46091</v>
      </c>
      <c r="G193" s="45"/>
      <c r="H193" s="10"/>
      <c r="I193" s="11"/>
      <c r="J193" s="11">
        <f>VLOOKUP(A193,'Feb 26'!A:G,7,FALSE)</f>
        <v>9886</v>
      </c>
      <c r="K193" s="11">
        <f t="shared" si="34"/>
        <v>9886</v>
      </c>
      <c r="L193" s="11" t="str">
        <f t="shared" si="32"/>
        <v>Invoiced this Month</v>
      </c>
      <c r="M193" s="41">
        <f>-K193</f>
        <v>-9886</v>
      </c>
    </row>
    <row r="194" spans="1:13" ht="16.5" thickTop="1" thickBot="1" x14ac:dyDescent="0.3">
      <c r="A194" s="5" t="s">
        <v>125</v>
      </c>
      <c r="B194" s="6">
        <v>86988</v>
      </c>
      <c r="C194" s="7" t="s">
        <v>32</v>
      </c>
      <c r="D194" s="39" t="s">
        <v>128</v>
      </c>
      <c r="E194" s="39" t="s">
        <v>13</v>
      </c>
      <c r="F194" s="39" t="s">
        <v>13</v>
      </c>
      <c r="G194" s="9">
        <v>61093</v>
      </c>
      <c r="H194" s="10">
        <f>I194-G194</f>
        <v>61093</v>
      </c>
      <c r="I194" s="11">
        <v>122186</v>
      </c>
      <c r="J194" s="11">
        <f>VLOOKUP(A194,'Feb 26'!A:G,7,FALSE)</f>
        <v>61093</v>
      </c>
      <c r="K194" s="11">
        <f t="shared" si="34"/>
        <v>0</v>
      </c>
      <c r="L194" s="11">
        <f t="shared" si="32"/>
        <v>0</v>
      </c>
      <c r="M194" s="41">
        <f t="shared" si="26"/>
        <v>0</v>
      </c>
    </row>
    <row r="195" spans="1:13" ht="16.5" thickTop="1" thickBot="1" x14ac:dyDescent="0.3">
      <c r="A195" s="5" t="s">
        <v>374</v>
      </c>
      <c r="B195" s="6">
        <v>87632</v>
      </c>
      <c r="C195" s="7" t="s">
        <v>21</v>
      </c>
      <c r="D195" s="39">
        <v>46092</v>
      </c>
      <c r="E195" s="39" t="s">
        <v>13</v>
      </c>
      <c r="F195" s="39"/>
      <c r="G195" s="9">
        <v>4653</v>
      </c>
      <c r="H195" s="10">
        <f>I195-G195</f>
        <v>4653</v>
      </c>
      <c r="I195" s="11">
        <v>9306</v>
      </c>
      <c r="J195" s="11"/>
      <c r="K195" s="11">
        <f t="shared" si="34"/>
        <v>0</v>
      </c>
      <c r="L195" s="11">
        <f t="shared" si="32"/>
        <v>4653</v>
      </c>
      <c r="M195" s="41">
        <f t="shared" ref="M195:M205" si="35">L195-K195</f>
        <v>4653</v>
      </c>
    </row>
    <row r="196" spans="1:13" ht="16.5" thickTop="1" thickBot="1" x14ac:dyDescent="0.3">
      <c r="A196" s="5" t="s">
        <v>139</v>
      </c>
      <c r="B196" s="6">
        <v>87067</v>
      </c>
      <c r="C196" s="7" t="s">
        <v>29</v>
      </c>
      <c r="D196" s="39">
        <v>45947</v>
      </c>
      <c r="E196" s="39">
        <v>46014</v>
      </c>
      <c r="F196" s="39">
        <v>46097</v>
      </c>
      <c r="G196" s="45"/>
      <c r="H196" s="10"/>
      <c r="I196" s="11"/>
      <c r="J196" s="11">
        <f>VLOOKUP(A196,'Feb 26'!A:G,7,FALSE)</f>
        <v>10217</v>
      </c>
      <c r="K196" s="11">
        <f t="shared" si="34"/>
        <v>10217</v>
      </c>
      <c r="L196" s="11" t="str">
        <f t="shared" si="32"/>
        <v>Invoiced this Month</v>
      </c>
      <c r="M196" s="41">
        <f>-K196</f>
        <v>-10217</v>
      </c>
    </row>
    <row r="197" spans="1:13" ht="16.5" thickTop="1" thickBot="1" x14ac:dyDescent="0.3">
      <c r="A197" s="5"/>
      <c r="B197" s="6"/>
      <c r="C197" s="7"/>
      <c r="D197" s="39"/>
      <c r="E197" s="39"/>
      <c r="F197" s="39"/>
      <c r="G197" s="9"/>
      <c r="H197" s="10"/>
      <c r="I197" s="11"/>
      <c r="J197" s="11"/>
      <c r="K197" s="11">
        <f t="shared" ref="K197" si="36">IF(G197=0,J197-G197,0)</f>
        <v>0</v>
      </c>
      <c r="L197" s="11"/>
      <c r="M197" s="41">
        <f t="shared" si="35"/>
        <v>0</v>
      </c>
    </row>
    <row r="198" spans="1:13" ht="16.5" thickTop="1" thickBot="1" x14ac:dyDescent="0.3">
      <c r="A198" s="22" t="s">
        <v>507</v>
      </c>
      <c r="B198" s="23"/>
      <c r="C198" s="24" t="s">
        <v>115</v>
      </c>
      <c r="D198" s="25" t="s">
        <v>53</v>
      </c>
      <c r="E198" s="26"/>
      <c r="F198" s="27"/>
      <c r="G198" s="28">
        <f>SUM(G2:G196)</f>
        <v>7020056.709999999</v>
      </c>
      <c r="H198" s="28">
        <f>SUM(H2:H196)</f>
        <v>7551065.9900000002</v>
      </c>
      <c r="I198" s="28">
        <f>SUM(I2:I196)</f>
        <v>14528530.199999999</v>
      </c>
      <c r="J198" s="28">
        <f>SUM(J2:J196)</f>
        <v>5833678.9100000001</v>
      </c>
      <c r="K198" s="28">
        <f>SUM(K2:K193)</f>
        <v>957348.58000000007</v>
      </c>
      <c r="L198" s="28">
        <f>SUM(L2:L196)</f>
        <v>2111350.88</v>
      </c>
      <c r="M198" s="41">
        <f t="shared" si="35"/>
        <v>1154002.2999999998</v>
      </c>
    </row>
    <row r="199" spans="1:13" ht="15.75" thickTop="1" x14ac:dyDescent="0.25">
      <c r="J199" s="33">
        <f>J198-'Feb 26'!G179</f>
        <v>0</v>
      </c>
      <c r="K199" s="34">
        <f>K198-'CD GL'!K58</f>
        <v>392229.90000000014</v>
      </c>
      <c r="L199" s="33">
        <f>L198-'CD GL'!J58</f>
        <v>1161878.21</v>
      </c>
      <c r="M199" s="41">
        <f t="shared" si="35"/>
        <v>769648.30999999982</v>
      </c>
    </row>
    <row r="200" spans="1:13" x14ac:dyDescent="0.25">
      <c r="A200" t="s">
        <v>63</v>
      </c>
      <c r="D200" s="30" t="s">
        <v>63</v>
      </c>
      <c r="F200" s="35" t="s">
        <v>9</v>
      </c>
      <c r="G200" s="36">
        <f>J198</f>
        <v>5833678.9100000001</v>
      </c>
      <c r="J200" s="33"/>
      <c r="L200" s="33"/>
      <c r="M200" s="41">
        <f t="shared" si="35"/>
        <v>0</v>
      </c>
    </row>
    <row r="201" spans="1:13" x14ac:dyDescent="0.25">
      <c r="F201" s="31" t="s">
        <v>492</v>
      </c>
      <c r="G201" s="32">
        <f>G198</f>
        <v>7020056.709999999</v>
      </c>
      <c r="M201" s="41">
        <f t="shared" si="35"/>
        <v>0</v>
      </c>
    </row>
    <row r="202" spans="1:13" x14ac:dyDescent="0.25">
      <c r="F202" s="35" t="s">
        <v>493</v>
      </c>
      <c r="G202" s="36">
        <f>G198-G200</f>
        <v>1186377.7999999989</v>
      </c>
      <c r="H202" s="33">
        <f>J198+L198-K198-G202</f>
        <v>5801303.4100000011</v>
      </c>
      <c r="I202" s="38">
        <f>G198</f>
        <v>7020056.709999999</v>
      </c>
      <c r="M202" s="41">
        <f t="shared" si="35"/>
        <v>0</v>
      </c>
    </row>
    <row r="203" spans="1:13" x14ac:dyDescent="0.25">
      <c r="I203" s="38">
        <v>-7020056.71</v>
      </c>
      <c r="J203" t="s">
        <v>55</v>
      </c>
      <c r="K203" s="34" t="s">
        <v>85</v>
      </c>
      <c r="M203" s="41" t="e">
        <f t="shared" si="35"/>
        <v>#VALUE!</v>
      </c>
    </row>
    <row r="204" spans="1:13" x14ac:dyDescent="0.25">
      <c r="F204" s="31" t="s">
        <v>56</v>
      </c>
      <c r="G204" s="32">
        <f>G201+I203</f>
        <v>0</v>
      </c>
      <c r="M204" s="41">
        <f t="shared" si="35"/>
        <v>0</v>
      </c>
    </row>
    <row r="205" spans="1:13" s="34" customFormat="1" x14ac:dyDescent="0.25">
      <c r="A205"/>
      <c r="B205" s="29"/>
      <c r="C205"/>
      <c r="D205" s="30"/>
      <c r="E205"/>
      <c r="F205" s="31"/>
      <c r="G205" s="32"/>
      <c r="H205"/>
      <c r="I205" s="37">
        <f>I202++I203</f>
        <v>0</v>
      </c>
      <c r="J205" t="s">
        <v>576</v>
      </c>
      <c r="L205"/>
      <c r="M205" s="41">
        <f t="shared" si="35"/>
        <v>0</v>
      </c>
    </row>
  </sheetData>
  <sortState xmlns:xlrd2="http://schemas.microsoft.com/office/spreadsheetml/2017/richdata2" ref="A2:L197">
    <sortCondition ref="A2:A197"/>
  </sortState>
  <conditionalFormatting sqref="A1:A1048576">
    <cfRule type="duplicateValues" dxfId="2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491-6558-4A66-83E2-8E32A889370A}">
  <dimension ref="A1:M224"/>
  <sheetViews>
    <sheetView workbookViewId="0">
      <pane ySplit="1" topLeftCell="A181" activePane="bottomLeft" state="frozen"/>
      <selection pane="bottomLeft" activeCell="M221" sqref="M221"/>
    </sheetView>
  </sheetViews>
  <sheetFormatPr defaultRowHeight="15" x14ac:dyDescent="0.25"/>
  <cols>
    <col min="1" max="1" width="72.140625" customWidth="1"/>
    <col min="2" max="2" width="13.28515625" style="29" customWidth="1"/>
    <col min="3" max="3" width="11.28515625" customWidth="1"/>
    <col min="4" max="4" width="13.42578125" style="30" customWidth="1"/>
    <col min="5" max="5" width="19.140625" customWidth="1"/>
    <col min="6" max="6" width="32.85546875" style="31" customWidth="1"/>
    <col min="7" max="7" width="16" style="32" customWidth="1"/>
    <col min="8" max="8" width="17.5703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3" max="13" width="11.5703125" bestFit="1" customWidth="1"/>
  </cols>
  <sheetData>
    <row r="1" spans="1:13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3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 t="s">
        <v>13</v>
      </c>
      <c r="F2" s="39" t="s">
        <v>13</v>
      </c>
      <c r="G2" s="19">
        <v>51110.14</v>
      </c>
      <c r="H2" s="10">
        <v>0</v>
      </c>
      <c r="I2" s="11">
        <v>51110.14</v>
      </c>
      <c r="J2" s="11">
        <f>IFERROR(VLOOKUP(B2,'Mar 26'!B:G,6,FALSE),0)</f>
        <v>51110.14</v>
      </c>
      <c r="K2" s="11">
        <v>0</v>
      </c>
      <c r="L2" s="11">
        <f t="shared" ref="L2:L11" si="0">G2-J2</f>
        <v>0</v>
      </c>
      <c r="M2" s="41">
        <f t="shared" ref="M2:M11" si="1">L2-K2</f>
        <v>0</v>
      </c>
    </row>
    <row r="3" spans="1:13" ht="16.5" thickTop="1" thickBot="1" x14ac:dyDescent="0.3">
      <c r="A3" s="5" t="s">
        <v>362</v>
      </c>
      <c r="B3" s="6">
        <v>88556</v>
      </c>
      <c r="C3" s="7" t="s">
        <v>327</v>
      </c>
      <c r="D3" s="39">
        <v>46086</v>
      </c>
      <c r="E3" s="39" t="s">
        <v>13</v>
      </c>
      <c r="F3" s="39" t="s">
        <v>13</v>
      </c>
      <c r="G3" s="9">
        <v>11662</v>
      </c>
      <c r="H3" s="10">
        <v>11662</v>
      </c>
      <c r="I3" s="11">
        <v>23324</v>
      </c>
      <c r="J3" s="11">
        <f>VLOOKUP(B3,'Mar 26'!B:G,6,FALSE)</f>
        <v>11662</v>
      </c>
      <c r="K3" s="11">
        <v>0</v>
      </c>
      <c r="L3" s="11">
        <f t="shared" si="0"/>
        <v>0</v>
      </c>
      <c r="M3" s="41">
        <f t="shared" si="1"/>
        <v>0</v>
      </c>
    </row>
    <row r="4" spans="1:13" ht="16.5" thickTop="1" thickBot="1" x14ac:dyDescent="0.3">
      <c r="A4" s="60" t="s">
        <v>318</v>
      </c>
      <c r="B4" s="6">
        <v>87616</v>
      </c>
      <c r="C4" s="7" t="s">
        <v>15</v>
      </c>
      <c r="D4" s="39">
        <v>46069</v>
      </c>
      <c r="E4" s="39" t="s">
        <v>13</v>
      </c>
      <c r="F4" s="39" t="s">
        <v>13</v>
      </c>
      <c r="G4" s="9">
        <v>35586</v>
      </c>
      <c r="H4" s="10">
        <v>9375</v>
      </c>
      <c r="I4" s="11">
        <v>44961</v>
      </c>
      <c r="J4" s="11">
        <f>VLOOKUP(B4,'Mar 26'!B:G,6,FALSE)</f>
        <v>35586</v>
      </c>
      <c r="K4" s="11">
        <v>0</v>
      </c>
      <c r="L4" s="11">
        <f t="shared" si="0"/>
        <v>0</v>
      </c>
      <c r="M4" s="41">
        <f t="shared" si="1"/>
        <v>0</v>
      </c>
    </row>
    <row r="5" spans="1:13" ht="16.5" thickTop="1" thickBot="1" x14ac:dyDescent="0.3">
      <c r="A5" s="47" t="s">
        <v>136</v>
      </c>
      <c r="B5" s="6">
        <v>84541</v>
      </c>
      <c r="C5" s="7" t="s">
        <v>15</v>
      </c>
      <c r="D5" s="39">
        <v>45943</v>
      </c>
      <c r="E5" s="39">
        <v>46083</v>
      </c>
      <c r="F5" s="39" t="s">
        <v>350</v>
      </c>
      <c r="G5" s="9">
        <v>10262</v>
      </c>
      <c r="H5" s="10">
        <v>10261</v>
      </c>
      <c r="I5" s="11">
        <v>20523</v>
      </c>
      <c r="J5" s="11">
        <f>VLOOKUP(B5,'Mar 26'!B:G,6,FALSE)</f>
        <v>10262</v>
      </c>
      <c r="K5" s="11">
        <v>0</v>
      </c>
      <c r="L5" s="11">
        <f t="shared" si="0"/>
        <v>0</v>
      </c>
      <c r="M5" s="41">
        <f t="shared" si="1"/>
        <v>0</v>
      </c>
    </row>
    <row r="6" spans="1:13" ht="16.5" thickTop="1" thickBot="1" x14ac:dyDescent="0.3">
      <c r="A6" s="5" t="s">
        <v>581</v>
      </c>
      <c r="B6" s="6">
        <v>87676</v>
      </c>
      <c r="C6" s="7" t="s">
        <v>21</v>
      </c>
      <c r="D6" s="39">
        <v>46125</v>
      </c>
      <c r="E6" s="39" t="s">
        <v>13</v>
      </c>
      <c r="F6" s="39" t="s">
        <v>13</v>
      </c>
      <c r="G6" s="9">
        <v>2400.25</v>
      </c>
      <c r="H6" s="10">
        <f>I6-G6</f>
        <v>2449.75</v>
      </c>
      <c r="I6" s="11">
        <v>4850</v>
      </c>
      <c r="J6" s="11">
        <v>0</v>
      </c>
      <c r="K6" s="11">
        <v>0</v>
      </c>
      <c r="L6" s="11">
        <f t="shared" si="0"/>
        <v>2400.25</v>
      </c>
      <c r="M6" s="41">
        <f t="shared" si="1"/>
        <v>2400.25</v>
      </c>
    </row>
    <row r="7" spans="1:13" ht="16.5" thickTop="1" thickBot="1" x14ac:dyDescent="0.3">
      <c r="A7" s="5" t="s">
        <v>515</v>
      </c>
      <c r="B7" s="6">
        <v>89718</v>
      </c>
      <c r="C7" s="7" t="s">
        <v>28</v>
      </c>
      <c r="D7" s="39">
        <v>46105</v>
      </c>
      <c r="E7" s="39" t="s">
        <v>13</v>
      </c>
      <c r="F7" s="39" t="s">
        <v>13</v>
      </c>
      <c r="G7" s="9">
        <v>9796.19</v>
      </c>
      <c r="H7" s="10">
        <v>9796.1799999999985</v>
      </c>
      <c r="I7" s="11">
        <v>19592.37</v>
      </c>
      <c r="J7" s="11">
        <f>VLOOKUP(B7,'Mar 26'!B:G,6,FALSE)</f>
        <v>9796.19</v>
      </c>
      <c r="K7" s="11">
        <v>0</v>
      </c>
      <c r="L7" s="11">
        <f t="shared" si="0"/>
        <v>0</v>
      </c>
      <c r="M7" s="41">
        <f t="shared" si="1"/>
        <v>0</v>
      </c>
    </row>
    <row r="8" spans="1:13" ht="16.5" thickTop="1" thickBot="1" x14ac:dyDescent="0.3">
      <c r="A8" s="5" t="s">
        <v>189</v>
      </c>
      <c r="B8" s="6">
        <v>87185</v>
      </c>
      <c r="C8" s="7" t="s">
        <v>21</v>
      </c>
      <c r="D8" s="39">
        <v>45995</v>
      </c>
      <c r="E8" s="39" t="s">
        <v>13</v>
      </c>
      <c r="F8" s="39" t="s">
        <v>13</v>
      </c>
      <c r="G8" s="9">
        <v>31515</v>
      </c>
      <c r="H8" s="10">
        <v>31514</v>
      </c>
      <c r="I8" s="11">
        <v>63029</v>
      </c>
      <c r="J8" s="11">
        <f>VLOOKUP(B8,'Mar 26'!B:G,6,FALSE)</f>
        <v>31515</v>
      </c>
      <c r="K8" s="11">
        <v>0</v>
      </c>
      <c r="L8" s="11">
        <f t="shared" si="0"/>
        <v>0</v>
      </c>
      <c r="M8" s="41">
        <f t="shared" si="1"/>
        <v>0</v>
      </c>
    </row>
    <row r="9" spans="1:13" ht="16.5" thickTop="1" thickBot="1" x14ac:dyDescent="0.3">
      <c r="A9" s="5" t="s">
        <v>105</v>
      </c>
      <c r="B9" s="6">
        <v>83846</v>
      </c>
      <c r="C9" s="7" t="s">
        <v>62</v>
      </c>
      <c r="D9" s="39">
        <v>45880</v>
      </c>
      <c r="E9" s="39">
        <v>46076</v>
      </c>
      <c r="F9" s="39" t="s">
        <v>351</v>
      </c>
      <c r="G9" s="9">
        <f>108522.5+77742</f>
        <v>186264.5</v>
      </c>
      <c r="H9" s="10">
        <v>108521.5</v>
      </c>
      <c r="I9" s="11">
        <v>217044</v>
      </c>
      <c r="J9" s="11">
        <f>VLOOKUP(B9,'Mar 26'!B:G,6,FALSE)</f>
        <v>108522.5</v>
      </c>
      <c r="K9" s="11">
        <v>0</v>
      </c>
      <c r="L9" s="11">
        <f t="shared" si="0"/>
        <v>77742</v>
      </c>
      <c r="M9" s="41">
        <f t="shared" si="1"/>
        <v>77742</v>
      </c>
    </row>
    <row r="10" spans="1:13" ht="16.5" thickTop="1" thickBot="1" x14ac:dyDescent="0.3">
      <c r="A10" s="5" t="s">
        <v>364</v>
      </c>
      <c r="B10" s="6">
        <v>89424</v>
      </c>
      <c r="C10" s="7" t="s">
        <v>23</v>
      </c>
      <c r="D10" s="39">
        <v>46090</v>
      </c>
      <c r="E10" s="39" t="s">
        <v>13</v>
      </c>
      <c r="F10" s="39" t="s">
        <v>13</v>
      </c>
      <c r="G10" s="9">
        <v>16906.509999999998</v>
      </c>
      <c r="H10" s="10">
        <v>16906.500000000004</v>
      </c>
      <c r="I10" s="62">
        <v>33813.01</v>
      </c>
      <c r="J10" s="11">
        <f>VLOOKUP(B10,'Mar 26'!B:G,6,FALSE)</f>
        <v>16906.509999999998</v>
      </c>
      <c r="K10" s="11">
        <v>0</v>
      </c>
      <c r="L10" s="11">
        <f t="shared" si="0"/>
        <v>0</v>
      </c>
      <c r="M10" s="41">
        <f t="shared" si="1"/>
        <v>0</v>
      </c>
    </row>
    <row r="11" spans="1:13" ht="16.5" thickTop="1" thickBot="1" x14ac:dyDescent="0.3">
      <c r="A11" s="5" t="s">
        <v>497</v>
      </c>
      <c r="B11" s="6">
        <v>87836</v>
      </c>
      <c r="C11" s="7" t="s">
        <v>17</v>
      </c>
      <c r="D11" s="39">
        <v>46098</v>
      </c>
      <c r="E11" s="39" t="s">
        <v>13</v>
      </c>
      <c r="F11" s="39" t="s">
        <v>13</v>
      </c>
      <c r="G11" s="9">
        <v>18709</v>
      </c>
      <c r="H11" s="10">
        <v>18709</v>
      </c>
      <c r="I11" s="11">
        <v>37418</v>
      </c>
      <c r="J11" s="11">
        <f>VLOOKUP(B11,'Mar 26'!B:G,6,FALSE)</f>
        <v>18709</v>
      </c>
      <c r="K11" s="11">
        <v>0</v>
      </c>
      <c r="L11" s="11">
        <f t="shared" si="0"/>
        <v>0</v>
      </c>
      <c r="M11" s="41">
        <f t="shared" si="1"/>
        <v>0</v>
      </c>
    </row>
    <row r="12" spans="1:13" ht="16.5" thickTop="1" thickBot="1" x14ac:dyDescent="0.3">
      <c r="A12" s="5" t="s">
        <v>518</v>
      </c>
      <c r="B12" s="6">
        <v>89707</v>
      </c>
      <c r="C12" s="7" t="s">
        <v>283</v>
      </c>
      <c r="D12" s="39">
        <v>46107</v>
      </c>
      <c r="E12" s="39" t="s">
        <v>13</v>
      </c>
      <c r="F12" s="78" t="s">
        <v>620</v>
      </c>
      <c r="G12" s="45">
        <v>0</v>
      </c>
      <c r="H12" s="10"/>
      <c r="I12" s="11"/>
      <c r="J12" s="11">
        <f>VLOOKUP(B12,'Mar 26'!B:G,6,FALSE)</f>
        <v>3227</v>
      </c>
      <c r="K12" s="11">
        <f>J12-G12</f>
        <v>3227</v>
      </c>
      <c r="L12" s="11" t="s">
        <v>613</v>
      </c>
      <c r="M12" s="41">
        <f>0-K12</f>
        <v>-3227</v>
      </c>
    </row>
    <row r="13" spans="1:13" ht="16.5" thickTop="1" thickBot="1" x14ac:dyDescent="0.3">
      <c r="A13" s="5" t="s">
        <v>380</v>
      </c>
      <c r="B13" s="6">
        <v>89450</v>
      </c>
      <c r="C13" s="7" t="s">
        <v>21</v>
      </c>
      <c r="D13" s="39">
        <v>46097</v>
      </c>
      <c r="E13" s="39" t="s">
        <v>13</v>
      </c>
      <c r="F13" s="39" t="s">
        <v>13</v>
      </c>
      <c r="G13" s="9">
        <v>29728</v>
      </c>
      <c r="H13" s="10">
        <v>31453</v>
      </c>
      <c r="I13" s="11">
        <v>61181</v>
      </c>
      <c r="J13" s="11">
        <f>VLOOKUP(B13,'Mar 26'!B:G,6,FALSE)</f>
        <v>29728</v>
      </c>
      <c r="K13" s="11">
        <v>0</v>
      </c>
      <c r="L13" s="11">
        <f>G13-J13</f>
        <v>0</v>
      </c>
      <c r="M13" s="41">
        <f>L13-K13</f>
        <v>0</v>
      </c>
    </row>
    <row r="14" spans="1:13" ht="16.5" thickTop="1" thickBot="1" x14ac:dyDescent="0.3">
      <c r="A14" s="5" t="s">
        <v>91</v>
      </c>
      <c r="B14" s="6">
        <v>84044</v>
      </c>
      <c r="C14" s="7" t="s">
        <v>14</v>
      </c>
      <c r="D14" s="39">
        <v>45811</v>
      </c>
      <c r="E14" s="39">
        <v>46002</v>
      </c>
      <c r="F14" s="39">
        <v>46129</v>
      </c>
      <c r="G14" s="45">
        <v>0</v>
      </c>
      <c r="H14" s="10"/>
      <c r="I14" s="11"/>
      <c r="J14" s="11">
        <f>VLOOKUP(B14,'Mar 26'!B:G,6,FALSE)</f>
        <v>93528</v>
      </c>
      <c r="K14" s="11">
        <f>J14-G14</f>
        <v>93528</v>
      </c>
      <c r="L14" s="11" t="s">
        <v>613</v>
      </c>
      <c r="M14" s="41">
        <f>-K14</f>
        <v>-93528</v>
      </c>
    </row>
    <row r="15" spans="1:13" ht="16.5" thickTop="1" thickBot="1" x14ac:dyDescent="0.3">
      <c r="A15" s="5" t="s">
        <v>92</v>
      </c>
      <c r="B15" s="6">
        <v>84046</v>
      </c>
      <c r="C15" s="7" t="s">
        <v>14</v>
      </c>
      <c r="D15" s="39">
        <v>45811</v>
      </c>
      <c r="E15" s="39">
        <v>46002</v>
      </c>
      <c r="F15" s="39">
        <v>46129</v>
      </c>
      <c r="G15" s="45">
        <v>0</v>
      </c>
      <c r="H15" s="10"/>
      <c r="I15" s="11"/>
      <c r="J15" s="11">
        <f>VLOOKUP(B15,'Mar 26'!B:G,6,FALSE)</f>
        <v>97035</v>
      </c>
      <c r="K15" s="11">
        <f>J15-G15</f>
        <v>97035</v>
      </c>
      <c r="L15" s="11" t="s">
        <v>613</v>
      </c>
      <c r="M15" s="41">
        <f>-K15</f>
        <v>-97035</v>
      </c>
    </row>
    <row r="16" spans="1:13" ht="16.5" thickTop="1" thickBot="1" x14ac:dyDescent="0.3">
      <c r="A16" s="5" t="s">
        <v>166</v>
      </c>
      <c r="B16" s="6">
        <v>82690</v>
      </c>
      <c r="C16" s="7" t="s">
        <v>14</v>
      </c>
      <c r="D16" s="39">
        <v>45978</v>
      </c>
      <c r="E16" s="39">
        <v>46083</v>
      </c>
      <c r="F16" s="39" t="s">
        <v>577</v>
      </c>
      <c r="G16" s="9">
        <v>13744</v>
      </c>
      <c r="H16" s="10">
        <v>12649</v>
      </c>
      <c r="I16" s="11">
        <v>26393</v>
      </c>
      <c r="J16" s="11">
        <f>VLOOKUP(B16,'Mar 26'!B:G,6,FALSE)</f>
        <v>13744</v>
      </c>
      <c r="K16" s="11">
        <v>0</v>
      </c>
      <c r="L16" s="11">
        <f>G16-J16</f>
        <v>0</v>
      </c>
      <c r="M16" s="41">
        <f>L16-K16</f>
        <v>0</v>
      </c>
    </row>
    <row r="17" spans="1:13" ht="16.5" thickTop="1" thickBot="1" x14ac:dyDescent="0.3">
      <c r="A17" s="5" t="s">
        <v>369</v>
      </c>
      <c r="B17" s="6">
        <v>86022</v>
      </c>
      <c r="C17" s="7" t="s">
        <v>11</v>
      </c>
      <c r="D17" s="39">
        <v>46091</v>
      </c>
      <c r="E17" s="39">
        <v>46099</v>
      </c>
      <c r="F17" s="39">
        <v>46122</v>
      </c>
      <c r="G17" s="45">
        <v>0</v>
      </c>
      <c r="H17" s="10"/>
      <c r="I17" s="11"/>
      <c r="J17" s="11">
        <f>VLOOKUP(B17,'Mar 26'!B:G,6,FALSE)</f>
        <v>4247</v>
      </c>
      <c r="K17" s="11">
        <f>J17-G17</f>
        <v>4247</v>
      </c>
      <c r="L17" s="11" t="s">
        <v>613</v>
      </c>
      <c r="M17" s="41">
        <f>-K17</f>
        <v>-4247</v>
      </c>
    </row>
    <row r="18" spans="1:13" ht="16.5" thickTop="1" thickBot="1" x14ac:dyDescent="0.3">
      <c r="A18" s="5" t="s">
        <v>614</v>
      </c>
      <c r="B18" s="6">
        <v>90057</v>
      </c>
      <c r="C18" s="7" t="s">
        <v>11</v>
      </c>
      <c r="D18" s="39">
        <v>46128</v>
      </c>
      <c r="E18" s="39" t="s">
        <v>13</v>
      </c>
      <c r="F18" s="39" t="s">
        <v>13</v>
      </c>
      <c r="G18" s="9">
        <v>9211</v>
      </c>
      <c r="H18" s="10">
        <f>I18-G18</f>
        <v>9211.77</v>
      </c>
      <c r="I18" s="11">
        <v>18422.77</v>
      </c>
      <c r="J18" s="11">
        <v>0</v>
      </c>
      <c r="K18" s="11">
        <f>IF(G18=0,J18-G18,0)</f>
        <v>0</v>
      </c>
      <c r="L18" s="11">
        <f>G18-J18</f>
        <v>9211</v>
      </c>
      <c r="M18" s="41">
        <f>L18-K18</f>
        <v>9211</v>
      </c>
    </row>
    <row r="19" spans="1:13" ht="16.5" thickTop="1" thickBot="1" x14ac:dyDescent="0.3">
      <c r="A19" s="5" t="s">
        <v>134</v>
      </c>
      <c r="B19" s="6">
        <v>87402</v>
      </c>
      <c r="C19" s="7" t="s">
        <v>21</v>
      </c>
      <c r="D19" s="39">
        <v>45939</v>
      </c>
      <c r="E19" s="39">
        <v>46106</v>
      </c>
      <c r="F19" s="39">
        <v>46141</v>
      </c>
      <c r="G19" s="45">
        <v>0</v>
      </c>
      <c r="H19" s="10"/>
      <c r="I19" s="11"/>
      <c r="J19" s="11">
        <f>VLOOKUP(B19,'Mar 26'!B:G,6,FALSE)</f>
        <v>20000</v>
      </c>
      <c r="K19" s="11">
        <f>J19-G19</f>
        <v>20000</v>
      </c>
      <c r="L19" s="11" t="s">
        <v>613</v>
      </c>
      <c r="M19" s="41">
        <f>-K19</f>
        <v>-20000</v>
      </c>
    </row>
    <row r="20" spans="1:13" ht="16.5" thickTop="1" thickBot="1" x14ac:dyDescent="0.3">
      <c r="A20" s="5" t="s">
        <v>169</v>
      </c>
      <c r="B20" s="6">
        <v>87022</v>
      </c>
      <c r="C20" s="7" t="s">
        <v>14</v>
      </c>
      <c r="D20" s="39">
        <v>45981</v>
      </c>
      <c r="E20" s="39" t="s">
        <v>13</v>
      </c>
      <c r="F20" s="39" t="s">
        <v>13</v>
      </c>
      <c r="G20" s="9">
        <v>60823</v>
      </c>
      <c r="H20" s="10">
        <v>60822</v>
      </c>
      <c r="I20" s="11">
        <v>121645</v>
      </c>
      <c r="J20" s="11">
        <f>VLOOKUP(B20,'Mar 26'!B:G,6,FALSE)</f>
        <v>60823</v>
      </c>
      <c r="K20" s="11">
        <v>0</v>
      </c>
      <c r="L20" s="11">
        <f>G20-J20</f>
        <v>0</v>
      </c>
      <c r="M20" s="41">
        <f>L20-K20</f>
        <v>0</v>
      </c>
    </row>
    <row r="21" spans="1:13" ht="16.5" thickTop="1" thickBot="1" x14ac:dyDescent="0.3">
      <c r="A21" s="5" t="s">
        <v>636</v>
      </c>
      <c r="B21" s="6">
        <v>90185</v>
      </c>
      <c r="C21" s="6" t="s">
        <v>21</v>
      </c>
      <c r="D21" s="39">
        <v>46140</v>
      </c>
      <c r="E21" s="39" t="s">
        <v>13</v>
      </c>
      <c r="F21" s="39" t="s">
        <v>13</v>
      </c>
      <c r="G21" s="9">
        <v>7191</v>
      </c>
      <c r="H21" s="10">
        <f>I21-G21</f>
        <v>7301.27</v>
      </c>
      <c r="I21" s="11">
        <v>14492.27</v>
      </c>
      <c r="J21" s="11"/>
      <c r="K21" s="11">
        <f>IF(G21=0,J21-G21,0)</f>
        <v>0</v>
      </c>
      <c r="L21" s="11">
        <f>G21-J21</f>
        <v>7191</v>
      </c>
      <c r="M21" s="41">
        <f>L21-K21</f>
        <v>7191</v>
      </c>
    </row>
    <row r="22" spans="1:13" ht="16.5" thickTop="1" thickBot="1" x14ac:dyDescent="0.3">
      <c r="A22" s="5" t="s">
        <v>280</v>
      </c>
      <c r="B22" s="6">
        <v>88961</v>
      </c>
      <c r="C22" s="7" t="s">
        <v>11</v>
      </c>
      <c r="D22" s="39">
        <v>46062</v>
      </c>
      <c r="E22" s="39">
        <v>46091</v>
      </c>
      <c r="F22" s="39">
        <v>46128</v>
      </c>
      <c r="G22" s="45">
        <v>0</v>
      </c>
      <c r="H22" s="10"/>
      <c r="I22" s="11"/>
      <c r="J22" s="11">
        <f>VLOOKUP(B22,'Mar 26'!B:G,6,FALSE)</f>
        <v>22865</v>
      </c>
      <c r="K22" s="11">
        <f>J22-G22</f>
        <v>22865</v>
      </c>
      <c r="L22" s="11" t="s">
        <v>613</v>
      </c>
      <c r="M22" s="41">
        <f>-K22</f>
        <v>-22865</v>
      </c>
    </row>
    <row r="23" spans="1:13" ht="16.5" thickTop="1" thickBot="1" x14ac:dyDescent="0.3">
      <c r="A23" s="5" t="s">
        <v>582</v>
      </c>
      <c r="B23" s="6">
        <v>89636</v>
      </c>
      <c r="C23" s="7" t="s">
        <v>11</v>
      </c>
      <c r="D23" s="39">
        <v>46122</v>
      </c>
      <c r="E23" s="39" t="s">
        <v>13</v>
      </c>
      <c r="F23" s="39" t="s">
        <v>13</v>
      </c>
      <c r="G23" s="9">
        <v>4764</v>
      </c>
      <c r="H23" s="10">
        <f>I23-G23</f>
        <v>4764</v>
      </c>
      <c r="I23" s="11">
        <v>9528</v>
      </c>
      <c r="J23" s="11">
        <v>0</v>
      </c>
      <c r="K23" s="11">
        <v>0</v>
      </c>
      <c r="L23" s="11">
        <f>G23-J23</f>
        <v>4764</v>
      </c>
      <c r="M23" s="41">
        <f>L23-K23</f>
        <v>4764</v>
      </c>
    </row>
    <row r="24" spans="1:13" ht="16.5" thickTop="1" thickBot="1" x14ac:dyDescent="0.3">
      <c r="A24" s="5" t="s">
        <v>272</v>
      </c>
      <c r="B24" s="6">
        <v>87591</v>
      </c>
      <c r="C24" s="7" t="s">
        <v>281</v>
      </c>
      <c r="D24" s="39">
        <v>46058</v>
      </c>
      <c r="E24" s="39" t="s">
        <v>13</v>
      </c>
      <c r="F24" s="39" t="s">
        <v>13</v>
      </c>
      <c r="G24" s="9">
        <v>25317</v>
      </c>
      <c r="H24" s="10">
        <v>25316</v>
      </c>
      <c r="I24" s="11">
        <v>50633</v>
      </c>
      <c r="J24" s="11">
        <f>VLOOKUP(B24,'Mar 26'!B:G,6,FALSE)</f>
        <v>25317</v>
      </c>
      <c r="K24" s="11">
        <v>0</v>
      </c>
      <c r="L24" s="11">
        <f>G24-J24</f>
        <v>0</v>
      </c>
      <c r="M24" s="41">
        <f>L24-K24</f>
        <v>0</v>
      </c>
    </row>
    <row r="25" spans="1:13" ht="16.5" thickTop="1" thickBot="1" x14ac:dyDescent="0.3">
      <c r="A25" s="5" t="s">
        <v>270</v>
      </c>
      <c r="B25" s="6">
        <v>88674</v>
      </c>
      <c r="C25" s="7" t="s">
        <v>31</v>
      </c>
      <c r="D25" s="39">
        <v>46055</v>
      </c>
      <c r="E25" s="39" t="s">
        <v>13</v>
      </c>
      <c r="F25" s="39" t="s">
        <v>13</v>
      </c>
      <c r="G25" s="9">
        <v>238760</v>
      </c>
      <c r="H25" s="10">
        <v>238759</v>
      </c>
      <c r="I25" s="11">
        <v>477519</v>
      </c>
      <c r="J25" s="11">
        <f>VLOOKUP(B25,'Mar 26'!B:G,6,FALSE)</f>
        <v>238760</v>
      </c>
      <c r="K25" s="11">
        <v>0</v>
      </c>
      <c r="L25" s="11">
        <f>G25-J25</f>
        <v>0</v>
      </c>
      <c r="M25" s="41">
        <f>L25-K25</f>
        <v>0</v>
      </c>
    </row>
    <row r="26" spans="1:13" ht="16.5" thickTop="1" thickBot="1" x14ac:dyDescent="0.3">
      <c r="A26" s="5" t="s">
        <v>144</v>
      </c>
      <c r="B26" s="6">
        <v>85791</v>
      </c>
      <c r="C26" s="7" t="s">
        <v>23</v>
      </c>
      <c r="D26" s="39">
        <v>45959</v>
      </c>
      <c r="E26" s="39" t="s">
        <v>13</v>
      </c>
      <c r="F26" s="39" t="s">
        <v>13</v>
      </c>
      <c r="G26" s="9">
        <v>8977.7000000000007</v>
      </c>
      <c r="H26" s="10">
        <v>80799.3</v>
      </c>
      <c r="I26" s="11">
        <v>89777</v>
      </c>
      <c r="J26" s="11">
        <f>VLOOKUP(B26,'Mar 26'!B:G,6,FALSE)</f>
        <v>8977.7000000000007</v>
      </c>
      <c r="K26" s="11">
        <v>0</v>
      </c>
      <c r="L26" s="11">
        <f>G26-J26</f>
        <v>0</v>
      </c>
      <c r="M26" s="41">
        <f>L26-K26</f>
        <v>0</v>
      </c>
    </row>
    <row r="27" spans="1:13" ht="16.5" thickTop="1" thickBot="1" x14ac:dyDescent="0.3">
      <c r="A27" s="5" t="s">
        <v>635</v>
      </c>
      <c r="B27" s="6">
        <v>89792</v>
      </c>
      <c r="C27" s="6" t="s">
        <v>23</v>
      </c>
      <c r="D27" s="39">
        <v>46140</v>
      </c>
      <c r="E27" s="39" t="s">
        <v>13</v>
      </c>
      <c r="F27" s="39" t="s">
        <v>13</v>
      </c>
      <c r="G27" s="9">
        <v>34278</v>
      </c>
      <c r="H27" s="10">
        <f>I27-G27</f>
        <v>34278</v>
      </c>
      <c r="I27" s="11">
        <v>68556</v>
      </c>
      <c r="J27" s="11"/>
      <c r="K27" s="11">
        <f>IF(G27=0,J27-G27,0)</f>
        <v>0</v>
      </c>
      <c r="L27" s="11">
        <f>G27-J27</f>
        <v>34278</v>
      </c>
      <c r="M27" s="41">
        <f>L27-K27</f>
        <v>34278</v>
      </c>
    </row>
    <row r="28" spans="1:13" ht="16.5" thickTop="1" thickBot="1" x14ac:dyDescent="0.3">
      <c r="A28" s="5" t="s">
        <v>273</v>
      </c>
      <c r="B28" s="6">
        <v>88115</v>
      </c>
      <c r="C28" s="7" t="s">
        <v>14</v>
      </c>
      <c r="D28" s="39">
        <v>46059</v>
      </c>
      <c r="E28" s="39">
        <v>46084</v>
      </c>
      <c r="F28" s="39">
        <v>46129</v>
      </c>
      <c r="G28" s="45">
        <v>0</v>
      </c>
      <c r="H28" s="10"/>
      <c r="I28" s="11"/>
      <c r="J28" s="11">
        <f>VLOOKUP(B28,'Mar 26'!B:G,6,FALSE)</f>
        <v>62150.5</v>
      </c>
      <c r="K28" s="11">
        <f>J28-G28</f>
        <v>62150.5</v>
      </c>
      <c r="L28" s="11" t="s">
        <v>613</v>
      </c>
      <c r="M28" s="41">
        <f>-K28</f>
        <v>-62150.5</v>
      </c>
    </row>
    <row r="29" spans="1:13" ht="16.5" thickTop="1" thickBot="1" x14ac:dyDescent="0.3">
      <c r="A29" s="5" t="s">
        <v>145</v>
      </c>
      <c r="B29" s="6">
        <v>83690</v>
      </c>
      <c r="C29" s="7" t="s">
        <v>23</v>
      </c>
      <c r="D29" s="39">
        <v>45959</v>
      </c>
      <c r="E29" s="39" t="s">
        <v>13</v>
      </c>
      <c r="F29" s="39" t="s">
        <v>13</v>
      </c>
      <c r="G29" s="9">
        <v>41681.4</v>
      </c>
      <c r="H29" s="10">
        <v>375132.6</v>
      </c>
      <c r="I29" s="11">
        <v>416814</v>
      </c>
      <c r="J29" s="11">
        <f>VLOOKUP(B29,'Mar 26'!B:G,6,FALSE)</f>
        <v>41681.4</v>
      </c>
      <c r="K29" s="11">
        <v>0</v>
      </c>
      <c r="L29" s="11">
        <f>G29-J29</f>
        <v>0</v>
      </c>
      <c r="M29" s="41">
        <f>L29-K29</f>
        <v>0</v>
      </c>
    </row>
    <row r="30" spans="1:13" ht="16.5" thickTop="1" thickBot="1" x14ac:dyDescent="0.3">
      <c r="A30" s="5" t="s">
        <v>227</v>
      </c>
      <c r="B30" s="6">
        <v>86318</v>
      </c>
      <c r="C30" s="7" t="s">
        <v>14</v>
      </c>
      <c r="D30" s="39">
        <v>46030</v>
      </c>
      <c r="E30" s="39" t="s">
        <v>13</v>
      </c>
      <c r="F30" s="39" t="s">
        <v>13</v>
      </c>
      <c r="G30" s="9">
        <f>26483.5+4914.5</f>
        <v>31398</v>
      </c>
      <c r="H30" s="10">
        <v>26483.5</v>
      </c>
      <c r="I30" s="11">
        <v>52967</v>
      </c>
      <c r="J30" s="11">
        <f>VLOOKUP(B30,'Mar 26'!B:G,6,FALSE)</f>
        <v>26483.5</v>
      </c>
      <c r="K30" s="11">
        <v>0</v>
      </c>
      <c r="L30" s="11">
        <f>G30-J30</f>
        <v>4914.5</v>
      </c>
      <c r="M30" s="41">
        <f>L30-K30</f>
        <v>4914.5</v>
      </c>
    </row>
    <row r="31" spans="1:13" ht="16.5" thickTop="1" thickBot="1" x14ac:dyDescent="0.3">
      <c r="A31" s="5" t="s">
        <v>570</v>
      </c>
      <c r="B31" s="6">
        <v>89482</v>
      </c>
      <c r="C31" s="7" t="s">
        <v>23</v>
      </c>
      <c r="D31" s="39">
        <v>46111</v>
      </c>
      <c r="E31" s="39" t="s">
        <v>13</v>
      </c>
      <c r="F31" s="39" t="s">
        <v>13</v>
      </c>
      <c r="G31" s="9">
        <v>4138</v>
      </c>
      <c r="H31" s="10">
        <v>4138</v>
      </c>
      <c r="I31" s="11">
        <v>8276</v>
      </c>
      <c r="J31" s="11">
        <f>VLOOKUP(B31,'Mar 26'!B:G,6,FALSE)</f>
        <v>4138</v>
      </c>
      <c r="K31" s="11">
        <v>0</v>
      </c>
      <c r="L31" s="11">
        <f>G31-J31</f>
        <v>0</v>
      </c>
      <c r="M31" s="41">
        <f>L31-K31</f>
        <v>0</v>
      </c>
    </row>
    <row r="32" spans="1:13" ht="16.5" thickTop="1" thickBot="1" x14ac:dyDescent="0.3">
      <c r="A32" s="5" t="s">
        <v>356</v>
      </c>
      <c r="B32" s="6">
        <v>89242</v>
      </c>
      <c r="C32" s="7" t="s">
        <v>14</v>
      </c>
      <c r="D32" s="39">
        <v>46083</v>
      </c>
      <c r="E32" s="39">
        <v>46111</v>
      </c>
      <c r="F32" s="39">
        <v>46135</v>
      </c>
      <c r="G32" s="45">
        <v>0</v>
      </c>
      <c r="H32" s="10"/>
      <c r="I32" s="11"/>
      <c r="J32" s="11">
        <f>VLOOKUP(B32,'Mar 26'!B:G,6,FALSE)</f>
        <v>8432</v>
      </c>
      <c r="K32" s="11">
        <f>J32-G32</f>
        <v>8432</v>
      </c>
      <c r="L32" s="11" t="s">
        <v>613</v>
      </c>
      <c r="M32" s="41">
        <f>-K32</f>
        <v>-8432</v>
      </c>
    </row>
    <row r="33" spans="1:13" ht="16.5" thickTop="1" thickBot="1" x14ac:dyDescent="0.3">
      <c r="A33" s="5" t="s">
        <v>583</v>
      </c>
      <c r="B33" s="6">
        <v>90093</v>
      </c>
      <c r="C33" s="7" t="s">
        <v>611</v>
      </c>
      <c r="D33" s="39">
        <v>46127</v>
      </c>
      <c r="E33" s="39" t="s">
        <v>13</v>
      </c>
      <c r="F33" s="39" t="s">
        <v>13</v>
      </c>
      <c r="G33" s="9">
        <v>20789</v>
      </c>
      <c r="H33" s="10">
        <f>I33-G33</f>
        <v>20789.519999999997</v>
      </c>
      <c r="I33" s="11">
        <v>41578.519999999997</v>
      </c>
      <c r="J33" s="11">
        <v>0</v>
      </c>
      <c r="K33" s="11">
        <v>0</v>
      </c>
      <c r="L33" s="11">
        <f>G33-J33</f>
        <v>20789</v>
      </c>
      <c r="M33" s="41">
        <f>L33-K33</f>
        <v>20789</v>
      </c>
    </row>
    <row r="34" spans="1:13" ht="16.5" thickTop="1" thickBot="1" x14ac:dyDescent="0.3">
      <c r="A34" s="5" t="s">
        <v>584</v>
      </c>
      <c r="B34" s="6">
        <v>89607</v>
      </c>
      <c r="C34" s="7" t="s">
        <v>27</v>
      </c>
      <c r="D34" s="39">
        <v>46126</v>
      </c>
      <c r="E34" s="39" t="s">
        <v>13</v>
      </c>
      <c r="F34" s="39" t="s">
        <v>13</v>
      </c>
      <c r="G34" s="9">
        <v>19335</v>
      </c>
      <c r="H34" s="10">
        <f>I34-G34</f>
        <v>19335</v>
      </c>
      <c r="I34" s="11">
        <v>38670</v>
      </c>
      <c r="J34" s="11">
        <v>0</v>
      </c>
      <c r="K34" s="11">
        <v>0</v>
      </c>
      <c r="L34" s="11">
        <f>G34-J34</f>
        <v>19335</v>
      </c>
      <c r="M34" s="41">
        <f>L34-K34</f>
        <v>19335</v>
      </c>
    </row>
    <row r="35" spans="1:13" ht="16.5" thickTop="1" thickBot="1" x14ac:dyDescent="0.3">
      <c r="A35" s="5" t="s">
        <v>512</v>
      </c>
      <c r="B35" s="6">
        <v>89649</v>
      </c>
      <c r="C35" s="7" t="s">
        <v>44</v>
      </c>
      <c r="D35" s="39">
        <v>46101</v>
      </c>
      <c r="E35" s="39" t="s">
        <v>13</v>
      </c>
      <c r="F35" s="39" t="s">
        <v>13</v>
      </c>
      <c r="G35" s="9">
        <v>17176</v>
      </c>
      <c r="H35" s="10">
        <v>17175</v>
      </c>
      <c r="I35" s="11">
        <v>34351</v>
      </c>
      <c r="J35" s="11">
        <f>VLOOKUP(B35,'Mar 26'!B:G,6,FALSE)</f>
        <v>17176</v>
      </c>
      <c r="K35" s="11">
        <v>0</v>
      </c>
      <c r="L35" s="11">
        <f>G35-J35</f>
        <v>0</v>
      </c>
      <c r="M35" s="41">
        <f>L35-K35</f>
        <v>0</v>
      </c>
    </row>
    <row r="36" spans="1:13" ht="16.5" thickTop="1" thickBot="1" x14ac:dyDescent="0.3">
      <c r="A36" s="5" t="s">
        <v>615</v>
      </c>
      <c r="B36" s="6">
        <v>90005</v>
      </c>
      <c r="C36" s="7" t="s">
        <v>23</v>
      </c>
      <c r="D36" s="39">
        <v>46128</v>
      </c>
      <c r="E36" s="39" t="s">
        <v>13</v>
      </c>
      <c r="F36" s="39" t="s">
        <v>13</v>
      </c>
      <c r="G36" s="9">
        <v>9786</v>
      </c>
      <c r="H36" s="10">
        <f>I36-G36</f>
        <v>9785.4399999999987</v>
      </c>
      <c r="I36" s="11">
        <v>19571.439999999999</v>
      </c>
      <c r="J36" s="11">
        <v>0</v>
      </c>
      <c r="K36" s="11">
        <f>IF(G36=0,J36-G36,0)</f>
        <v>0</v>
      </c>
      <c r="L36" s="11">
        <f>G36-J36</f>
        <v>9786</v>
      </c>
      <c r="M36" s="41">
        <f>L36-K36</f>
        <v>9786</v>
      </c>
    </row>
    <row r="37" spans="1:13" ht="16.5" thickTop="1" thickBot="1" x14ac:dyDescent="0.3">
      <c r="A37" s="5" t="s">
        <v>278</v>
      </c>
      <c r="B37" s="6">
        <v>88240</v>
      </c>
      <c r="C37" s="7" t="s">
        <v>283</v>
      </c>
      <c r="D37" s="39">
        <v>46062</v>
      </c>
      <c r="E37" s="39">
        <v>46090</v>
      </c>
      <c r="F37" s="39">
        <v>46122</v>
      </c>
      <c r="G37" s="45">
        <v>0</v>
      </c>
      <c r="H37" s="10"/>
      <c r="I37" s="11"/>
      <c r="J37" s="11">
        <f>VLOOKUP(B37,'Mar 26'!B:G,6,FALSE)</f>
        <v>16435.5</v>
      </c>
      <c r="K37" s="11">
        <f>J37-G37</f>
        <v>16435.5</v>
      </c>
      <c r="L37" s="11" t="s">
        <v>613</v>
      </c>
      <c r="M37" s="41">
        <f>-K37</f>
        <v>-16435.5</v>
      </c>
    </row>
    <row r="38" spans="1:13" ht="16.5" thickTop="1" thickBot="1" x14ac:dyDescent="0.3">
      <c r="A38" s="5" t="s">
        <v>215</v>
      </c>
      <c r="B38" s="6">
        <v>88227</v>
      </c>
      <c r="C38" s="7" t="s">
        <v>14</v>
      </c>
      <c r="D38" s="39">
        <v>46020</v>
      </c>
      <c r="E38" s="39" t="s">
        <v>13</v>
      </c>
      <c r="F38" s="39" t="s">
        <v>13</v>
      </c>
      <c r="G38" s="9">
        <v>32005</v>
      </c>
      <c r="H38" s="10">
        <v>32005</v>
      </c>
      <c r="I38" s="11">
        <v>64010</v>
      </c>
      <c r="J38" s="11">
        <f>VLOOKUP(B38,'Mar 26'!B:G,6,FALSE)</f>
        <v>32005</v>
      </c>
      <c r="K38" s="11">
        <v>0</v>
      </c>
      <c r="L38" s="11">
        <f t="shared" ref="L38:L43" si="2">G38-J38</f>
        <v>0</v>
      </c>
      <c r="M38" s="41">
        <f t="shared" ref="M38:M43" si="3">L38-K38</f>
        <v>0</v>
      </c>
    </row>
    <row r="39" spans="1:13" ht="16.5" thickTop="1" thickBot="1" x14ac:dyDescent="0.3">
      <c r="A39" s="5" t="s">
        <v>502</v>
      </c>
      <c r="B39" s="6">
        <v>84966</v>
      </c>
      <c r="C39" s="7" t="s">
        <v>14</v>
      </c>
      <c r="D39" s="39">
        <v>46099</v>
      </c>
      <c r="E39" s="39" t="s">
        <v>13</v>
      </c>
      <c r="F39" s="39" t="s">
        <v>13</v>
      </c>
      <c r="G39" s="9">
        <v>39804</v>
      </c>
      <c r="H39" s="10">
        <v>39803</v>
      </c>
      <c r="I39" s="11">
        <v>79607</v>
      </c>
      <c r="J39" s="11">
        <f>VLOOKUP(B39,'Mar 26'!B:G,6,FALSE)</f>
        <v>39804</v>
      </c>
      <c r="K39" s="11">
        <v>0</v>
      </c>
      <c r="L39" s="11">
        <f t="shared" si="2"/>
        <v>0</v>
      </c>
      <c r="M39" s="41">
        <f t="shared" si="3"/>
        <v>0</v>
      </c>
    </row>
    <row r="40" spans="1:13" ht="16.5" thickTop="1" thickBot="1" x14ac:dyDescent="0.3">
      <c r="A40" s="20" t="s">
        <v>24</v>
      </c>
      <c r="B40" s="13" t="s">
        <v>89</v>
      </c>
      <c r="C40" s="14"/>
      <c r="D40" s="40">
        <v>44712</v>
      </c>
      <c r="E40" s="40" t="s">
        <v>13</v>
      </c>
      <c r="F40" s="40" t="s">
        <v>13</v>
      </c>
      <c r="G40" s="21">
        <v>4108</v>
      </c>
      <c r="H40" s="17">
        <v>0</v>
      </c>
      <c r="I40" s="18">
        <v>4108</v>
      </c>
      <c r="J40" s="18">
        <f>VLOOKUP(B40,'Mar 26'!B:G,6,FALSE)</f>
        <v>4108</v>
      </c>
      <c r="K40" s="18">
        <v>0</v>
      </c>
      <c r="L40" s="18">
        <f t="shared" si="2"/>
        <v>0</v>
      </c>
      <c r="M40" s="41">
        <f t="shared" si="3"/>
        <v>0</v>
      </c>
    </row>
    <row r="41" spans="1:13" ht="16.5" thickTop="1" thickBot="1" x14ac:dyDescent="0.3">
      <c r="A41" s="5" t="s">
        <v>585</v>
      </c>
      <c r="B41" s="6">
        <v>90088</v>
      </c>
      <c r="C41" s="7" t="s">
        <v>21</v>
      </c>
      <c r="D41" s="39">
        <v>46118</v>
      </c>
      <c r="E41" s="39" t="s">
        <v>13</v>
      </c>
      <c r="F41" s="39" t="s">
        <v>13</v>
      </c>
      <c r="G41" s="9">
        <v>2638</v>
      </c>
      <c r="H41" s="10">
        <f>I41-G41</f>
        <v>2637.58</v>
      </c>
      <c r="I41" s="11">
        <v>5275.58</v>
      </c>
      <c r="J41" s="11">
        <v>0</v>
      </c>
      <c r="K41" s="11">
        <v>0</v>
      </c>
      <c r="L41" s="11">
        <f t="shared" si="2"/>
        <v>2638</v>
      </c>
      <c r="M41" s="41">
        <f t="shared" si="3"/>
        <v>2638</v>
      </c>
    </row>
    <row r="42" spans="1:13" ht="16.5" thickTop="1" thickBot="1" x14ac:dyDescent="0.3">
      <c r="A42" s="5" t="s">
        <v>359</v>
      </c>
      <c r="B42" s="6">
        <v>88513</v>
      </c>
      <c r="C42" s="7" t="s">
        <v>21</v>
      </c>
      <c r="D42" s="39">
        <v>46085</v>
      </c>
      <c r="E42" s="39" t="s">
        <v>13</v>
      </c>
      <c r="F42" s="39" t="s">
        <v>13</v>
      </c>
      <c r="G42" s="9">
        <v>11224</v>
      </c>
      <c r="H42" s="10">
        <v>13423</v>
      </c>
      <c r="I42" s="11">
        <v>24647</v>
      </c>
      <c r="J42" s="11">
        <f>VLOOKUP(B42,'Mar 26'!B:G,6,FALSE)</f>
        <v>11224</v>
      </c>
      <c r="K42" s="11">
        <v>0</v>
      </c>
      <c r="L42" s="11">
        <f t="shared" si="2"/>
        <v>0</v>
      </c>
      <c r="M42" s="41">
        <f t="shared" si="3"/>
        <v>0</v>
      </c>
    </row>
    <row r="43" spans="1:13" ht="16.5" thickTop="1" thickBot="1" x14ac:dyDescent="0.3">
      <c r="A43" s="5" t="s">
        <v>367</v>
      </c>
      <c r="B43" s="6">
        <v>85396</v>
      </c>
      <c r="C43" s="7" t="s">
        <v>368</v>
      </c>
      <c r="D43" s="39">
        <v>46090</v>
      </c>
      <c r="E43" s="39" t="s">
        <v>13</v>
      </c>
      <c r="F43" s="39" t="s">
        <v>13</v>
      </c>
      <c r="G43" s="9">
        <v>9792</v>
      </c>
      <c r="H43" s="10">
        <v>9792</v>
      </c>
      <c r="I43" s="11">
        <v>19584</v>
      </c>
      <c r="J43" s="11">
        <f>VLOOKUP(B43,'Mar 26'!B:G,6,FALSE)</f>
        <v>9792</v>
      </c>
      <c r="K43" s="11">
        <v>0</v>
      </c>
      <c r="L43" s="11">
        <f t="shared" si="2"/>
        <v>0</v>
      </c>
      <c r="M43" s="41">
        <f t="shared" si="3"/>
        <v>0</v>
      </c>
    </row>
    <row r="44" spans="1:13" ht="16.5" thickTop="1" thickBot="1" x14ac:dyDescent="0.3">
      <c r="A44" s="5" t="s">
        <v>332</v>
      </c>
      <c r="B44" s="6">
        <v>86825</v>
      </c>
      <c r="C44" s="7" t="s">
        <v>16</v>
      </c>
      <c r="D44" s="39">
        <v>46076</v>
      </c>
      <c r="E44" s="39">
        <v>46101</v>
      </c>
      <c r="F44" s="39">
        <v>46142</v>
      </c>
      <c r="G44" s="45">
        <v>0</v>
      </c>
      <c r="H44" s="10"/>
      <c r="I44" s="11"/>
      <c r="J44" s="11">
        <f>VLOOKUP(B44,'Mar 26'!B:G,6,FALSE)</f>
        <v>6409</v>
      </c>
      <c r="K44" s="11">
        <f>J44-G44</f>
        <v>6409</v>
      </c>
      <c r="L44" s="11" t="s">
        <v>613</v>
      </c>
      <c r="M44" s="41">
        <f>-K44</f>
        <v>-6409</v>
      </c>
    </row>
    <row r="45" spans="1:13" ht="16.5" thickTop="1" thickBot="1" x14ac:dyDescent="0.3">
      <c r="A45" s="5" t="s">
        <v>508</v>
      </c>
      <c r="B45" s="6">
        <v>89296</v>
      </c>
      <c r="C45" s="7" t="s">
        <v>509</v>
      </c>
      <c r="D45" s="39">
        <v>46100</v>
      </c>
      <c r="E45" s="39" t="s">
        <v>13</v>
      </c>
      <c r="F45" s="39" t="s">
        <v>13</v>
      </c>
      <c r="G45" s="9">
        <v>109253</v>
      </c>
      <c r="H45" s="10">
        <v>109253</v>
      </c>
      <c r="I45" s="11">
        <v>218506</v>
      </c>
      <c r="J45" s="11">
        <f>VLOOKUP(B45,'Mar 26'!B:G,6,FALSE)</f>
        <v>109253</v>
      </c>
      <c r="K45" s="11">
        <v>0</v>
      </c>
      <c r="L45" s="11">
        <f>G45-J45</f>
        <v>0</v>
      </c>
      <c r="M45" s="41">
        <f>L45-K45</f>
        <v>0</v>
      </c>
    </row>
    <row r="46" spans="1:13" ht="16.5" thickTop="1" thickBot="1" x14ac:dyDescent="0.3">
      <c r="A46" s="5" t="s">
        <v>274</v>
      </c>
      <c r="B46" s="6">
        <v>88868</v>
      </c>
      <c r="C46" s="7" t="s">
        <v>45</v>
      </c>
      <c r="D46" s="39">
        <v>46059</v>
      </c>
      <c r="E46" s="39" t="s">
        <v>13</v>
      </c>
      <c r="F46" s="39" t="s">
        <v>13</v>
      </c>
      <c r="G46" s="9">
        <v>17321</v>
      </c>
      <c r="H46" s="10">
        <v>17321</v>
      </c>
      <c r="I46" s="11">
        <v>34642</v>
      </c>
      <c r="J46" s="11">
        <f>VLOOKUP(B46,'Mar 26'!B:G,6,FALSE)</f>
        <v>17321</v>
      </c>
      <c r="K46" s="11">
        <v>0</v>
      </c>
      <c r="L46" s="11">
        <f>G46-J46</f>
        <v>0</v>
      </c>
      <c r="M46" s="41">
        <f>L46-K46</f>
        <v>0</v>
      </c>
    </row>
    <row r="47" spans="1:13" ht="16.5" thickTop="1" thickBot="1" x14ac:dyDescent="0.3">
      <c r="A47" s="5" t="s">
        <v>235</v>
      </c>
      <c r="B47" s="6">
        <v>88131</v>
      </c>
      <c r="C47" s="7" t="s">
        <v>19</v>
      </c>
      <c r="D47" s="39">
        <v>46042</v>
      </c>
      <c r="E47" s="39">
        <v>46076</v>
      </c>
      <c r="F47" s="39">
        <v>46142</v>
      </c>
      <c r="G47" s="45">
        <v>0</v>
      </c>
      <c r="H47" s="10"/>
      <c r="I47" s="11"/>
      <c r="J47" s="11">
        <f>VLOOKUP(B47,'Mar 26'!B:G,6,FALSE)</f>
        <v>33237</v>
      </c>
      <c r="K47" s="11">
        <f>J47-G47</f>
        <v>33237</v>
      </c>
      <c r="L47" s="11" t="s">
        <v>613</v>
      </c>
      <c r="M47" s="41">
        <f>-K47</f>
        <v>-33237</v>
      </c>
    </row>
    <row r="48" spans="1:13" ht="16.5" thickTop="1" thickBot="1" x14ac:dyDescent="0.3">
      <c r="A48" s="5" t="s">
        <v>586</v>
      </c>
      <c r="B48" s="6">
        <v>88845</v>
      </c>
      <c r="C48" s="7" t="s">
        <v>14</v>
      </c>
      <c r="D48" s="39">
        <v>46115</v>
      </c>
      <c r="E48" s="39" t="s">
        <v>13</v>
      </c>
      <c r="F48" s="39" t="s">
        <v>13</v>
      </c>
      <c r="G48" s="9">
        <v>51819</v>
      </c>
      <c r="H48" s="10">
        <f>I48-G48</f>
        <v>51818</v>
      </c>
      <c r="I48" s="11">
        <v>103637</v>
      </c>
      <c r="J48" s="11">
        <v>0</v>
      </c>
      <c r="K48" s="11">
        <v>0</v>
      </c>
      <c r="L48" s="11">
        <f t="shared" ref="L48:L57" si="4">G48-J48</f>
        <v>51819</v>
      </c>
      <c r="M48" s="41">
        <f t="shared" ref="M48:M57" si="5">L48-K48</f>
        <v>51819</v>
      </c>
    </row>
    <row r="49" spans="1:13" ht="16.5" thickTop="1" thickBot="1" x14ac:dyDescent="0.3">
      <c r="A49" s="5" t="s">
        <v>622</v>
      </c>
      <c r="B49" s="6">
        <v>89829</v>
      </c>
      <c r="C49" s="7" t="s">
        <v>27</v>
      </c>
      <c r="D49" s="39">
        <v>46134</v>
      </c>
      <c r="E49" s="39" t="s">
        <v>13</v>
      </c>
      <c r="F49" s="39" t="s">
        <v>13</v>
      </c>
      <c r="G49" s="9">
        <v>90746</v>
      </c>
      <c r="H49" s="10">
        <f>I49-G49</f>
        <v>90746</v>
      </c>
      <c r="I49" s="11">
        <v>181492</v>
      </c>
      <c r="J49" s="11"/>
      <c r="K49" s="11">
        <f>IF(G49=0,J49-G49,0)</f>
        <v>0</v>
      </c>
      <c r="L49" s="11">
        <f t="shared" si="4"/>
        <v>90746</v>
      </c>
      <c r="M49" s="41">
        <f t="shared" si="5"/>
        <v>90746</v>
      </c>
    </row>
    <row r="50" spans="1:13" ht="16.5" thickTop="1" thickBot="1" x14ac:dyDescent="0.3">
      <c r="A50" s="5" t="s">
        <v>641</v>
      </c>
      <c r="B50" s="6">
        <v>89254</v>
      </c>
      <c r="C50" s="6" t="s">
        <v>18</v>
      </c>
      <c r="D50" s="39">
        <v>46142</v>
      </c>
      <c r="E50" s="39" t="s">
        <v>13</v>
      </c>
      <c r="F50" s="39" t="s">
        <v>13</v>
      </c>
      <c r="G50" s="9">
        <v>8136</v>
      </c>
      <c r="H50" s="10">
        <f>I50-G50</f>
        <v>8136</v>
      </c>
      <c r="I50" s="11">
        <v>16272</v>
      </c>
      <c r="J50" s="11"/>
      <c r="K50" s="11">
        <f>IF(G50=0,J50-G50,0)</f>
        <v>0</v>
      </c>
      <c r="L50" s="11">
        <f t="shared" si="4"/>
        <v>8136</v>
      </c>
      <c r="M50" s="41">
        <f t="shared" si="5"/>
        <v>8136</v>
      </c>
    </row>
    <row r="51" spans="1:13" ht="16.5" thickTop="1" thickBot="1" x14ac:dyDescent="0.3">
      <c r="A51" s="5" t="s">
        <v>637</v>
      </c>
      <c r="B51" s="6">
        <v>90388</v>
      </c>
      <c r="C51" s="6" t="s">
        <v>283</v>
      </c>
      <c r="D51" s="39">
        <v>46140</v>
      </c>
      <c r="E51" s="39" t="s">
        <v>13</v>
      </c>
      <c r="F51" s="39" t="s">
        <v>13</v>
      </c>
      <c r="G51" s="9">
        <v>25275</v>
      </c>
      <c r="H51" s="10">
        <f>I51-G51</f>
        <v>25275.260000000002</v>
      </c>
      <c r="I51" s="11">
        <v>50550.26</v>
      </c>
      <c r="J51" s="11"/>
      <c r="K51" s="11">
        <f>IF(G51=0,J51-G51,0)</f>
        <v>0</v>
      </c>
      <c r="L51" s="11">
        <f t="shared" si="4"/>
        <v>25275</v>
      </c>
      <c r="M51" s="41">
        <f t="shared" si="5"/>
        <v>25275</v>
      </c>
    </row>
    <row r="52" spans="1:13" ht="16.5" thickTop="1" thickBot="1" x14ac:dyDescent="0.3">
      <c r="A52" s="5" t="s">
        <v>358</v>
      </c>
      <c r="B52" s="6">
        <v>87426</v>
      </c>
      <c r="C52" s="7" t="s">
        <v>21</v>
      </c>
      <c r="D52" s="39">
        <v>46084</v>
      </c>
      <c r="E52" s="39" t="s">
        <v>13</v>
      </c>
      <c r="F52" s="39" t="s">
        <v>13</v>
      </c>
      <c r="G52" s="9">
        <v>94654</v>
      </c>
      <c r="H52" s="10">
        <v>94653</v>
      </c>
      <c r="I52" s="11">
        <v>189307</v>
      </c>
      <c r="J52" s="11">
        <f>VLOOKUP(B52,'Mar 26'!B:G,6,FALSE)</f>
        <v>94654</v>
      </c>
      <c r="K52" s="11">
        <v>0</v>
      </c>
      <c r="L52" s="11">
        <f t="shared" si="4"/>
        <v>0</v>
      </c>
      <c r="M52" s="41">
        <f t="shared" si="5"/>
        <v>0</v>
      </c>
    </row>
    <row r="53" spans="1:13" ht="16.5" thickTop="1" thickBot="1" x14ac:dyDescent="0.3">
      <c r="A53" s="5" t="s">
        <v>75</v>
      </c>
      <c r="B53" s="6">
        <v>83108</v>
      </c>
      <c r="C53" s="7" t="s">
        <v>76</v>
      </c>
      <c r="D53" s="39">
        <v>45764</v>
      </c>
      <c r="E53" s="39" t="s">
        <v>13</v>
      </c>
      <c r="F53" s="39" t="s">
        <v>13</v>
      </c>
      <c r="G53" s="9">
        <v>172204.5</v>
      </c>
      <c r="H53" s="10">
        <v>172204.5</v>
      </c>
      <c r="I53" s="11">
        <v>344409</v>
      </c>
      <c r="J53" s="11">
        <f>VLOOKUP(B53,'Mar 26'!B:G,6,FALSE)</f>
        <v>172204.5</v>
      </c>
      <c r="K53" s="11">
        <v>0</v>
      </c>
      <c r="L53" s="11">
        <f t="shared" si="4"/>
        <v>0</v>
      </c>
      <c r="M53" s="41">
        <f t="shared" si="5"/>
        <v>0</v>
      </c>
    </row>
    <row r="54" spans="1:13" ht="16.5" thickTop="1" thickBot="1" x14ac:dyDescent="0.3">
      <c r="A54" s="5" t="s">
        <v>138</v>
      </c>
      <c r="B54" s="6">
        <v>84134</v>
      </c>
      <c r="C54" s="7" t="s">
        <v>14</v>
      </c>
      <c r="D54" s="39">
        <v>45945</v>
      </c>
      <c r="E54" s="39">
        <v>46091</v>
      </c>
      <c r="F54" s="39" t="s">
        <v>350</v>
      </c>
      <c r="G54" s="9">
        <v>64205</v>
      </c>
      <c r="H54" s="10">
        <v>61477</v>
      </c>
      <c r="I54" s="11">
        <v>125682</v>
      </c>
      <c r="J54" s="11">
        <f>VLOOKUP(B54,'Mar 26'!B:G,6,FALSE)</f>
        <v>64205</v>
      </c>
      <c r="K54" s="11">
        <v>0</v>
      </c>
      <c r="L54" s="11">
        <f t="shared" si="4"/>
        <v>0</v>
      </c>
      <c r="M54" s="41">
        <f t="shared" si="5"/>
        <v>0</v>
      </c>
    </row>
    <row r="55" spans="1:13" ht="16.5" thickTop="1" thickBot="1" x14ac:dyDescent="0.3">
      <c r="A55" s="5" t="s">
        <v>378</v>
      </c>
      <c r="B55" s="6">
        <v>85777</v>
      </c>
      <c r="C55" s="7" t="s">
        <v>37</v>
      </c>
      <c r="D55" s="39">
        <v>46093</v>
      </c>
      <c r="E55" s="39" t="s">
        <v>13</v>
      </c>
      <c r="F55" s="39" t="s">
        <v>13</v>
      </c>
      <c r="G55" s="9">
        <v>17769</v>
      </c>
      <c r="H55" s="10">
        <v>168389</v>
      </c>
      <c r="I55" s="11">
        <v>186158</v>
      </c>
      <c r="J55" s="11">
        <f>VLOOKUP(B55,'Mar 26'!B:G,6,FALSE)</f>
        <v>17769</v>
      </c>
      <c r="K55" s="11">
        <v>0</v>
      </c>
      <c r="L55" s="11">
        <f t="shared" si="4"/>
        <v>0</v>
      </c>
      <c r="M55" s="41">
        <f t="shared" si="5"/>
        <v>0</v>
      </c>
    </row>
    <row r="56" spans="1:13" ht="16.5" thickTop="1" thickBot="1" x14ac:dyDescent="0.3">
      <c r="A56" s="5" t="s">
        <v>288</v>
      </c>
      <c r="B56" s="6">
        <v>88087</v>
      </c>
      <c r="C56" s="7" t="s">
        <v>295</v>
      </c>
      <c r="D56" s="39">
        <v>46064</v>
      </c>
      <c r="E56" s="39" t="s">
        <v>13</v>
      </c>
      <c r="F56" s="39" t="s">
        <v>13</v>
      </c>
      <c r="G56" s="9">
        <v>123085</v>
      </c>
      <c r="H56" s="10">
        <v>123084</v>
      </c>
      <c r="I56" s="11">
        <v>246169</v>
      </c>
      <c r="J56" s="11">
        <f>VLOOKUP(B56,'Mar 26'!B:G,6,FALSE)</f>
        <v>123085</v>
      </c>
      <c r="K56" s="11">
        <v>0</v>
      </c>
      <c r="L56" s="11">
        <f t="shared" si="4"/>
        <v>0</v>
      </c>
      <c r="M56" s="41">
        <f t="shared" si="5"/>
        <v>0</v>
      </c>
    </row>
    <row r="57" spans="1:13" ht="16.5" thickTop="1" thickBot="1" x14ac:dyDescent="0.3">
      <c r="A57" s="5" t="s">
        <v>122</v>
      </c>
      <c r="B57" s="6">
        <v>87161</v>
      </c>
      <c r="C57" s="7" t="s">
        <v>23</v>
      </c>
      <c r="D57" s="39">
        <v>45924</v>
      </c>
      <c r="E57" s="39">
        <v>45992</v>
      </c>
      <c r="F57" s="39" t="s">
        <v>350</v>
      </c>
      <c r="G57" s="9">
        <v>17417</v>
      </c>
      <c r="H57" s="10">
        <v>17417</v>
      </c>
      <c r="I57" s="11">
        <v>34834</v>
      </c>
      <c r="J57" s="11">
        <f>VLOOKUP(B57,'Mar 26'!B:G,6,FALSE)</f>
        <v>17417</v>
      </c>
      <c r="K57" s="11">
        <v>0</v>
      </c>
      <c r="L57" s="11">
        <f t="shared" si="4"/>
        <v>0</v>
      </c>
      <c r="M57" s="41">
        <f t="shared" si="5"/>
        <v>0</v>
      </c>
    </row>
    <row r="58" spans="1:13" ht="16.5" thickTop="1" thickBot="1" x14ac:dyDescent="0.3">
      <c r="A58" s="5" t="s">
        <v>336</v>
      </c>
      <c r="B58" s="6">
        <v>88180</v>
      </c>
      <c r="C58" s="7" t="s">
        <v>21</v>
      </c>
      <c r="D58" s="39">
        <v>46078</v>
      </c>
      <c r="E58" s="39">
        <v>46090</v>
      </c>
      <c r="F58" s="39">
        <v>46133</v>
      </c>
      <c r="G58" s="45">
        <v>0</v>
      </c>
      <c r="H58" s="10"/>
      <c r="I58" s="11"/>
      <c r="J58" s="11">
        <f>VLOOKUP(B58,'Mar 26'!B:G,6,FALSE)</f>
        <v>38957</v>
      </c>
      <c r="K58" s="11">
        <f>J58-G58</f>
        <v>38957</v>
      </c>
      <c r="L58" s="11" t="s">
        <v>613</v>
      </c>
      <c r="M58" s="41">
        <f>-K58</f>
        <v>-38957</v>
      </c>
    </row>
    <row r="59" spans="1:13" ht="16.5" thickTop="1" thickBot="1" x14ac:dyDescent="0.3">
      <c r="A59" s="5" t="s">
        <v>623</v>
      </c>
      <c r="B59" s="6">
        <v>89338</v>
      </c>
      <c r="C59" s="7" t="s">
        <v>19</v>
      </c>
      <c r="D59" s="39">
        <v>46134</v>
      </c>
      <c r="E59" s="39" t="s">
        <v>13</v>
      </c>
      <c r="F59" s="39" t="s">
        <v>13</v>
      </c>
      <c r="G59" s="9">
        <v>14498</v>
      </c>
      <c r="H59" s="10">
        <f>I59-G59</f>
        <v>14498</v>
      </c>
      <c r="I59" s="11">
        <v>28996</v>
      </c>
      <c r="J59" s="11"/>
      <c r="K59" s="11">
        <f>IF(G59=0,J59-G59,0)</f>
        <v>0</v>
      </c>
      <c r="L59" s="11">
        <f>G59-J59</f>
        <v>14498</v>
      </c>
      <c r="M59" s="41">
        <f>L59-K59</f>
        <v>14498</v>
      </c>
    </row>
    <row r="60" spans="1:13" ht="16.5" thickTop="1" thickBot="1" x14ac:dyDescent="0.3">
      <c r="A60" s="5" t="s">
        <v>503</v>
      </c>
      <c r="B60" s="6">
        <v>89554</v>
      </c>
      <c r="C60" s="7" t="s">
        <v>19</v>
      </c>
      <c r="D60" s="39">
        <v>46100</v>
      </c>
      <c r="E60" s="39" t="s">
        <v>13</v>
      </c>
      <c r="F60" s="39" t="s">
        <v>13</v>
      </c>
      <c r="G60" s="9">
        <v>17304</v>
      </c>
      <c r="H60" s="10">
        <v>17303</v>
      </c>
      <c r="I60" s="11">
        <v>34607</v>
      </c>
      <c r="J60" s="11">
        <f>VLOOKUP(B60,'Mar 26'!B:G,6,FALSE)</f>
        <v>17304</v>
      </c>
      <c r="K60" s="11">
        <v>0</v>
      </c>
      <c r="L60" s="11">
        <f>G60-J60</f>
        <v>0</v>
      </c>
      <c r="M60" s="41">
        <f>L60-K60</f>
        <v>0</v>
      </c>
    </row>
    <row r="61" spans="1:13" ht="16.5" thickTop="1" thickBot="1" x14ac:dyDescent="0.3">
      <c r="A61" s="5" t="s">
        <v>123</v>
      </c>
      <c r="B61" s="6">
        <v>86965</v>
      </c>
      <c r="C61" s="7" t="s">
        <v>33</v>
      </c>
      <c r="D61" s="39">
        <v>45924</v>
      </c>
      <c r="E61" s="39">
        <v>46048</v>
      </c>
      <c r="F61" s="39">
        <v>46120</v>
      </c>
      <c r="G61" s="45">
        <v>0</v>
      </c>
      <c r="H61" s="10"/>
      <c r="I61" s="11"/>
      <c r="J61" s="11">
        <f>VLOOKUP(B61,'Mar 26'!B:G,6,FALSE)</f>
        <v>49026</v>
      </c>
      <c r="K61" s="11">
        <f>J61-G61</f>
        <v>49026</v>
      </c>
      <c r="L61" s="11" t="s">
        <v>613</v>
      </c>
      <c r="M61" s="41">
        <f>-K61</f>
        <v>-49026</v>
      </c>
    </row>
    <row r="62" spans="1:13" ht="16.5" thickTop="1" thickBot="1" x14ac:dyDescent="0.3">
      <c r="A62" s="5" t="s">
        <v>569</v>
      </c>
      <c r="B62" s="6">
        <v>83204</v>
      </c>
      <c r="C62" s="7" t="s">
        <v>14</v>
      </c>
      <c r="D62" s="39">
        <v>46108</v>
      </c>
      <c r="E62" s="39" t="s">
        <v>13</v>
      </c>
      <c r="F62" s="39" t="s">
        <v>13</v>
      </c>
      <c r="G62" s="9">
        <v>44368</v>
      </c>
      <c r="H62" s="10">
        <v>44368</v>
      </c>
      <c r="I62" s="11">
        <v>88736</v>
      </c>
      <c r="J62" s="11">
        <f>VLOOKUP(B62,'Mar 26'!B:G,6,FALSE)</f>
        <v>44368</v>
      </c>
      <c r="K62" s="11">
        <v>0</v>
      </c>
      <c r="L62" s="11">
        <f t="shared" ref="L62:L70" si="6">G62-J62</f>
        <v>0</v>
      </c>
      <c r="M62" s="41">
        <f t="shared" ref="M62:M70" si="7">L62-K62</f>
        <v>0</v>
      </c>
    </row>
    <row r="63" spans="1:13" ht="16.5" thickTop="1" thickBot="1" x14ac:dyDescent="0.3">
      <c r="A63" s="5" t="s">
        <v>355</v>
      </c>
      <c r="B63" s="6">
        <v>85495</v>
      </c>
      <c r="C63" s="7" t="s">
        <v>14</v>
      </c>
      <c r="D63" s="39">
        <v>46083</v>
      </c>
      <c r="E63" s="39">
        <v>46106</v>
      </c>
      <c r="F63" s="39" t="s">
        <v>351</v>
      </c>
      <c r="G63" s="9">
        <v>29175</v>
      </c>
      <c r="H63" s="10">
        <v>29175</v>
      </c>
      <c r="I63" s="11">
        <v>58350</v>
      </c>
      <c r="J63" s="11">
        <f>VLOOKUP(B63,'Mar 26'!B:G,6,FALSE)</f>
        <v>29175</v>
      </c>
      <c r="K63" s="11">
        <v>0</v>
      </c>
      <c r="L63" s="11">
        <f t="shared" si="6"/>
        <v>0</v>
      </c>
      <c r="M63" s="41">
        <f t="shared" si="7"/>
        <v>0</v>
      </c>
    </row>
    <row r="64" spans="1:13" ht="16.5" thickTop="1" thickBot="1" x14ac:dyDescent="0.3">
      <c r="A64" s="5" t="s">
        <v>375</v>
      </c>
      <c r="B64" s="6">
        <v>88756</v>
      </c>
      <c r="C64" s="7" t="s">
        <v>23</v>
      </c>
      <c r="D64" s="39">
        <v>46092</v>
      </c>
      <c r="E64" s="39" t="s">
        <v>13</v>
      </c>
      <c r="F64" s="39" t="s">
        <v>13</v>
      </c>
      <c r="G64" s="9">
        <v>160000</v>
      </c>
      <c r="H64" s="10">
        <v>158239</v>
      </c>
      <c r="I64" s="11">
        <v>318239</v>
      </c>
      <c r="J64" s="11">
        <f>VLOOKUP(B64,'Mar 26'!B:G,6,FALSE)</f>
        <v>160000</v>
      </c>
      <c r="K64" s="11">
        <v>0</v>
      </c>
      <c r="L64" s="11">
        <f t="shared" si="6"/>
        <v>0</v>
      </c>
      <c r="M64" s="41">
        <f t="shared" si="7"/>
        <v>0</v>
      </c>
    </row>
    <row r="65" spans="1:13" ht="16.5" thickTop="1" thickBot="1" x14ac:dyDescent="0.3">
      <c r="A65" s="5" t="s">
        <v>372</v>
      </c>
      <c r="B65" s="6">
        <v>89698</v>
      </c>
      <c r="C65" s="7" t="s">
        <v>23</v>
      </c>
      <c r="D65" s="39">
        <v>46091</v>
      </c>
      <c r="E65" s="39" t="s">
        <v>13</v>
      </c>
      <c r="F65" s="39" t="s">
        <v>13</v>
      </c>
      <c r="G65" s="9">
        <v>8935.32</v>
      </c>
      <c r="H65" s="10">
        <v>8935.32</v>
      </c>
      <c r="I65" s="62">
        <v>17870.64</v>
      </c>
      <c r="J65" s="11">
        <f>VLOOKUP(B65,'Mar 26'!B:G,6,FALSE)</f>
        <v>8935.32</v>
      </c>
      <c r="K65" s="11">
        <v>0</v>
      </c>
      <c r="L65" s="11">
        <f t="shared" si="6"/>
        <v>0</v>
      </c>
      <c r="M65" s="41">
        <f t="shared" si="7"/>
        <v>0</v>
      </c>
    </row>
    <row r="66" spans="1:13" ht="16.5" thickTop="1" thickBot="1" x14ac:dyDescent="0.3">
      <c r="A66" s="5" t="s">
        <v>516</v>
      </c>
      <c r="B66" s="6">
        <v>88858</v>
      </c>
      <c r="C66" s="7" t="s">
        <v>23</v>
      </c>
      <c r="D66" s="39">
        <v>46105</v>
      </c>
      <c r="E66" s="39" t="s">
        <v>13</v>
      </c>
      <c r="F66" s="39" t="s">
        <v>13</v>
      </c>
      <c r="G66" s="9">
        <v>16192</v>
      </c>
      <c r="H66" s="10">
        <v>16192</v>
      </c>
      <c r="I66" s="11">
        <v>32384</v>
      </c>
      <c r="J66" s="11">
        <f>VLOOKUP(B66,'Mar 26'!B:G,6,FALSE)</f>
        <v>16192</v>
      </c>
      <c r="K66" s="11">
        <v>0</v>
      </c>
      <c r="L66" s="11">
        <f t="shared" si="6"/>
        <v>0</v>
      </c>
      <c r="M66" s="41">
        <f t="shared" si="7"/>
        <v>0</v>
      </c>
    </row>
    <row r="67" spans="1:13" ht="16.5" thickTop="1" thickBot="1" x14ac:dyDescent="0.3">
      <c r="A67" s="5" t="s">
        <v>323</v>
      </c>
      <c r="B67" s="6">
        <v>88511</v>
      </c>
      <c r="C67" s="7" t="s">
        <v>23</v>
      </c>
      <c r="D67" s="39">
        <v>46072</v>
      </c>
      <c r="E67" s="39" t="s">
        <v>13</v>
      </c>
      <c r="F67" s="39" t="s">
        <v>13</v>
      </c>
      <c r="G67" s="9">
        <v>19222</v>
      </c>
      <c r="H67" s="10">
        <v>19222</v>
      </c>
      <c r="I67" s="11">
        <v>38444</v>
      </c>
      <c r="J67" s="11">
        <f>VLOOKUP(B67,'Mar 26'!B:G,6,FALSE)</f>
        <v>19222</v>
      </c>
      <c r="K67" s="11">
        <v>0</v>
      </c>
      <c r="L67" s="11">
        <f t="shared" si="6"/>
        <v>0</v>
      </c>
      <c r="M67" s="41">
        <f t="shared" si="7"/>
        <v>0</v>
      </c>
    </row>
    <row r="68" spans="1:13" ht="16.5" thickTop="1" thickBot="1" x14ac:dyDescent="0.3">
      <c r="A68" s="5" t="s">
        <v>223</v>
      </c>
      <c r="B68" s="6">
        <v>83729</v>
      </c>
      <c r="C68" s="7" t="s">
        <v>23</v>
      </c>
      <c r="D68" s="39">
        <v>46028</v>
      </c>
      <c r="E68" s="39" t="s">
        <v>13</v>
      </c>
      <c r="F68" s="39" t="s">
        <v>13</v>
      </c>
      <c r="G68" s="9">
        <v>31223</v>
      </c>
      <c r="H68" s="10">
        <v>27501</v>
      </c>
      <c r="I68" s="11">
        <v>58724</v>
      </c>
      <c r="J68" s="11">
        <f>VLOOKUP(B68,'Mar 26'!B:G,6,FALSE)</f>
        <v>31223</v>
      </c>
      <c r="K68" s="11">
        <v>0</v>
      </c>
      <c r="L68" s="11">
        <f t="shared" si="6"/>
        <v>0</v>
      </c>
      <c r="M68" s="41">
        <f t="shared" si="7"/>
        <v>0</v>
      </c>
    </row>
    <row r="69" spans="1:13" ht="16.5" thickTop="1" thickBot="1" x14ac:dyDescent="0.3">
      <c r="A69" s="5" t="s">
        <v>504</v>
      </c>
      <c r="B69" s="6">
        <v>85504</v>
      </c>
      <c r="C69" s="7" t="s">
        <v>38</v>
      </c>
      <c r="D69" s="39">
        <v>46100</v>
      </c>
      <c r="E69" s="39" t="s">
        <v>13</v>
      </c>
      <c r="F69" s="39" t="s">
        <v>13</v>
      </c>
      <c r="G69" s="9">
        <v>151068</v>
      </c>
      <c r="H69" s="10">
        <v>151068</v>
      </c>
      <c r="I69" s="11">
        <v>302136</v>
      </c>
      <c r="J69" s="11">
        <f>VLOOKUP(B69,'Mar 26'!B:G,6,FALSE)</f>
        <v>151068</v>
      </c>
      <c r="K69" s="11">
        <v>0</v>
      </c>
      <c r="L69" s="11">
        <f t="shared" si="6"/>
        <v>0</v>
      </c>
      <c r="M69" s="41">
        <f t="shared" si="7"/>
        <v>0</v>
      </c>
    </row>
    <row r="70" spans="1:13" ht="16.5" thickTop="1" thickBot="1" x14ac:dyDescent="0.3">
      <c r="A70" s="5" t="s">
        <v>495</v>
      </c>
      <c r="B70" s="6">
        <v>89285</v>
      </c>
      <c r="C70" s="7" t="s">
        <v>40</v>
      </c>
      <c r="D70" s="39">
        <v>46098</v>
      </c>
      <c r="E70" s="39" t="s">
        <v>13</v>
      </c>
      <c r="F70" s="39" t="s">
        <v>13</v>
      </c>
      <c r="G70" s="9">
        <v>23405</v>
      </c>
      <c r="H70" s="10">
        <v>23404</v>
      </c>
      <c r="I70" s="11">
        <v>46809</v>
      </c>
      <c r="J70" s="11">
        <f>VLOOKUP(B70,'Mar 26'!B:G,6,FALSE)</f>
        <v>23405</v>
      </c>
      <c r="K70" s="11">
        <v>0</v>
      </c>
      <c r="L70" s="11">
        <f t="shared" si="6"/>
        <v>0</v>
      </c>
      <c r="M70" s="41">
        <f t="shared" si="7"/>
        <v>0</v>
      </c>
    </row>
    <row r="71" spans="1:13" ht="16.5" thickTop="1" thickBot="1" x14ac:dyDescent="0.3">
      <c r="A71" s="5" t="s">
        <v>216</v>
      </c>
      <c r="B71" s="6">
        <v>85454</v>
      </c>
      <c r="C71" s="7" t="s">
        <v>38</v>
      </c>
      <c r="D71" s="39" t="s">
        <v>218</v>
      </c>
      <c r="E71" s="39">
        <v>46044</v>
      </c>
      <c r="F71" s="39">
        <v>46139</v>
      </c>
      <c r="G71" s="45">
        <v>0</v>
      </c>
      <c r="H71" s="10"/>
      <c r="I71" s="11"/>
      <c r="J71" s="11">
        <f>VLOOKUP(B71,'Mar 26'!B:G,6,FALSE)</f>
        <v>14438</v>
      </c>
      <c r="K71" s="11">
        <f>J71-G71</f>
        <v>14438</v>
      </c>
      <c r="L71" s="11" t="s">
        <v>613</v>
      </c>
      <c r="M71" s="41">
        <f>-K71</f>
        <v>-14438</v>
      </c>
    </row>
    <row r="72" spans="1:13" ht="16.5" thickTop="1" thickBot="1" x14ac:dyDescent="0.3">
      <c r="A72" s="5" t="s">
        <v>640</v>
      </c>
      <c r="B72" s="6">
        <v>89324</v>
      </c>
      <c r="C72" s="6" t="s">
        <v>31</v>
      </c>
      <c r="D72" s="39">
        <v>46141</v>
      </c>
      <c r="E72" s="39" t="s">
        <v>13</v>
      </c>
      <c r="F72" s="39" t="s">
        <v>13</v>
      </c>
      <c r="G72" s="9">
        <v>15963</v>
      </c>
      <c r="H72" s="10">
        <f>I72-G72</f>
        <v>15962</v>
      </c>
      <c r="I72" s="11">
        <v>31925</v>
      </c>
      <c r="J72" s="11"/>
      <c r="K72" s="11">
        <f>IF(G72=0,J72-G72,0)</f>
        <v>0</v>
      </c>
      <c r="L72" s="11">
        <f t="shared" ref="L72:L83" si="8">G72-J72</f>
        <v>15963</v>
      </c>
      <c r="M72" s="41">
        <f t="shared" ref="M72:M83" si="9">L72-K72</f>
        <v>15963</v>
      </c>
    </row>
    <row r="73" spans="1:13" ht="16.5" thickTop="1" thickBot="1" x14ac:dyDescent="0.3">
      <c r="A73" s="5" t="s">
        <v>575</v>
      </c>
      <c r="B73" s="6">
        <v>89984</v>
      </c>
      <c r="C73" s="7" t="s">
        <v>21</v>
      </c>
      <c r="D73" s="39">
        <v>46112</v>
      </c>
      <c r="E73" s="39" t="s">
        <v>13</v>
      </c>
      <c r="F73" s="39" t="s">
        <v>13</v>
      </c>
      <c r="G73" s="19">
        <v>1897</v>
      </c>
      <c r="H73" s="10">
        <v>0</v>
      </c>
      <c r="I73" s="11">
        <v>1897</v>
      </c>
      <c r="J73" s="11">
        <f>VLOOKUP(B73,'Mar 26'!B:G,6,FALSE)</f>
        <v>1897</v>
      </c>
      <c r="K73" s="11">
        <v>0</v>
      </c>
      <c r="L73" s="11">
        <f t="shared" si="8"/>
        <v>0</v>
      </c>
      <c r="M73" s="41">
        <f t="shared" si="9"/>
        <v>0</v>
      </c>
    </row>
    <row r="74" spans="1:13" ht="16.5" thickTop="1" thickBot="1" x14ac:dyDescent="0.3">
      <c r="A74" s="5" t="s">
        <v>174</v>
      </c>
      <c r="B74" s="6">
        <v>86960</v>
      </c>
      <c r="C74" s="7" t="s">
        <v>38</v>
      </c>
      <c r="D74" s="39">
        <v>45986</v>
      </c>
      <c r="E74" s="39" t="s">
        <v>13</v>
      </c>
      <c r="F74" s="39" t="s">
        <v>13</v>
      </c>
      <c r="G74" s="9">
        <v>8962</v>
      </c>
      <c r="H74" s="10">
        <v>26885</v>
      </c>
      <c r="I74" s="11">
        <v>35847</v>
      </c>
      <c r="J74" s="11">
        <f>VLOOKUP(B74,'Mar 26'!B:G,6,FALSE)</f>
        <v>8962</v>
      </c>
      <c r="K74" s="11">
        <v>0</v>
      </c>
      <c r="L74" s="11">
        <f t="shared" si="8"/>
        <v>0</v>
      </c>
      <c r="M74" s="41">
        <f t="shared" si="9"/>
        <v>0</v>
      </c>
    </row>
    <row r="75" spans="1:13" ht="16.5" thickTop="1" thickBot="1" x14ac:dyDescent="0.3">
      <c r="A75" s="5" t="s">
        <v>632</v>
      </c>
      <c r="B75" s="6">
        <v>89760</v>
      </c>
      <c r="C75" s="7" t="s">
        <v>21</v>
      </c>
      <c r="D75" s="39">
        <v>46139</v>
      </c>
      <c r="E75" s="39" t="s">
        <v>13</v>
      </c>
      <c r="F75" s="39" t="s">
        <v>13</v>
      </c>
      <c r="G75" s="9">
        <v>5641</v>
      </c>
      <c r="H75" s="10">
        <f>I75-G75</f>
        <v>5640</v>
      </c>
      <c r="I75" s="11">
        <v>11281</v>
      </c>
      <c r="J75" s="11"/>
      <c r="K75" s="11">
        <f>IF(G75=0,J75-G75,0)</f>
        <v>0</v>
      </c>
      <c r="L75" s="11">
        <f t="shared" si="8"/>
        <v>5641</v>
      </c>
      <c r="M75" s="41">
        <f t="shared" si="9"/>
        <v>5641</v>
      </c>
    </row>
    <row r="76" spans="1:13" ht="16.5" thickTop="1" thickBot="1" x14ac:dyDescent="0.3">
      <c r="A76" s="5" t="s">
        <v>587</v>
      </c>
      <c r="B76" s="6">
        <v>85987</v>
      </c>
      <c r="C76" s="7" t="s">
        <v>14</v>
      </c>
      <c r="D76" s="39">
        <v>46115</v>
      </c>
      <c r="E76" s="39" t="s">
        <v>13</v>
      </c>
      <c r="F76" s="39" t="s">
        <v>13</v>
      </c>
      <c r="G76" s="9">
        <v>68043</v>
      </c>
      <c r="H76" s="10">
        <f>I76-G76</f>
        <v>68042</v>
      </c>
      <c r="I76" s="11">
        <v>136085</v>
      </c>
      <c r="J76" s="11">
        <v>0</v>
      </c>
      <c r="K76" s="11">
        <v>0</v>
      </c>
      <c r="L76" s="11">
        <f t="shared" si="8"/>
        <v>68043</v>
      </c>
      <c r="M76" s="41">
        <f t="shared" si="9"/>
        <v>68043</v>
      </c>
    </row>
    <row r="77" spans="1:13" ht="16.5" thickTop="1" thickBot="1" x14ac:dyDescent="0.3">
      <c r="A77" s="5" t="s">
        <v>334</v>
      </c>
      <c r="B77" s="6">
        <v>84692</v>
      </c>
      <c r="C77" s="7" t="s">
        <v>62</v>
      </c>
      <c r="D77" s="39">
        <v>46076</v>
      </c>
      <c r="E77" s="39">
        <v>46100</v>
      </c>
      <c r="F77" s="39" t="s">
        <v>353</v>
      </c>
      <c r="G77" s="9">
        <v>5345</v>
      </c>
      <c r="H77" s="10">
        <v>5344</v>
      </c>
      <c r="I77" s="11">
        <v>10689</v>
      </c>
      <c r="J77" s="11">
        <f>VLOOKUP(B77,'Mar 26'!B:G,6,FALSE)</f>
        <v>5345</v>
      </c>
      <c r="K77" s="11">
        <v>0</v>
      </c>
      <c r="L77" s="11">
        <f t="shared" si="8"/>
        <v>0</v>
      </c>
      <c r="M77" s="41">
        <f t="shared" si="9"/>
        <v>0</v>
      </c>
    </row>
    <row r="78" spans="1:13" ht="16.5" thickTop="1" thickBot="1" x14ac:dyDescent="0.3">
      <c r="A78" s="5" t="s">
        <v>382</v>
      </c>
      <c r="B78" s="6">
        <v>84161</v>
      </c>
      <c r="C78" s="7" t="s">
        <v>76</v>
      </c>
      <c r="D78" s="39">
        <v>46013</v>
      </c>
      <c r="E78" s="39" t="s">
        <v>13</v>
      </c>
      <c r="F78" s="39" t="s">
        <v>13</v>
      </c>
      <c r="G78" s="9">
        <v>176687</v>
      </c>
      <c r="H78" s="10">
        <v>176686</v>
      </c>
      <c r="I78" s="11">
        <v>353373</v>
      </c>
      <c r="J78" s="11">
        <f>VLOOKUP(B78,'Mar 26'!B:G,6,FALSE)</f>
        <v>176687</v>
      </c>
      <c r="K78" s="11">
        <v>0</v>
      </c>
      <c r="L78" s="11">
        <f t="shared" si="8"/>
        <v>0</v>
      </c>
      <c r="M78" s="41">
        <f t="shared" si="9"/>
        <v>0</v>
      </c>
    </row>
    <row r="79" spans="1:13" ht="16.5" thickTop="1" thickBot="1" x14ac:dyDescent="0.3">
      <c r="A79" s="5" t="s">
        <v>101</v>
      </c>
      <c r="B79" s="6" t="s">
        <v>219</v>
      </c>
      <c r="C79" s="7" t="s">
        <v>76</v>
      </c>
      <c r="D79" s="39">
        <v>45868</v>
      </c>
      <c r="E79" s="39" t="s">
        <v>13</v>
      </c>
      <c r="F79" s="39" t="s">
        <v>13</v>
      </c>
      <c r="G79" s="9">
        <v>114974</v>
      </c>
      <c r="H79" s="10">
        <v>114973</v>
      </c>
      <c r="I79" s="11">
        <v>229947</v>
      </c>
      <c r="J79" s="11">
        <f>VLOOKUP(B79,'Mar 26'!B:G,6,FALSE)</f>
        <v>114974</v>
      </c>
      <c r="K79" s="11">
        <v>0</v>
      </c>
      <c r="L79" s="11">
        <f t="shared" si="8"/>
        <v>0</v>
      </c>
      <c r="M79" s="41">
        <f t="shared" si="9"/>
        <v>0</v>
      </c>
    </row>
    <row r="80" spans="1:13" ht="16.5" thickTop="1" thickBot="1" x14ac:dyDescent="0.3">
      <c r="A80" s="5" t="s">
        <v>588</v>
      </c>
      <c r="B80" s="6">
        <v>89675</v>
      </c>
      <c r="C80" s="7" t="s">
        <v>20</v>
      </c>
      <c r="D80" s="39">
        <v>46114</v>
      </c>
      <c r="E80" s="39" t="s">
        <v>13</v>
      </c>
      <c r="F80" s="39" t="s">
        <v>13</v>
      </c>
      <c r="G80" s="9">
        <v>6002</v>
      </c>
      <c r="H80" s="10">
        <f>I80-G80</f>
        <v>6002</v>
      </c>
      <c r="I80" s="11">
        <v>12004</v>
      </c>
      <c r="J80" s="11">
        <v>0</v>
      </c>
      <c r="K80" s="11">
        <v>0</v>
      </c>
      <c r="L80" s="11">
        <f t="shared" si="8"/>
        <v>6002</v>
      </c>
      <c r="M80" s="41">
        <f t="shared" si="9"/>
        <v>6002</v>
      </c>
    </row>
    <row r="81" spans="1:13" ht="16.5" thickTop="1" thickBot="1" x14ac:dyDescent="0.3">
      <c r="A81" s="5" t="s">
        <v>286</v>
      </c>
      <c r="B81" s="6">
        <v>87492</v>
      </c>
      <c r="C81" s="7" t="s">
        <v>295</v>
      </c>
      <c r="D81" s="39">
        <v>46063</v>
      </c>
      <c r="E81" s="39" t="s">
        <v>13</v>
      </c>
      <c r="F81" s="39" t="s">
        <v>13</v>
      </c>
      <c r="G81" s="9">
        <v>22079</v>
      </c>
      <c r="H81" s="10">
        <v>22079</v>
      </c>
      <c r="I81" s="11">
        <v>44158</v>
      </c>
      <c r="J81" s="11">
        <f>VLOOKUP(B81,'Mar 26'!B:G,6,FALSE)</f>
        <v>22079</v>
      </c>
      <c r="K81" s="11">
        <v>0</v>
      </c>
      <c r="L81" s="11">
        <f t="shared" si="8"/>
        <v>0</v>
      </c>
      <c r="M81" s="41">
        <f t="shared" si="9"/>
        <v>0</v>
      </c>
    </row>
    <row r="82" spans="1:13" ht="16.5" thickTop="1" thickBot="1" x14ac:dyDescent="0.3">
      <c r="A82" s="5" t="s">
        <v>339</v>
      </c>
      <c r="B82" s="6">
        <v>89313</v>
      </c>
      <c r="C82" s="7" t="s">
        <v>23</v>
      </c>
      <c r="D82" s="39">
        <v>46079</v>
      </c>
      <c r="E82" s="39">
        <v>46111</v>
      </c>
      <c r="F82" s="39" t="s">
        <v>353</v>
      </c>
      <c r="G82" s="9">
        <v>8773</v>
      </c>
      <c r="H82" s="10">
        <v>8773</v>
      </c>
      <c r="I82" s="11">
        <v>17546</v>
      </c>
      <c r="J82" s="11">
        <f>VLOOKUP(B82,'Mar 26'!B:G,6,FALSE)</f>
        <v>8773</v>
      </c>
      <c r="K82" s="11">
        <v>0</v>
      </c>
      <c r="L82" s="11">
        <f t="shared" si="8"/>
        <v>0</v>
      </c>
      <c r="M82" s="41">
        <f t="shared" si="9"/>
        <v>0</v>
      </c>
    </row>
    <row r="83" spans="1:13" ht="16.5" thickTop="1" thickBot="1" x14ac:dyDescent="0.3">
      <c r="A83" s="5" t="s">
        <v>589</v>
      </c>
      <c r="B83" s="6">
        <v>88818</v>
      </c>
      <c r="C83" s="7" t="s">
        <v>610</v>
      </c>
      <c r="D83" s="39">
        <v>46121</v>
      </c>
      <c r="E83" s="39" t="s">
        <v>13</v>
      </c>
      <c r="F83" s="39" t="s">
        <v>13</v>
      </c>
      <c r="G83" s="9">
        <v>15127</v>
      </c>
      <c r="H83" s="10">
        <f>I83-G83</f>
        <v>15126</v>
      </c>
      <c r="I83" s="11">
        <v>30253</v>
      </c>
      <c r="J83" s="11">
        <v>0</v>
      </c>
      <c r="K83" s="11">
        <v>0</v>
      </c>
      <c r="L83" s="11">
        <f t="shared" si="8"/>
        <v>15127</v>
      </c>
      <c r="M83" s="41">
        <f t="shared" si="9"/>
        <v>15127</v>
      </c>
    </row>
    <row r="84" spans="1:13" ht="16.5" thickTop="1" thickBot="1" x14ac:dyDescent="0.3">
      <c r="A84" s="5" t="s">
        <v>224</v>
      </c>
      <c r="B84" s="6">
        <v>88603</v>
      </c>
      <c r="C84" s="7" t="s">
        <v>21</v>
      </c>
      <c r="D84" s="39">
        <v>46028</v>
      </c>
      <c r="E84" s="39">
        <v>46085</v>
      </c>
      <c r="F84" s="39">
        <v>46127</v>
      </c>
      <c r="G84" s="45">
        <v>0</v>
      </c>
      <c r="H84" s="10"/>
      <c r="I84" s="11"/>
      <c r="J84" s="11">
        <f>VLOOKUP(B84,'Mar 26'!B:G,6,FALSE)</f>
        <v>23396</v>
      </c>
      <c r="K84" s="11">
        <f>J84-G84</f>
        <v>23396</v>
      </c>
      <c r="L84" s="11" t="s">
        <v>613</v>
      </c>
      <c r="M84" s="41">
        <f>-K84</f>
        <v>-23396</v>
      </c>
    </row>
    <row r="85" spans="1:13" ht="16.5" thickTop="1" thickBot="1" x14ac:dyDescent="0.3">
      <c r="A85" s="5" t="s">
        <v>330</v>
      </c>
      <c r="B85" s="6">
        <v>88082</v>
      </c>
      <c r="C85" s="7" t="s">
        <v>14</v>
      </c>
      <c r="D85" s="39">
        <v>46076</v>
      </c>
      <c r="E85" s="39" t="s">
        <v>13</v>
      </c>
      <c r="F85" s="39" t="s">
        <v>13</v>
      </c>
      <c r="G85" s="9">
        <v>35295</v>
      </c>
      <c r="H85" s="10">
        <v>35294</v>
      </c>
      <c r="I85" s="11">
        <v>70589</v>
      </c>
      <c r="J85" s="11">
        <f>VLOOKUP(B85,'Mar 26'!B:G,6,FALSE)</f>
        <v>35295</v>
      </c>
      <c r="K85" s="11">
        <v>0</v>
      </c>
      <c r="L85" s="11">
        <f>G85-J85</f>
        <v>0</v>
      </c>
      <c r="M85" s="41">
        <f>L85-K85</f>
        <v>0</v>
      </c>
    </row>
    <row r="86" spans="1:13" ht="16.5" thickTop="1" thickBot="1" x14ac:dyDescent="0.3">
      <c r="A86" s="5" t="s">
        <v>363</v>
      </c>
      <c r="B86" s="6">
        <v>88012</v>
      </c>
      <c r="C86" s="7" t="s">
        <v>17</v>
      </c>
      <c r="D86" s="39">
        <v>46086</v>
      </c>
      <c r="E86" s="39" t="s">
        <v>13</v>
      </c>
      <c r="F86" s="39" t="s">
        <v>13</v>
      </c>
      <c r="G86" s="9">
        <v>25461</v>
      </c>
      <c r="H86" s="10">
        <v>25461</v>
      </c>
      <c r="I86" s="11">
        <v>50922</v>
      </c>
      <c r="J86" s="11">
        <f>VLOOKUP(B86,'Mar 26'!B:G,6,FALSE)</f>
        <v>25461</v>
      </c>
      <c r="K86" s="11">
        <v>0</v>
      </c>
      <c r="L86" s="11">
        <f>G86-J86</f>
        <v>0</v>
      </c>
      <c r="M86" s="41">
        <f>L86-K86</f>
        <v>0</v>
      </c>
    </row>
    <row r="87" spans="1:13" ht="16.5" thickTop="1" thickBot="1" x14ac:dyDescent="0.3">
      <c r="A87" s="12" t="s">
        <v>34</v>
      </c>
      <c r="B87" s="13">
        <v>76624</v>
      </c>
      <c r="C87" s="14" t="s">
        <v>14</v>
      </c>
      <c r="D87" s="40" t="s">
        <v>580</v>
      </c>
      <c r="E87" s="40">
        <v>46038</v>
      </c>
      <c r="F87" s="40" t="s">
        <v>351</v>
      </c>
      <c r="G87" s="16">
        <v>82176</v>
      </c>
      <c r="H87" s="17">
        <v>82176</v>
      </c>
      <c r="I87" s="18">
        <v>164352</v>
      </c>
      <c r="J87" s="18">
        <f>VLOOKUP(B87,'Mar 26'!B:G,6,FALSE)</f>
        <v>82176</v>
      </c>
      <c r="K87" s="18">
        <v>0</v>
      </c>
      <c r="L87" s="18">
        <f>G87-J87</f>
        <v>0</v>
      </c>
      <c r="M87" s="41">
        <f>L87-K87</f>
        <v>0</v>
      </c>
    </row>
    <row r="88" spans="1:13" ht="16.5" thickTop="1" thickBot="1" x14ac:dyDescent="0.3">
      <c r="A88" s="5" t="s">
        <v>590</v>
      </c>
      <c r="B88" s="6">
        <v>89287</v>
      </c>
      <c r="C88" s="7" t="s">
        <v>62</v>
      </c>
      <c r="D88" s="39">
        <v>46113</v>
      </c>
      <c r="E88" s="39" t="s">
        <v>13</v>
      </c>
      <c r="F88" s="39" t="s">
        <v>13</v>
      </c>
      <c r="G88" s="9">
        <v>89586</v>
      </c>
      <c r="H88" s="10">
        <f>I88-G88</f>
        <v>89585</v>
      </c>
      <c r="I88" s="11">
        <v>179171</v>
      </c>
      <c r="J88" s="11">
        <v>0</v>
      </c>
      <c r="K88" s="11">
        <v>0</v>
      </c>
      <c r="L88" s="11">
        <f>G88-J88</f>
        <v>89586</v>
      </c>
      <c r="M88" s="41">
        <f>L88-K88</f>
        <v>89586</v>
      </c>
    </row>
    <row r="89" spans="1:13" ht="16.5" thickTop="1" thickBot="1" x14ac:dyDescent="0.3">
      <c r="A89" s="5" t="s">
        <v>517</v>
      </c>
      <c r="B89" s="6">
        <v>89773</v>
      </c>
      <c r="C89" s="7" t="s">
        <v>21</v>
      </c>
      <c r="D89" s="39">
        <v>46106</v>
      </c>
      <c r="E89" s="39" t="s">
        <v>13</v>
      </c>
      <c r="F89" s="39">
        <v>46142</v>
      </c>
      <c r="G89" s="45">
        <v>0</v>
      </c>
      <c r="H89" s="10"/>
      <c r="I89" s="11"/>
      <c r="J89" s="11">
        <f>VLOOKUP(B89,'Mar 26'!B:G,6,FALSE)</f>
        <v>1142.27</v>
      </c>
      <c r="K89" s="11">
        <f>J89-G89</f>
        <v>1142.27</v>
      </c>
      <c r="L89" s="11" t="s">
        <v>613</v>
      </c>
      <c r="M89" s="41">
        <f>-K89</f>
        <v>-1142.27</v>
      </c>
    </row>
    <row r="90" spans="1:13" ht="16.5" thickTop="1" thickBot="1" x14ac:dyDescent="0.3">
      <c r="A90" s="5" t="s">
        <v>591</v>
      </c>
      <c r="B90" s="6">
        <v>89055</v>
      </c>
      <c r="C90" s="7" t="s">
        <v>14</v>
      </c>
      <c r="D90" s="39">
        <v>46120</v>
      </c>
      <c r="E90" s="39" t="s">
        <v>13</v>
      </c>
      <c r="F90" s="39" t="s">
        <v>13</v>
      </c>
      <c r="G90" s="9">
        <v>8582</v>
      </c>
      <c r="H90" s="10">
        <f>I90-G90</f>
        <v>8582</v>
      </c>
      <c r="I90" s="11">
        <v>17164</v>
      </c>
      <c r="J90" s="11">
        <v>0</v>
      </c>
      <c r="K90" s="11">
        <v>0</v>
      </c>
      <c r="L90" s="11">
        <f>G90-J90</f>
        <v>8582</v>
      </c>
      <c r="M90" s="41">
        <f>L90-K90</f>
        <v>8582</v>
      </c>
    </row>
    <row r="91" spans="1:13" ht="16.5" thickTop="1" thickBot="1" x14ac:dyDescent="0.3">
      <c r="A91" s="5" t="s">
        <v>592</v>
      </c>
      <c r="B91" s="6">
        <v>87359</v>
      </c>
      <c r="C91" s="7" t="s">
        <v>612</v>
      </c>
      <c r="D91" s="39">
        <v>46125</v>
      </c>
      <c r="E91" s="39" t="s">
        <v>13</v>
      </c>
      <c r="F91" s="39" t="s">
        <v>13</v>
      </c>
      <c r="G91" s="9">
        <v>19467</v>
      </c>
      <c r="H91" s="10">
        <f>I91-G91</f>
        <v>19466</v>
      </c>
      <c r="I91" s="11">
        <v>38933</v>
      </c>
      <c r="J91" s="11">
        <v>0</v>
      </c>
      <c r="K91" s="11">
        <v>0</v>
      </c>
      <c r="L91" s="11">
        <f>G91-J91</f>
        <v>19467</v>
      </c>
      <c r="M91" s="41">
        <f>L91-K91</f>
        <v>19467</v>
      </c>
    </row>
    <row r="92" spans="1:13" ht="16.5" thickTop="1" thickBot="1" x14ac:dyDescent="0.3">
      <c r="A92" s="12" t="s">
        <v>593</v>
      </c>
      <c r="B92" s="13">
        <v>89412</v>
      </c>
      <c r="C92" s="14" t="s">
        <v>23</v>
      </c>
      <c r="D92" s="40">
        <v>46126</v>
      </c>
      <c r="E92" s="40" t="s">
        <v>13</v>
      </c>
      <c r="F92" s="40" t="s">
        <v>13</v>
      </c>
      <c r="G92" s="16">
        <v>20897</v>
      </c>
      <c r="H92" s="17">
        <f>I92-G92</f>
        <v>0</v>
      </c>
      <c r="I92" s="18">
        <v>20897</v>
      </c>
      <c r="J92" s="18">
        <v>0</v>
      </c>
      <c r="K92" s="18">
        <v>0</v>
      </c>
      <c r="L92" s="18">
        <f>G92-J92</f>
        <v>20897</v>
      </c>
      <c r="M92" s="41">
        <f>L92-K92</f>
        <v>20897</v>
      </c>
    </row>
    <row r="93" spans="1:13" ht="16.5" thickTop="1" thickBot="1" x14ac:dyDescent="0.3">
      <c r="A93" s="5" t="s">
        <v>230</v>
      </c>
      <c r="B93" s="6">
        <v>87128</v>
      </c>
      <c r="C93" s="7" t="s">
        <v>254</v>
      </c>
      <c r="D93" s="39">
        <v>46034</v>
      </c>
      <c r="E93" s="39">
        <v>46099</v>
      </c>
      <c r="F93" s="39">
        <v>46121</v>
      </c>
      <c r="G93" s="45">
        <v>0</v>
      </c>
      <c r="H93" s="10"/>
      <c r="I93" s="11"/>
      <c r="J93" s="11">
        <f>VLOOKUP(B93,'Mar 26'!B:G,6,FALSE)</f>
        <v>25470</v>
      </c>
      <c r="K93" s="11">
        <f>J93-G93</f>
        <v>25470</v>
      </c>
      <c r="L93" s="11" t="s">
        <v>613</v>
      </c>
      <c r="M93" s="41">
        <f>-K93</f>
        <v>-25470</v>
      </c>
    </row>
    <row r="94" spans="1:13" ht="16.5" thickTop="1" thickBot="1" x14ac:dyDescent="0.3">
      <c r="A94" s="5" t="s">
        <v>275</v>
      </c>
      <c r="B94" s="6">
        <v>89121</v>
      </c>
      <c r="C94" s="7" t="s">
        <v>23</v>
      </c>
      <c r="D94" s="39">
        <v>46062</v>
      </c>
      <c r="E94" s="39">
        <v>46098</v>
      </c>
      <c r="F94" s="39">
        <v>46128</v>
      </c>
      <c r="G94" s="45">
        <v>0</v>
      </c>
      <c r="H94" s="10"/>
      <c r="I94" s="11"/>
      <c r="J94" s="11">
        <f>VLOOKUP(B94,'Mar 26'!B:G,6,FALSE)</f>
        <v>2712</v>
      </c>
      <c r="K94" s="11">
        <f>J94-G94</f>
        <v>2712</v>
      </c>
      <c r="L94" s="11" t="s">
        <v>613</v>
      </c>
      <c r="M94" s="41">
        <f>-K94</f>
        <v>-2712</v>
      </c>
    </row>
    <row r="95" spans="1:13" ht="16.5" thickTop="1" thickBot="1" x14ac:dyDescent="0.3">
      <c r="A95" s="12" t="s">
        <v>594</v>
      </c>
      <c r="B95" s="13">
        <v>89867</v>
      </c>
      <c r="C95" s="14" t="s">
        <v>23</v>
      </c>
      <c r="D95" s="40">
        <v>46126</v>
      </c>
      <c r="E95" s="40" t="s">
        <v>13</v>
      </c>
      <c r="F95" s="40" t="s">
        <v>13</v>
      </c>
      <c r="G95" s="16">
        <v>14271.62</v>
      </c>
      <c r="H95" s="17">
        <f>I95-G95</f>
        <v>0</v>
      </c>
      <c r="I95" s="18">
        <v>14271.62</v>
      </c>
      <c r="J95" s="18">
        <v>0</v>
      </c>
      <c r="K95" s="18">
        <v>0</v>
      </c>
      <c r="L95" s="18">
        <f>G95-J95</f>
        <v>14271.62</v>
      </c>
      <c r="M95" s="41">
        <f>L95-K95</f>
        <v>14271.62</v>
      </c>
    </row>
    <row r="96" spans="1:13" ht="16.5" thickTop="1" thickBot="1" x14ac:dyDescent="0.3">
      <c r="A96" s="5" t="s">
        <v>70</v>
      </c>
      <c r="B96" s="6">
        <v>82632</v>
      </c>
      <c r="C96" s="7" t="s">
        <v>71</v>
      </c>
      <c r="D96" s="39">
        <v>45758</v>
      </c>
      <c r="E96" s="39" t="s">
        <v>13</v>
      </c>
      <c r="F96" s="39" t="s">
        <v>13</v>
      </c>
      <c r="G96" s="9">
        <v>109478</v>
      </c>
      <c r="H96" s="10">
        <v>109478</v>
      </c>
      <c r="I96" s="11">
        <v>218956</v>
      </c>
      <c r="J96" s="11">
        <f>VLOOKUP(B96,'Mar 26'!B:G,6,FALSE)</f>
        <v>109478</v>
      </c>
      <c r="K96" s="11">
        <v>0</v>
      </c>
      <c r="L96" s="11">
        <f>G96-J96</f>
        <v>0</v>
      </c>
      <c r="M96" s="41">
        <f>L96-K96</f>
        <v>0</v>
      </c>
    </row>
    <row r="97" spans="1:13" ht="16.5" thickTop="1" thickBot="1" x14ac:dyDescent="0.3">
      <c r="A97" s="5" t="s">
        <v>103</v>
      </c>
      <c r="B97" s="6">
        <v>84210</v>
      </c>
      <c r="C97" s="7" t="s">
        <v>44</v>
      </c>
      <c r="D97" s="39">
        <v>45876</v>
      </c>
      <c r="E97" s="39" t="s">
        <v>13</v>
      </c>
      <c r="F97" s="39" t="s">
        <v>13</v>
      </c>
      <c r="G97" s="9">
        <v>31567</v>
      </c>
      <c r="H97" s="10">
        <v>46437</v>
      </c>
      <c r="I97" s="11">
        <v>78004</v>
      </c>
      <c r="J97" s="11">
        <f>VLOOKUP(B97,'Mar 26'!B:G,6,FALSE)</f>
        <v>31567</v>
      </c>
      <c r="K97" s="11">
        <v>0</v>
      </c>
      <c r="L97" s="11">
        <f>G97-J97</f>
        <v>0</v>
      </c>
      <c r="M97" s="41">
        <f>L97-K97</f>
        <v>0</v>
      </c>
    </row>
    <row r="98" spans="1:13" ht="16.5" thickTop="1" thickBot="1" x14ac:dyDescent="0.3">
      <c r="A98" s="5" t="s">
        <v>231</v>
      </c>
      <c r="B98" s="6">
        <v>88433</v>
      </c>
      <c r="C98" s="7" t="s">
        <v>14</v>
      </c>
      <c r="D98" s="39">
        <v>46036</v>
      </c>
      <c r="E98" s="39" t="s">
        <v>13</v>
      </c>
      <c r="F98" s="39" t="s">
        <v>13</v>
      </c>
      <c r="G98" s="9">
        <v>80538</v>
      </c>
      <c r="H98" s="10">
        <v>80538</v>
      </c>
      <c r="I98" s="11">
        <v>161076</v>
      </c>
      <c r="J98" s="11">
        <f>VLOOKUP(B98,'Mar 26'!B:G,6,FALSE)</f>
        <v>80538</v>
      </c>
      <c r="K98" s="11">
        <v>0</v>
      </c>
      <c r="L98" s="11">
        <f>G98-J98</f>
        <v>0</v>
      </c>
      <c r="M98" s="41">
        <f>L98-K98</f>
        <v>0</v>
      </c>
    </row>
    <row r="99" spans="1:13" ht="16.5" thickTop="1" thickBot="1" x14ac:dyDescent="0.3">
      <c r="A99" s="5" t="s">
        <v>282</v>
      </c>
      <c r="B99" s="6">
        <v>88896</v>
      </c>
      <c r="C99" s="7" t="s">
        <v>19</v>
      </c>
      <c r="D99" s="39">
        <v>46058</v>
      </c>
      <c r="E99" s="39">
        <v>46099</v>
      </c>
      <c r="F99" s="39">
        <v>46129</v>
      </c>
      <c r="G99" s="45">
        <v>0</v>
      </c>
      <c r="H99" s="10"/>
      <c r="I99" s="11"/>
      <c r="J99" s="11">
        <f>VLOOKUP(B99,'Mar 26'!B:G,6,FALSE)</f>
        <v>10238</v>
      </c>
      <c r="K99" s="11">
        <f>J99-G99</f>
        <v>10238</v>
      </c>
      <c r="L99" s="11" t="s">
        <v>613</v>
      </c>
      <c r="M99" s="41">
        <f>-K99</f>
        <v>-10238</v>
      </c>
    </row>
    <row r="100" spans="1:13" ht="16.5" thickTop="1" thickBot="1" x14ac:dyDescent="0.3">
      <c r="A100" s="5" t="s">
        <v>184</v>
      </c>
      <c r="B100" s="6">
        <v>87792</v>
      </c>
      <c r="C100" s="7" t="s">
        <v>31</v>
      </c>
      <c r="D100" s="39">
        <v>45992</v>
      </c>
      <c r="E100" s="39">
        <v>46045</v>
      </c>
      <c r="F100" s="39" t="s">
        <v>351</v>
      </c>
      <c r="G100" s="9">
        <v>49733</v>
      </c>
      <c r="H100" s="10">
        <v>49713</v>
      </c>
      <c r="I100" s="11">
        <v>99446</v>
      </c>
      <c r="J100" s="11">
        <f>VLOOKUP(B100,'Mar 26'!B:G,6,FALSE)</f>
        <v>49733</v>
      </c>
      <c r="K100" s="11">
        <v>0</v>
      </c>
      <c r="L100" s="11">
        <f>G100-J100</f>
        <v>0</v>
      </c>
      <c r="M100" s="41">
        <f>L100-K100</f>
        <v>0</v>
      </c>
    </row>
    <row r="101" spans="1:13" ht="16.5" thickTop="1" thickBot="1" x14ac:dyDescent="0.3">
      <c r="A101" s="5" t="s">
        <v>86</v>
      </c>
      <c r="B101" s="6">
        <v>85175</v>
      </c>
      <c r="C101" s="7" t="s">
        <v>87</v>
      </c>
      <c r="D101" s="39">
        <v>46084</v>
      </c>
      <c r="E101" s="39" t="s">
        <v>13</v>
      </c>
      <c r="F101" s="39" t="s">
        <v>13</v>
      </c>
      <c r="G101" s="9">
        <v>22778</v>
      </c>
      <c r="H101" s="10">
        <v>22779</v>
      </c>
      <c r="I101" s="11">
        <v>45557</v>
      </c>
      <c r="J101" s="11">
        <f>VLOOKUP(B101,'Mar 26'!B:G,6,FALSE)</f>
        <v>22778</v>
      </c>
      <c r="K101" s="11">
        <v>0</v>
      </c>
      <c r="L101" s="11">
        <f>G101-J101</f>
        <v>0</v>
      </c>
      <c r="M101" s="41">
        <f>L101-K101</f>
        <v>0</v>
      </c>
    </row>
    <row r="102" spans="1:13" ht="16.5" thickTop="1" thickBot="1" x14ac:dyDescent="0.3">
      <c r="A102" s="5" t="s">
        <v>626</v>
      </c>
      <c r="B102" s="6">
        <v>88155</v>
      </c>
      <c r="C102" s="7" t="s">
        <v>23</v>
      </c>
      <c r="D102" s="39">
        <v>46135</v>
      </c>
      <c r="E102" s="39" t="s">
        <v>13</v>
      </c>
      <c r="F102" s="39" t="s">
        <v>13</v>
      </c>
      <c r="G102" s="9">
        <v>26625</v>
      </c>
      <c r="H102" s="10">
        <f>I102-G102</f>
        <v>26625</v>
      </c>
      <c r="I102" s="11">
        <v>53250</v>
      </c>
      <c r="J102" s="11"/>
      <c r="K102" s="11">
        <f>IF(G102=0,J102-G102,0)</f>
        <v>0</v>
      </c>
      <c r="L102" s="11">
        <f>G102-J102</f>
        <v>26625</v>
      </c>
      <c r="M102" s="41">
        <f>L102-K102</f>
        <v>26625</v>
      </c>
    </row>
    <row r="103" spans="1:13" ht="16.5" thickTop="1" thickBot="1" x14ac:dyDescent="0.3">
      <c r="A103" s="5" t="s">
        <v>203</v>
      </c>
      <c r="B103" s="6">
        <v>87488</v>
      </c>
      <c r="C103" s="7" t="s">
        <v>14</v>
      </c>
      <c r="D103" s="39">
        <v>46007</v>
      </c>
      <c r="E103" s="39" t="s">
        <v>13</v>
      </c>
      <c r="F103" s="39" t="s">
        <v>13</v>
      </c>
      <c r="G103" s="9">
        <v>17613</v>
      </c>
      <c r="H103" s="10">
        <v>17612</v>
      </c>
      <c r="I103" s="11">
        <v>35225</v>
      </c>
      <c r="J103" s="11">
        <f>VLOOKUP(B103,'Mar 26'!B:G,6,FALSE)</f>
        <v>17613</v>
      </c>
      <c r="K103" s="11">
        <v>0</v>
      </c>
      <c r="L103" s="11">
        <f>G103-J103</f>
        <v>0</v>
      </c>
      <c r="M103" s="41">
        <f>L103-K103</f>
        <v>0</v>
      </c>
    </row>
    <row r="104" spans="1:13" ht="16.5" thickTop="1" thickBot="1" x14ac:dyDescent="0.3">
      <c r="A104" s="5" t="s">
        <v>510</v>
      </c>
      <c r="B104" s="6">
        <v>89316</v>
      </c>
      <c r="C104" s="7" t="s">
        <v>511</v>
      </c>
      <c r="D104" s="39">
        <v>46100</v>
      </c>
      <c r="E104" s="39" t="s">
        <v>13</v>
      </c>
      <c r="F104" s="39" t="s">
        <v>13</v>
      </c>
      <c r="G104" s="9">
        <v>56063</v>
      </c>
      <c r="H104" s="10">
        <v>56063</v>
      </c>
      <c r="I104" s="11">
        <v>112126</v>
      </c>
      <c r="J104" s="11">
        <f>VLOOKUP(B104,'Mar 26'!B:G,6,FALSE)</f>
        <v>56063</v>
      </c>
      <c r="K104" s="11">
        <v>0</v>
      </c>
      <c r="L104" s="11">
        <f>G104-J104</f>
        <v>0</v>
      </c>
      <c r="M104" s="41">
        <f>L104-K104</f>
        <v>0</v>
      </c>
    </row>
    <row r="105" spans="1:13" ht="16.5" thickTop="1" thickBot="1" x14ac:dyDescent="0.3">
      <c r="A105" s="5" t="s">
        <v>360</v>
      </c>
      <c r="B105" s="6">
        <v>87376</v>
      </c>
      <c r="C105" s="7" t="s">
        <v>23</v>
      </c>
      <c r="D105" s="39">
        <v>46085</v>
      </c>
      <c r="E105" s="39" t="s">
        <v>13</v>
      </c>
      <c r="F105" s="39">
        <v>46142</v>
      </c>
      <c r="G105" s="45">
        <v>0</v>
      </c>
      <c r="H105" s="10"/>
      <c r="I105" s="11"/>
      <c r="J105" s="11">
        <f>VLOOKUP(B105,'Mar 26'!B:G,6,FALSE)</f>
        <v>20322</v>
      </c>
      <c r="K105" s="11">
        <f>J105-G105</f>
        <v>20322</v>
      </c>
      <c r="L105" s="11" t="s">
        <v>613</v>
      </c>
      <c r="M105" s="41">
        <f>-K105</f>
        <v>-20322</v>
      </c>
    </row>
    <row r="106" spans="1:13" ht="16.5" thickTop="1" thickBot="1" x14ac:dyDescent="0.3">
      <c r="A106" s="5" t="s">
        <v>514</v>
      </c>
      <c r="B106" s="6">
        <v>86904</v>
      </c>
      <c r="C106" s="7" t="s">
        <v>23</v>
      </c>
      <c r="D106" s="39">
        <v>46105</v>
      </c>
      <c r="E106" s="39" t="s">
        <v>13</v>
      </c>
      <c r="F106" s="39" t="s">
        <v>13</v>
      </c>
      <c r="G106" s="9">
        <v>6516</v>
      </c>
      <c r="H106" s="10">
        <v>6515</v>
      </c>
      <c r="I106" s="11">
        <v>13031</v>
      </c>
      <c r="J106" s="11">
        <f>VLOOKUP(B106,'Mar 26'!B:G,6,FALSE)</f>
        <v>6516</v>
      </c>
      <c r="K106" s="11">
        <v>0</v>
      </c>
      <c r="L106" s="11">
        <f t="shared" ref="L106:L112" si="10">G106-J106</f>
        <v>0</v>
      </c>
      <c r="M106" s="41">
        <f t="shared" ref="M106:M112" si="11">L106-K106</f>
        <v>0</v>
      </c>
    </row>
    <row r="107" spans="1:13" ht="16.5" thickTop="1" thickBot="1" x14ac:dyDescent="0.3">
      <c r="A107" s="5" t="s">
        <v>627</v>
      </c>
      <c r="B107" s="6">
        <v>89168</v>
      </c>
      <c r="C107" s="7" t="s">
        <v>23</v>
      </c>
      <c r="D107" s="39">
        <v>46136</v>
      </c>
      <c r="E107" s="39" t="s">
        <v>13</v>
      </c>
      <c r="F107" s="39" t="s">
        <v>13</v>
      </c>
      <c r="G107" s="9">
        <v>30691</v>
      </c>
      <c r="H107" s="10">
        <f>I107-G107</f>
        <v>30691</v>
      </c>
      <c r="I107" s="11">
        <v>61382</v>
      </c>
      <c r="J107" s="11"/>
      <c r="K107" s="11">
        <f>IF(G107=0,J107-G107,0)</f>
        <v>0</v>
      </c>
      <c r="L107" s="11">
        <f t="shared" si="10"/>
        <v>30691</v>
      </c>
      <c r="M107" s="41">
        <f t="shared" si="11"/>
        <v>30691</v>
      </c>
    </row>
    <row r="108" spans="1:13" ht="16.5" thickTop="1" thickBot="1" x14ac:dyDescent="0.3">
      <c r="A108" s="5" t="s">
        <v>373</v>
      </c>
      <c r="B108" s="6">
        <v>87512</v>
      </c>
      <c r="C108" s="7" t="s">
        <v>14</v>
      </c>
      <c r="D108" s="39">
        <v>46092</v>
      </c>
      <c r="E108" s="39" t="s">
        <v>13</v>
      </c>
      <c r="F108" s="39" t="s">
        <v>13</v>
      </c>
      <c r="G108" s="9">
        <v>4742</v>
      </c>
      <c r="H108" s="10">
        <v>4972</v>
      </c>
      <c r="I108" s="11">
        <v>9714</v>
      </c>
      <c r="J108" s="11">
        <f>VLOOKUP(B108,'Mar 26'!B:G,6,FALSE)</f>
        <v>4742</v>
      </c>
      <c r="K108" s="11">
        <v>0</v>
      </c>
      <c r="L108" s="11">
        <f t="shared" si="10"/>
        <v>0</v>
      </c>
      <c r="M108" s="41">
        <f t="shared" si="11"/>
        <v>0</v>
      </c>
    </row>
    <row r="109" spans="1:13" ht="16.5" thickTop="1" thickBot="1" x14ac:dyDescent="0.3">
      <c r="A109" s="5" t="s">
        <v>616</v>
      </c>
      <c r="B109" s="6">
        <v>90316</v>
      </c>
      <c r="C109" s="7" t="s">
        <v>23</v>
      </c>
      <c r="D109" s="39">
        <v>46129</v>
      </c>
      <c r="E109" s="39" t="s">
        <v>13</v>
      </c>
      <c r="F109" s="39" t="s">
        <v>13</v>
      </c>
      <c r="G109" s="9">
        <v>9047</v>
      </c>
      <c r="H109" s="10">
        <f>I109-G109</f>
        <v>9046.32</v>
      </c>
      <c r="I109" s="11">
        <v>18093.32</v>
      </c>
      <c r="J109" s="11">
        <v>0</v>
      </c>
      <c r="K109" s="11">
        <f>IF(G109=0,J109-G109,0)</f>
        <v>0</v>
      </c>
      <c r="L109" s="11">
        <f t="shared" si="10"/>
        <v>9047</v>
      </c>
      <c r="M109" s="41">
        <f t="shared" si="11"/>
        <v>9047</v>
      </c>
    </row>
    <row r="110" spans="1:13" ht="16.5" thickTop="1" thickBot="1" x14ac:dyDescent="0.3">
      <c r="A110" s="5" t="s">
        <v>499</v>
      </c>
      <c r="B110" s="6">
        <v>88931</v>
      </c>
      <c r="C110" s="7" t="s">
        <v>21</v>
      </c>
      <c r="D110" s="39">
        <v>46099</v>
      </c>
      <c r="E110" s="39" t="s">
        <v>13</v>
      </c>
      <c r="F110" s="39" t="s">
        <v>13</v>
      </c>
      <c r="G110" s="9">
        <v>5000</v>
      </c>
      <c r="H110" s="10">
        <v>2102</v>
      </c>
      <c r="I110" s="11">
        <v>7102</v>
      </c>
      <c r="J110" s="11">
        <f>VLOOKUP(B110,'Mar 26'!B:G,6,FALSE)</f>
        <v>5000</v>
      </c>
      <c r="K110" s="11">
        <v>0</v>
      </c>
      <c r="L110" s="11">
        <f t="shared" si="10"/>
        <v>0</v>
      </c>
      <c r="M110" s="41">
        <f t="shared" si="11"/>
        <v>0</v>
      </c>
    </row>
    <row r="111" spans="1:13" ht="16.5" thickTop="1" thickBot="1" x14ac:dyDescent="0.3">
      <c r="A111" s="5" t="s">
        <v>595</v>
      </c>
      <c r="B111" s="6">
        <v>89722</v>
      </c>
      <c r="C111" s="7" t="s">
        <v>39</v>
      </c>
      <c r="D111" s="39">
        <v>46120</v>
      </c>
      <c r="E111" s="39" t="s">
        <v>13</v>
      </c>
      <c r="F111" s="39" t="s">
        <v>13</v>
      </c>
      <c r="G111" s="9">
        <v>3826</v>
      </c>
      <c r="H111" s="10">
        <f>I111-G111</f>
        <v>3826.5600000000004</v>
      </c>
      <c r="I111" s="11">
        <v>7652.56</v>
      </c>
      <c r="J111" s="11">
        <v>0</v>
      </c>
      <c r="K111" s="11">
        <v>0</v>
      </c>
      <c r="L111" s="11">
        <f t="shared" si="10"/>
        <v>3826</v>
      </c>
      <c r="M111" s="41">
        <f t="shared" si="11"/>
        <v>3826</v>
      </c>
    </row>
    <row r="112" spans="1:13" ht="16.5" thickTop="1" thickBot="1" x14ac:dyDescent="0.3">
      <c r="A112" s="5" t="s">
        <v>596</v>
      </c>
      <c r="B112" s="6">
        <v>86092</v>
      </c>
      <c r="C112" s="7" t="s">
        <v>23</v>
      </c>
      <c r="D112" s="39">
        <v>46120</v>
      </c>
      <c r="E112" s="39" t="s">
        <v>13</v>
      </c>
      <c r="F112" s="39" t="s">
        <v>13</v>
      </c>
      <c r="G112" s="9">
        <v>9201</v>
      </c>
      <c r="H112" s="10">
        <f>I112-G112</f>
        <v>9201.52</v>
      </c>
      <c r="I112" s="11">
        <v>18402.52</v>
      </c>
      <c r="J112" s="11">
        <v>0</v>
      </c>
      <c r="K112" s="11">
        <v>0</v>
      </c>
      <c r="L112" s="11">
        <f t="shared" si="10"/>
        <v>9201</v>
      </c>
      <c r="M112" s="41">
        <f t="shared" si="11"/>
        <v>9201</v>
      </c>
    </row>
    <row r="113" spans="1:13" ht="16.5" thickTop="1" thickBot="1" x14ac:dyDescent="0.3">
      <c r="A113" s="5" t="s">
        <v>167</v>
      </c>
      <c r="B113" s="6">
        <v>87636</v>
      </c>
      <c r="C113" s="7" t="s">
        <v>16</v>
      </c>
      <c r="D113" s="39" t="s">
        <v>177</v>
      </c>
      <c r="E113" s="39">
        <v>46010</v>
      </c>
      <c r="F113" s="39">
        <v>46140</v>
      </c>
      <c r="G113" s="45">
        <v>0</v>
      </c>
      <c r="H113" s="10"/>
      <c r="I113" s="11"/>
      <c r="J113" s="11">
        <f>VLOOKUP(B113,'Mar 26'!B:G,6,FALSE)</f>
        <v>45837</v>
      </c>
      <c r="K113" s="11">
        <f>J113-G113</f>
        <v>45837</v>
      </c>
      <c r="L113" s="11" t="s">
        <v>613</v>
      </c>
      <c r="M113" s="41">
        <f>-K113</f>
        <v>-45837</v>
      </c>
    </row>
    <row r="114" spans="1:13" ht="16.5" thickTop="1" thickBot="1" x14ac:dyDescent="0.3">
      <c r="A114" s="5" t="s">
        <v>93</v>
      </c>
      <c r="B114" s="6">
        <v>78503</v>
      </c>
      <c r="C114" s="7" t="s">
        <v>28</v>
      </c>
      <c r="D114" s="39">
        <v>45825</v>
      </c>
      <c r="E114" s="39" t="s">
        <v>13</v>
      </c>
      <c r="F114" s="39" t="s">
        <v>13</v>
      </c>
      <c r="G114" s="9">
        <v>15815</v>
      </c>
      <c r="H114" s="10">
        <v>15814</v>
      </c>
      <c r="I114" s="11">
        <v>31629</v>
      </c>
      <c r="J114" s="11">
        <f>VLOOKUP(B114,'Mar 26'!B:G,6,FALSE)</f>
        <v>15815</v>
      </c>
      <c r="K114" s="11">
        <v>0</v>
      </c>
      <c r="L114" s="11">
        <f>G114-J114</f>
        <v>0</v>
      </c>
      <c r="M114" s="41">
        <f>L114-K114</f>
        <v>0</v>
      </c>
    </row>
    <row r="115" spans="1:13" ht="16.5" thickTop="1" thickBot="1" x14ac:dyDescent="0.3">
      <c r="A115" s="5" t="s">
        <v>266</v>
      </c>
      <c r="B115" s="6">
        <v>87077</v>
      </c>
      <c r="C115" s="7" t="s">
        <v>40</v>
      </c>
      <c r="D115" s="39">
        <v>46052</v>
      </c>
      <c r="E115" s="39">
        <v>46093</v>
      </c>
      <c r="F115" s="39" t="s">
        <v>577</v>
      </c>
      <c r="G115" s="9">
        <v>11448</v>
      </c>
      <c r="H115" s="10">
        <v>3238</v>
      </c>
      <c r="I115" s="11">
        <v>14686</v>
      </c>
      <c r="J115" s="11">
        <f>VLOOKUP(B115,'Mar 26'!B:G,6,FALSE)</f>
        <v>11448</v>
      </c>
      <c r="K115" s="11">
        <v>0</v>
      </c>
      <c r="L115" s="11">
        <f>G115-J115</f>
        <v>0</v>
      </c>
      <c r="M115" s="41">
        <f>L115-K115</f>
        <v>0</v>
      </c>
    </row>
    <row r="116" spans="1:13" ht="16.5" thickTop="1" thickBot="1" x14ac:dyDescent="0.3">
      <c r="A116" s="5" t="s">
        <v>381</v>
      </c>
      <c r="B116" s="6">
        <v>89314</v>
      </c>
      <c r="C116" s="7" t="s">
        <v>23</v>
      </c>
      <c r="D116" s="39">
        <v>46097</v>
      </c>
      <c r="E116" s="39">
        <v>46106</v>
      </c>
      <c r="F116" s="39">
        <v>46142</v>
      </c>
      <c r="G116" s="45">
        <v>0</v>
      </c>
      <c r="H116" s="10"/>
      <c r="I116" s="11"/>
      <c r="J116" s="11">
        <f>VLOOKUP(B116,'Mar 26'!B:G,6,FALSE)</f>
        <v>3125</v>
      </c>
      <c r="K116" s="11">
        <f>J116-G116</f>
        <v>3125</v>
      </c>
      <c r="L116" s="11" t="s">
        <v>613</v>
      </c>
      <c r="M116" s="41">
        <f>-K116</f>
        <v>-3125</v>
      </c>
    </row>
    <row r="117" spans="1:13" ht="16.5" thickTop="1" thickBot="1" x14ac:dyDescent="0.3">
      <c r="A117" s="5" t="s">
        <v>631</v>
      </c>
      <c r="B117" s="6">
        <v>89293</v>
      </c>
      <c r="C117" s="7" t="s">
        <v>19</v>
      </c>
      <c r="D117" s="39">
        <v>46139</v>
      </c>
      <c r="E117" s="39" t="s">
        <v>13</v>
      </c>
      <c r="F117" s="39" t="s">
        <v>13</v>
      </c>
      <c r="G117" s="9">
        <v>15723</v>
      </c>
      <c r="H117" s="10">
        <f>I117-G117</f>
        <v>15722</v>
      </c>
      <c r="I117" s="11">
        <v>31445</v>
      </c>
      <c r="J117" s="11"/>
      <c r="K117" s="11">
        <f>IF(G117=0,J117-G117,0)</f>
        <v>0</v>
      </c>
      <c r="L117" s="11">
        <f>G117-J117</f>
        <v>15723</v>
      </c>
      <c r="M117" s="41">
        <f>L117-K117</f>
        <v>15723</v>
      </c>
    </row>
    <row r="118" spans="1:13" ht="16.5" thickTop="1" thickBot="1" x14ac:dyDescent="0.3">
      <c r="A118" s="5" t="s">
        <v>241</v>
      </c>
      <c r="B118" s="6">
        <v>87242</v>
      </c>
      <c r="C118" s="7" t="s">
        <v>14</v>
      </c>
      <c r="D118" s="39">
        <v>46045</v>
      </c>
      <c r="E118" s="39">
        <v>46107</v>
      </c>
      <c r="F118" s="39" t="s">
        <v>353</v>
      </c>
      <c r="G118" s="9">
        <v>44650</v>
      </c>
      <c r="H118" s="10">
        <v>45536</v>
      </c>
      <c r="I118" s="11">
        <v>90186</v>
      </c>
      <c r="J118" s="11">
        <f>VLOOKUP(B118,'Mar 26'!B:G,6,FALSE)</f>
        <v>44650</v>
      </c>
      <c r="K118" s="11">
        <v>0</v>
      </c>
      <c r="L118" s="11">
        <f>G118-J118</f>
        <v>0</v>
      </c>
      <c r="M118" s="41">
        <f>L118-K118</f>
        <v>0</v>
      </c>
    </row>
    <row r="119" spans="1:13" ht="16.5" thickTop="1" thickBot="1" x14ac:dyDescent="0.3">
      <c r="A119" s="5" t="s">
        <v>106</v>
      </c>
      <c r="B119" s="6">
        <v>85604</v>
      </c>
      <c r="C119" s="7" t="s">
        <v>17</v>
      </c>
      <c r="D119" s="39">
        <v>45881</v>
      </c>
      <c r="E119" s="39" t="s">
        <v>13</v>
      </c>
      <c r="F119" s="39" t="s">
        <v>13</v>
      </c>
      <c r="G119" s="19">
        <v>80676.28</v>
      </c>
      <c r="H119" s="10">
        <v>-4388.2799999999988</v>
      </c>
      <c r="I119" s="11">
        <v>76288</v>
      </c>
      <c r="J119" s="11">
        <f>VLOOKUP(B119,'Mar 26'!B:G,6,FALSE)</f>
        <v>80676.28</v>
      </c>
      <c r="K119" s="11">
        <v>0</v>
      </c>
      <c r="L119" s="11">
        <f>G119-J119</f>
        <v>0</v>
      </c>
      <c r="M119" s="41">
        <f>L119-K119</f>
        <v>0</v>
      </c>
    </row>
    <row r="120" spans="1:13" ht="16.5" thickTop="1" thickBot="1" x14ac:dyDescent="0.3">
      <c r="A120" s="5" t="s">
        <v>188</v>
      </c>
      <c r="B120" s="6">
        <v>88335</v>
      </c>
      <c r="C120" s="7" t="s">
        <v>14</v>
      </c>
      <c r="D120" s="39">
        <v>45995</v>
      </c>
      <c r="E120" s="39">
        <v>46055</v>
      </c>
      <c r="F120" s="39">
        <v>46122</v>
      </c>
      <c r="G120" s="45">
        <v>0</v>
      </c>
      <c r="H120" s="10"/>
      <c r="I120" s="11"/>
      <c r="J120" s="11">
        <f>VLOOKUP(B120,'Mar 26'!B:G,6,FALSE)</f>
        <v>21104</v>
      </c>
      <c r="K120" s="11">
        <f>J120-G120</f>
        <v>21104</v>
      </c>
      <c r="L120" s="11" t="s">
        <v>613</v>
      </c>
      <c r="M120" s="41">
        <f>-K120</f>
        <v>-21104</v>
      </c>
    </row>
    <row r="121" spans="1:13" ht="16.5" thickTop="1" thickBot="1" x14ac:dyDescent="0.3">
      <c r="A121" s="5" t="s">
        <v>41</v>
      </c>
      <c r="B121" s="6">
        <v>79059</v>
      </c>
      <c r="C121" s="7" t="s">
        <v>14</v>
      </c>
      <c r="D121" s="39" t="s">
        <v>42</v>
      </c>
      <c r="E121" s="39">
        <v>46057</v>
      </c>
      <c r="F121" s="39">
        <v>46134</v>
      </c>
      <c r="G121" s="45">
        <v>0</v>
      </c>
      <c r="H121" s="10"/>
      <c r="I121" s="11"/>
      <c r="J121" s="11">
        <f>VLOOKUP(B121,'Mar 26'!B:G,6,FALSE)</f>
        <v>87422</v>
      </c>
      <c r="K121" s="11">
        <f>J121-G121</f>
        <v>87422</v>
      </c>
      <c r="L121" s="11" t="s">
        <v>613</v>
      </c>
      <c r="M121" s="41">
        <f>-K121</f>
        <v>-87422</v>
      </c>
    </row>
    <row r="122" spans="1:13" ht="16.5" thickTop="1" thickBot="1" x14ac:dyDescent="0.3">
      <c r="A122" s="5" t="s">
        <v>117</v>
      </c>
      <c r="B122" s="6">
        <v>83698</v>
      </c>
      <c r="C122" s="7" t="s">
        <v>14</v>
      </c>
      <c r="D122" s="39">
        <v>45904</v>
      </c>
      <c r="E122" s="39">
        <v>46057</v>
      </c>
      <c r="F122" s="39">
        <v>46134</v>
      </c>
      <c r="G122" s="45">
        <v>0</v>
      </c>
      <c r="H122" s="10"/>
      <c r="I122" s="11"/>
      <c r="J122" s="11">
        <f>VLOOKUP(B122,'Mar 26'!B:G,6,FALSE)</f>
        <v>7860</v>
      </c>
      <c r="K122" s="11">
        <f>J122-G122</f>
        <v>7860</v>
      </c>
      <c r="L122" s="11" t="s">
        <v>613</v>
      </c>
      <c r="M122" s="41">
        <f>-K122</f>
        <v>-7860</v>
      </c>
    </row>
    <row r="123" spans="1:13" ht="16.5" thickTop="1" thickBot="1" x14ac:dyDescent="0.3">
      <c r="A123" s="5" t="s">
        <v>212</v>
      </c>
      <c r="B123" s="6">
        <v>87641</v>
      </c>
      <c r="C123" s="7" t="s">
        <v>14</v>
      </c>
      <c r="D123" s="39">
        <v>46013</v>
      </c>
      <c r="E123" s="39">
        <v>46085</v>
      </c>
      <c r="F123" s="39" t="s">
        <v>350</v>
      </c>
      <c r="G123" s="9">
        <v>13019</v>
      </c>
      <c r="H123" s="10">
        <v>13018</v>
      </c>
      <c r="I123" s="11">
        <v>26037</v>
      </c>
      <c r="J123" s="11">
        <f>VLOOKUP(B123,'Mar 26'!B:G,6,FALSE)</f>
        <v>13019</v>
      </c>
      <c r="K123" s="11">
        <v>0</v>
      </c>
      <c r="L123" s="11">
        <f t="shared" ref="L123:L128" si="12">G123-J123</f>
        <v>0</v>
      </c>
      <c r="M123" s="41">
        <f t="shared" ref="M123:M128" si="13">L123-K123</f>
        <v>0</v>
      </c>
    </row>
    <row r="124" spans="1:13" ht="16.5" thickTop="1" thickBot="1" x14ac:dyDescent="0.3">
      <c r="A124" s="5" t="s">
        <v>597</v>
      </c>
      <c r="B124" s="6">
        <v>89658</v>
      </c>
      <c r="C124" s="7" t="s">
        <v>21</v>
      </c>
      <c r="D124" s="39">
        <v>46115</v>
      </c>
      <c r="E124" s="39" t="s">
        <v>13</v>
      </c>
      <c r="F124" s="39" t="s">
        <v>13</v>
      </c>
      <c r="G124" s="9">
        <v>2800</v>
      </c>
      <c r="H124" s="10">
        <f>I124-G124</f>
        <v>2799</v>
      </c>
      <c r="I124" s="11">
        <v>5599</v>
      </c>
      <c r="J124" s="11">
        <v>0</v>
      </c>
      <c r="K124" s="11">
        <v>0</v>
      </c>
      <c r="L124" s="11">
        <f t="shared" si="12"/>
        <v>2800</v>
      </c>
      <c r="M124" s="41">
        <f t="shared" si="13"/>
        <v>2800</v>
      </c>
    </row>
    <row r="125" spans="1:13" ht="16.5" thickTop="1" thickBot="1" x14ac:dyDescent="0.3">
      <c r="A125" s="5" t="s">
        <v>43</v>
      </c>
      <c r="B125" s="6">
        <v>80858</v>
      </c>
      <c r="C125" s="7" t="s">
        <v>44</v>
      </c>
      <c r="D125" s="39">
        <v>45987</v>
      </c>
      <c r="E125" s="39" t="s">
        <v>13</v>
      </c>
      <c r="F125" s="39" t="s">
        <v>13</v>
      </c>
      <c r="G125" s="9">
        <v>6843</v>
      </c>
      <c r="H125" s="10">
        <v>6843</v>
      </c>
      <c r="I125" s="11">
        <v>13686</v>
      </c>
      <c r="J125" s="11">
        <f>VLOOKUP(B125,'Mar 26'!B:G,6,FALSE)</f>
        <v>6843</v>
      </c>
      <c r="K125" s="11">
        <v>0</v>
      </c>
      <c r="L125" s="11">
        <f t="shared" si="12"/>
        <v>0</v>
      </c>
      <c r="M125" s="41">
        <f t="shared" si="13"/>
        <v>0</v>
      </c>
    </row>
    <row r="126" spans="1:13" ht="16.5" thickTop="1" thickBot="1" x14ac:dyDescent="0.3">
      <c r="A126" s="5" t="s">
        <v>629</v>
      </c>
      <c r="B126" s="6">
        <v>90374</v>
      </c>
      <c r="C126" s="7" t="s">
        <v>27</v>
      </c>
      <c r="D126" s="39">
        <v>46136</v>
      </c>
      <c r="E126" s="39" t="s">
        <v>13</v>
      </c>
      <c r="F126" s="39" t="s">
        <v>13</v>
      </c>
      <c r="G126" s="9">
        <v>3689</v>
      </c>
      <c r="H126" s="10">
        <f>I126-G126</f>
        <v>3688.25</v>
      </c>
      <c r="I126" s="11">
        <v>7377.25</v>
      </c>
      <c r="J126" s="11"/>
      <c r="K126" s="11">
        <f>IF(G126=0,J126-G126,0)</f>
        <v>0</v>
      </c>
      <c r="L126" s="11">
        <f t="shared" si="12"/>
        <v>3689</v>
      </c>
      <c r="M126" s="41">
        <f t="shared" si="13"/>
        <v>3689</v>
      </c>
    </row>
    <row r="127" spans="1:13" ht="16.5" thickTop="1" thickBot="1" x14ac:dyDescent="0.3">
      <c r="A127" s="5" t="s">
        <v>598</v>
      </c>
      <c r="B127" s="6">
        <v>89481</v>
      </c>
      <c r="C127" s="7" t="s">
        <v>11</v>
      </c>
      <c r="D127" s="39">
        <v>46115</v>
      </c>
      <c r="E127" s="39" t="s">
        <v>13</v>
      </c>
      <c r="F127" s="39" t="s">
        <v>13</v>
      </c>
      <c r="G127" s="9">
        <v>9493</v>
      </c>
      <c r="H127" s="10">
        <f>I127-G127</f>
        <v>9493</v>
      </c>
      <c r="I127" s="11">
        <v>18986</v>
      </c>
      <c r="J127" s="11">
        <v>0</v>
      </c>
      <c r="K127" s="11">
        <v>0</v>
      </c>
      <c r="L127" s="11">
        <f t="shared" si="12"/>
        <v>9493</v>
      </c>
      <c r="M127" s="41">
        <f t="shared" si="13"/>
        <v>9493</v>
      </c>
    </row>
    <row r="128" spans="1:13" ht="16.5" thickTop="1" thickBot="1" x14ac:dyDescent="0.3">
      <c r="A128" s="5" t="s">
        <v>506</v>
      </c>
      <c r="B128" s="6">
        <v>83550</v>
      </c>
      <c r="C128" s="7" t="s">
        <v>505</v>
      </c>
      <c r="D128" s="39">
        <v>46100</v>
      </c>
      <c r="E128" s="39" t="s">
        <v>13</v>
      </c>
      <c r="F128" s="39" t="s">
        <v>13</v>
      </c>
      <c r="G128" s="9">
        <v>17904</v>
      </c>
      <c r="H128" s="10">
        <v>17904</v>
      </c>
      <c r="I128" s="11">
        <v>35808</v>
      </c>
      <c r="J128" s="11">
        <f>VLOOKUP(B128,'Mar 26'!B:G,6,FALSE)</f>
        <v>17904</v>
      </c>
      <c r="K128" s="11">
        <v>0</v>
      </c>
      <c r="L128" s="11">
        <f t="shared" si="12"/>
        <v>0</v>
      </c>
      <c r="M128" s="41">
        <f t="shared" si="13"/>
        <v>0</v>
      </c>
    </row>
    <row r="129" spans="1:13" ht="16.5" thickTop="1" thickBot="1" x14ac:dyDescent="0.3">
      <c r="A129" s="5" t="s">
        <v>287</v>
      </c>
      <c r="B129" s="6">
        <v>87078</v>
      </c>
      <c r="C129" s="7" t="s">
        <v>57</v>
      </c>
      <c r="D129" s="39">
        <v>46064</v>
      </c>
      <c r="E129" s="39">
        <v>46085</v>
      </c>
      <c r="F129" s="39">
        <v>46125</v>
      </c>
      <c r="G129" s="45">
        <v>0</v>
      </c>
      <c r="H129" s="10"/>
      <c r="I129" s="11"/>
      <c r="J129" s="11">
        <f>VLOOKUP(B129,'Mar 26'!B:G,6,FALSE)</f>
        <v>12457</v>
      </c>
      <c r="K129" s="11">
        <f>J129-G129</f>
        <v>12457</v>
      </c>
      <c r="L129" s="11" t="s">
        <v>613</v>
      </c>
      <c r="M129" s="41">
        <f>-K129</f>
        <v>-12457</v>
      </c>
    </row>
    <row r="130" spans="1:13" ht="16.5" thickTop="1" thickBot="1" x14ac:dyDescent="0.3">
      <c r="A130" s="5" t="s">
        <v>599</v>
      </c>
      <c r="B130" s="6">
        <v>88754</v>
      </c>
      <c r="C130" s="7" t="s">
        <v>609</v>
      </c>
      <c r="D130" s="39">
        <v>46113</v>
      </c>
      <c r="E130" s="39" t="s">
        <v>13</v>
      </c>
      <c r="F130" s="39" t="s">
        <v>13</v>
      </c>
      <c r="G130" s="9">
        <v>21095</v>
      </c>
      <c r="H130" s="10">
        <f>I130-G130</f>
        <v>21095</v>
      </c>
      <c r="I130" s="11">
        <v>42190</v>
      </c>
      <c r="J130" s="11">
        <v>0</v>
      </c>
      <c r="K130" s="11">
        <v>0</v>
      </c>
      <c r="L130" s="11">
        <f t="shared" ref="L130:L143" si="14">G130-J130</f>
        <v>21095</v>
      </c>
      <c r="M130" s="41">
        <f t="shared" ref="M130:M143" si="15">L130-K130</f>
        <v>21095</v>
      </c>
    </row>
    <row r="131" spans="1:13" ht="16.5" thickTop="1" thickBot="1" x14ac:dyDescent="0.3">
      <c r="A131" s="12" t="s">
        <v>618</v>
      </c>
      <c r="B131" s="13">
        <v>90089</v>
      </c>
      <c r="C131" s="14" t="s">
        <v>619</v>
      </c>
      <c r="D131" s="40">
        <v>46133</v>
      </c>
      <c r="E131" s="40" t="s">
        <v>13</v>
      </c>
      <c r="F131" s="40" t="s">
        <v>13</v>
      </c>
      <c r="G131" s="16">
        <v>36368.01</v>
      </c>
      <c r="H131" s="17">
        <f>I131-G131</f>
        <v>0</v>
      </c>
      <c r="I131" s="18">
        <v>36368.01</v>
      </c>
      <c r="J131" s="18">
        <v>0</v>
      </c>
      <c r="K131" s="18">
        <f>IF(G131=0,J131-G131,0)</f>
        <v>0</v>
      </c>
      <c r="L131" s="18">
        <f t="shared" si="14"/>
        <v>36368.01</v>
      </c>
      <c r="M131" s="41">
        <f t="shared" si="15"/>
        <v>36368.01</v>
      </c>
    </row>
    <row r="132" spans="1:13" ht="16.5" thickTop="1" thickBot="1" x14ac:dyDescent="0.3">
      <c r="A132" s="5" t="s">
        <v>321</v>
      </c>
      <c r="B132" s="6">
        <v>86134</v>
      </c>
      <c r="C132" s="7" t="s">
        <v>21</v>
      </c>
      <c r="D132" s="39">
        <v>46070</v>
      </c>
      <c r="E132" s="39" t="s">
        <v>13</v>
      </c>
      <c r="F132" s="39" t="s">
        <v>13</v>
      </c>
      <c r="G132" s="9">
        <f>5151+3343</f>
        <v>8494</v>
      </c>
      <c r="H132" s="10">
        <f>I132-G132</f>
        <v>8673</v>
      </c>
      <c r="I132" s="11">
        <v>17167</v>
      </c>
      <c r="J132" s="11">
        <f>VLOOKUP(B132,'Mar 26'!B:G,6,FALSE)</f>
        <v>5151</v>
      </c>
      <c r="K132" s="11">
        <v>0</v>
      </c>
      <c r="L132" s="11">
        <f t="shared" si="14"/>
        <v>3343</v>
      </c>
      <c r="M132" s="41">
        <f t="shared" si="15"/>
        <v>3343</v>
      </c>
    </row>
    <row r="133" spans="1:13" ht="16.5" thickTop="1" thickBot="1" x14ac:dyDescent="0.3">
      <c r="A133" s="5" t="s">
        <v>338</v>
      </c>
      <c r="B133" s="6">
        <v>87824</v>
      </c>
      <c r="C133" s="7" t="s">
        <v>20</v>
      </c>
      <c r="D133" s="39">
        <v>46079</v>
      </c>
      <c r="E133" s="39" t="s">
        <v>13</v>
      </c>
      <c r="F133" s="39" t="s">
        <v>13</v>
      </c>
      <c r="G133" s="9">
        <v>109880</v>
      </c>
      <c r="H133" s="10">
        <v>109880</v>
      </c>
      <c r="I133" s="11">
        <v>219760</v>
      </c>
      <c r="J133" s="11">
        <f>VLOOKUP(B133,'Mar 26'!B:G,6,FALSE)</f>
        <v>109880</v>
      </c>
      <c r="K133" s="11">
        <v>0</v>
      </c>
      <c r="L133" s="11">
        <f t="shared" si="14"/>
        <v>0</v>
      </c>
      <c r="M133" s="41">
        <f t="shared" si="15"/>
        <v>0</v>
      </c>
    </row>
    <row r="134" spans="1:13" ht="16.5" thickTop="1" thickBot="1" x14ac:dyDescent="0.3">
      <c r="A134" s="5" t="s">
        <v>600</v>
      </c>
      <c r="B134" s="6">
        <v>89295</v>
      </c>
      <c r="C134" s="7" t="s">
        <v>21</v>
      </c>
      <c r="D134" s="39">
        <v>46127</v>
      </c>
      <c r="E134" s="39" t="s">
        <v>13</v>
      </c>
      <c r="F134" s="39" t="s">
        <v>13</v>
      </c>
      <c r="G134" s="9">
        <v>26512</v>
      </c>
      <c r="H134" s="10">
        <f>I134-G134</f>
        <v>26512</v>
      </c>
      <c r="I134" s="11">
        <v>53024</v>
      </c>
      <c r="J134" s="11">
        <v>0</v>
      </c>
      <c r="K134" s="11">
        <v>0</v>
      </c>
      <c r="L134" s="11">
        <f t="shared" si="14"/>
        <v>26512</v>
      </c>
      <c r="M134" s="41">
        <f t="shared" si="15"/>
        <v>26512</v>
      </c>
    </row>
    <row r="135" spans="1:13" ht="16.5" thickTop="1" thickBot="1" x14ac:dyDescent="0.3">
      <c r="A135" s="5" t="s">
        <v>337</v>
      </c>
      <c r="B135" s="6">
        <v>88771</v>
      </c>
      <c r="C135" s="7" t="s">
        <v>21</v>
      </c>
      <c r="D135" s="39">
        <v>46079</v>
      </c>
      <c r="E135" s="39" t="s">
        <v>13</v>
      </c>
      <c r="F135" s="39" t="s">
        <v>13</v>
      </c>
      <c r="G135" s="9">
        <v>1781</v>
      </c>
      <c r="H135" s="10">
        <v>1781</v>
      </c>
      <c r="I135" s="11">
        <v>3562</v>
      </c>
      <c r="J135" s="11">
        <f>VLOOKUP(B135,'Mar 26'!B:G,6,FALSE)</f>
        <v>1781</v>
      </c>
      <c r="K135" s="11">
        <v>0</v>
      </c>
      <c r="L135" s="11">
        <f t="shared" si="14"/>
        <v>0</v>
      </c>
      <c r="M135" s="41">
        <f t="shared" si="15"/>
        <v>0</v>
      </c>
    </row>
    <row r="136" spans="1:13" ht="16.5" thickTop="1" thickBot="1" x14ac:dyDescent="0.3">
      <c r="A136" s="5" t="s">
        <v>290</v>
      </c>
      <c r="B136" s="6">
        <v>88927</v>
      </c>
      <c r="C136" s="7" t="s">
        <v>296</v>
      </c>
      <c r="D136" s="39">
        <v>46066</v>
      </c>
      <c r="E136" s="39">
        <v>46097</v>
      </c>
      <c r="F136" s="39" t="s">
        <v>577</v>
      </c>
      <c r="G136" s="9">
        <v>7884</v>
      </c>
      <c r="H136" s="10">
        <v>7884</v>
      </c>
      <c r="I136" s="11">
        <v>15768</v>
      </c>
      <c r="J136" s="11">
        <f>VLOOKUP(B136,'Mar 26'!B:G,6,FALSE)</f>
        <v>7884</v>
      </c>
      <c r="K136" s="11">
        <v>0</v>
      </c>
      <c r="L136" s="11">
        <f t="shared" si="14"/>
        <v>0</v>
      </c>
      <c r="M136" s="41">
        <f t="shared" si="15"/>
        <v>0</v>
      </c>
    </row>
    <row r="137" spans="1:13" ht="16.5" thickTop="1" thickBot="1" x14ac:dyDescent="0.3">
      <c r="A137" s="5" t="s">
        <v>239</v>
      </c>
      <c r="B137" s="6">
        <v>86537</v>
      </c>
      <c r="C137" s="7" t="s">
        <v>256</v>
      </c>
      <c r="D137" s="39">
        <v>46044</v>
      </c>
      <c r="E137" s="39" t="s">
        <v>13</v>
      </c>
      <c r="F137" s="39" t="s">
        <v>13</v>
      </c>
      <c r="G137" s="9">
        <v>10013</v>
      </c>
      <c r="H137" s="10">
        <v>10012</v>
      </c>
      <c r="I137" s="11">
        <v>20025</v>
      </c>
      <c r="J137" s="11">
        <f>VLOOKUP(B137,'Mar 26'!B:G,6,FALSE)</f>
        <v>10013</v>
      </c>
      <c r="K137" s="11">
        <v>0</v>
      </c>
      <c r="L137" s="11">
        <f t="shared" si="14"/>
        <v>0</v>
      </c>
      <c r="M137" s="41">
        <f t="shared" si="15"/>
        <v>0</v>
      </c>
    </row>
    <row r="138" spans="1:13" ht="16.5" thickTop="1" thickBot="1" x14ac:dyDescent="0.3">
      <c r="A138" s="5" t="s">
        <v>617</v>
      </c>
      <c r="B138" s="6">
        <v>90012</v>
      </c>
      <c r="C138" s="7" t="s">
        <v>87</v>
      </c>
      <c r="D138" s="39">
        <v>46132</v>
      </c>
      <c r="E138" s="39" t="s">
        <v>13</v>
      </c>
      <c r="F138" s="39" t="s">
        <v>13</v>
      </c>
      <c r="G138" s="9">
        <v>5254</v>
      </c>
      <c r="H138" s="10">
        <f>I138-G138</f>
        <v>5254.3099999999995</v>
      </c>
      <c r="I138" s="11">
        <v>10508.31</v>
      </c>
      <c r="J138" s="11">
        <v>0</v>
      </c>
      <c r="K138" s="11">
        <f>IF(G138=0,J138-G138,0)</f>
        <v>0</v>
      </c>
      <c r="L138" s="11">
        <f t="shared" si="14"/>
        <v>5254</v>
      </c>
      <c r="M138" s="41">
        <f t="shared" si="15"/>
        <v>5254</v>
      </c>
    </row>
    <row r="139" spans="1:13" ht="16.5" thickTop="1" thickBot="1" x14ac:dyDescent="0.3">
      <c r="A139" s="5" t="s">
        <v>605</v>
      </c>
      <c r="B139" s="6">
        <v>89678</v>
      </c>
      <c r="C139" s="7" t="s">
        <v>37</v>
      </c>
      <c r="D139" s="39">
        <v>46114</v>
      </c>
      <c r="E139" s="39" t="s">
        <v>13</v>
      </c>
      <c r="F139" s="39" t="s">
        <v>13</v>
      </c>
      <c r="G139" s="9">
        <v>7777</v>
      </c>
      <c r="H139" s="10">
        <f>I139-G139</f>
        <v>7777</v>
      </c>
      <c r="I139" s="11">
        <v>15554</v>
      </c>
      <c r="J139" s="11">
        <v>0</v>
      </c>
      <c r="K139" s="11">
        <v>0</v>
      </c>
      <c r="L139" s="11">
        <f t="shared" si="14"/>
        <v>7777</v>
      </c>
      <c r="M139" s="41">
        <f t="shared" si="15"/>
        <v>7777</v>
      </c>
    </row>
    <row r="140" spans="1:13" ht="16.5" thickTop="1" thickBot="1" x14ac:dyDescent="0.3">
      <c r="A140" s="5" t="s">
        <v>606</v>
      </c>
      <c r="B140" s="6">
        <v>88850</v>
      </c>
      <c r="C140" s="7" t="s">
        <v>14</v>
      </c>
      <c r="D140" s="39">
        <v>46115</v>
      </c>
      <c r="E140" s="39" t="s">
        <v>13</v>
      </c>
      <c r="F140" s="39" t="s">
        <v>13</v>
      </c>
      <c r="G140" s="9">
        <v>49392</v>
      </c>
      <c r="H140" s="10">
        <f>I140-G140</f>
        <v>49391</v>
      </c>
      <c r="I140" s="11">
        <v>98783</v>
      </c>
      <c r="J140" s="11">
        <v>0</v>
      </c>
      <c r="K140" s="11">
        <v>0</v>
      </c>
      <c r="L140" s="11">
        <f t="shared" si="14"/>
        <v>49392</v>
      </c>
      <c r="M140" s="41">
        <f t="shared" si="15"/>
        <v>49392</v>
      </c>
    </row>
    <row r="141" spans="1:13" ht="16.5" thickTop="1" thickBot="1" x14ac:dyDescent="0.3">
      <c r="A141" s="5" t="s">
        <v>574</v>
      </c>
      <c r="B141" s="6">
        <v>89520</v>
      </c>
      <c r="C141" s="7" t="s">
        <v>254</v>
      </c>
      <c r="D141" s="39">
        <v>46112</v>
      </c>
      <c r="E141" s="39" t="s">
        <v>13</v>
      </c>
      <c r="F141" s="39" t="s">
        <v>13</v>
      </c>
      <c r="G141" s="9">
        <v>8091.5</v>
      </c>
      <c r="H141" s="10">
        <v>8091.5</v>
      </c>
      <c r="I141" s="11">
        <v>16183</v>
      </c>
      <c r="J141" s="11">
        <f>VLOOKUP(B141,'Mar 26'!B:G,6,FALSE)</f>
        <v>8091.5</v>
      </c>
      <c r="K141" s="11">
        <v>0</v>
      </c>
      <c r="L141" s="11">
        <f t="shared" si="14"/>
        <v>0</v>
      </c>
      <c r="M141" s="41">
        <f t="shared" si="15"/>
        <v>0</v>
      </c>
    </row>
    <row r="142" spans="1:13" ht="16.5" thickTop="1" thickBot="1" x14ac:dyDescent="0.3">
      <c r="A142" s="5" t="s">
        <v>625</v>
      </c>
      <c r="B142" s="6">
        <v>85309</v>
      </c>
      <c r="C142" s="7" t="s">
        <v>634</v>
      </c>
      <c r="D142" s="39">
        <v>46135</v>
      </c>
      <c r="E142" s="39" t="s">
        <v>13</v>
      </c>
      <c r="F142" s="39" t="s">
        <v>13</v>
      </c>
      <c r="G142" s="9">
        <v>14942</v>
      </c>
      <c r="H142" s="10">
        <f>I142-G142</f>
        <v>14942</v>
      </c>
      <c r="I142" s="11">
        <v>29884</v>
      </c>
      <c r="J142" s="11"/>
      <c r="K142" s="11">
        <f>IF(G142=0,J142-G142,0)</f>
        <v>0</v>
      </c>
      <c r="L142" s="11">
        <f t="shared" si="14"/>
        <v>14942</v>
      </c>
      <c r="M142" s="41">
        <f t="shared" si="15"/>
        <v>14942</v>
      </c>
    </row>
    <row r="143" spans="1:13" ht="16.5" thickTop="1" thickBot="1" x14ac:dyDescent="0.3">
      <c r="A143" s="5" t="s">
        <v>132</v>
      </c>
      <c r="B143" s="6">
        <v>86090</v>
      </c>
      <c r="C143" s="7" t="s">
        <v>39</v>
      </c>
      <c r="D143" s="39">
        <v>45936</v>
      </c>
      <c r="E143" s="39">
        <v>45975</v>
      </c>
      <c r="F143" s="39" t="s">
        <v>350</v>
      </c>
      <c r="G143" s="9">
        <v>50633.5</v>
      </c>
      <c r="H143" s="10">
        <v>50633.5</v>
      </c>
      <c r="I143" s="11">
        <v>101267</v>
      </c>
      <c r="J143" s="11">
        <f>VLOOKUP(B143,'Mar 26'!B:G,6,FALSE)</f>
        <v>50633.5</v>
      </c>
      <c r="K143" s="11">
        <v>0</v>
      </c>
      <c r="L143" s="11">
        <f t="shared" si="14"/>
        <v>0</v>
      </c>
      <c r="M143" s="41">
        <f t="shared" si="15"/>
        <v>0</v>
      </c>
    </row>
    <row r="144" spans="1:13" ht="16.5" thickTop="1" thickBot="1" x14ac:dyDescent="0.3">
      <c r="A144" s="5" t="s">
        <v>361</v>
      </c>
      <c r="B144" s="6">
        <v>87346</v>
      </c>
      <c r="C144" s="7" t="s">
        <v>11</v>
      </c>
      <c r="D144" s="39">
        <v>46085</v>
      </c>
      <c r="E144" s="39">
        <v>46107</v>
      </c>
      <c r="F144" s="39">
        <v>46141</v>
      </c>
      <c r="G144" s="45">
        <v>0</v>
      </c>
      <c r="H144" s="10"/>
      <c r="I144" s="11"/>
      <c r="J144" s="11">
        <f>VLOOKUP(B144,'Mar 26'!B:G,6,FALSE)</f>
        <v>11754</v>
      </c>
      <c r="K144" s="11">
        <f>J144-G144</f>
        <v>11754</v>
      </c>
      <c r="L144" s="11" t="s">
        <v>613</v>
      </c>
      <c r="M144" s="41">
        <f>-K144</f>
        <v>-11754</v>
      </c>
    </row>
    <row r="145" spans="1:13" ht="16.5" thickTop="1" thickBot="1" x14ac:dyDescent="0.3">
      <c r="A145" s="5" t="s">
        <v>628</v>
      </c>
      <c r="B145" s="6">
        <v>89429</v>
      </c>
      <c r="C145" s="7" t="s">
        <v>14</v>
      </c>
      <c r="D145" s="39">
        <v>46136</v>
      </c>
      <c r="E145" s="39" t="s">
        <v>13</v>
      </c>
      <c r="F145" s="39" t="s">
        <v>13</v>
      </c>
      <c r="G145" s="9">
        <v>24032</v>
      </c>
      <c r="H145" s="10">
        <f>I145-G145</f>
        <v>24032</v>
      </c>
      <c r="I145" s="11">
        <v>48064</v>
      </c>
      <c r="J145" s="11"/>
      <c r="K145" s="11">
        <f>IF(G145=0,J145-G145,0)</f>
        <v>0</v>
      </c>
      <c r="L145" s="11">
        <f t="shared" ref="L145:L150" si="16">G145-J145</f>
        <v>24032</v>
      </c>
      <c r="M145" s="41">
        <f t="shared" ref="M145:M150" si="17">L145-K145</f>
        <v>24032</v>
      </c>
    </row>
    <row r="146" spans="1:13" ht="16.5" thickTop="1" thickBot="1" x14ac:dyDescent="0.3">
      <c r="A146" s="5" t="s">
        <v>638</v>
      </c>
      <c r="B146" s="6">
        <v>89336</v>
      </c>
      <c r="C146" s="6" t="s">
        <v>40</v>
      </c>
      <c r="D146" s="39">
        <v>46141</v>
      </c>
      <c r="E146" s="39" t="s">
        <v>13</v>
      </c>
      <c r="F146" s="39" t="s">
        <v>13</v>
      </c>
      <c r="G146" s="9">
        <v>11647.83</v>
      </c>
      <c r="H146" s="10">
        <f>I146-G146</f>
        <v>11647.83</v>
      </c>
      <c r="I146" s="11">
        <v>23295.66</v>
      </c>
      <c r="J146" s="11"/>
      <c r="K146" s="11">
        <f>IF(G146=0,J146-G146,0)</f>
        <v>0</v>
      </c>
      <c r="L146" s="11">
        <f t="shared" si="16"/>
        <v>11647.83</v>
      </c>
      <c r="M146" s="41">
        <f t="shared" si="17"/>
        <v>11647.83</v>
      </c>
    </row>
    <row r="147" spans="1:13" ht="16.5" thickTop="1" thickBot="1" x14ac:dyDescent="0.3">
      <c r="A147" s="5" t="s">
        <v>496</v>
      </c>
      <c r="B147" s="6">
        <v>88920</v>
      </c>
      <c r="C147" s="7" t="s">
        <v>40</v>
      </c>
      <c r="D147" s="39">
        <v>46098</v>
      </c>
      <c r="E147" s="39" t="s">
        <v>13</v>
      </c>
      <c r="F147" s="39" t="s">
        <v>13</v>
      </c>
      <c r="G147" s="9">
        <v>6961</v>
      </c>
      <c r="H147" s="10">
        <v>6961</v>
      </c>
      <c r="I147" s="11">
        <v>13922</v>
      </c>
      <c r="J147" s="11">
        <f>VLOOKUP(B147,'Mar 26'!B:G,6,FALSE)</f>
        <v>6961</v>
      </c>
      <c r="K147" s="11">
        <v>0</v>
      </c>
      <c r="L147" s="11">
        <f t="shared" si="16"/>
        <v>0</v>
      </c>
      <c r="M147" s="41">
        <f t="shared" si="17"/>
        <v>0</v>
      </c>
    </row>
    <row r="148" spans="1:13" ht="16.5" thickTop="1" thickBot="1" x14ac:dyDescent="0.3">
      <c r="A148" s="5" t="s">
        <v>639</v>
      </c>
      <c r="B148" s="6">
        <v>89485</v>
      </c>
      <c r="C148" s="6" t="s">
        <v>40</v>
      </c>
      <c r="D148" s="39">
        <v>46141</v>
      </c>
      <c r="E148" s="39" t="s">
        <v>13</v>
      </c>
      <c r="F148" s="39" t="s">
        <v>13</v>
      </c>
      <c r="G148" s="9">
        <v>4915</v>
      </c>
      <c r="H148" s="10">
        <f>I148-G148</f>
        <v>4914</v>
      </c>
      <c r="I148" s="11">
        <v>9829</v>
      </c>
      <c r="J148" s="11"/>
      <c r="K148" s="11">
        <f>IF(G148=0,J148-G148,0)</f>
        <v>0</v>
      </c>
      <c r="L148" s="11">
        <f t="shared" si="16"/>
        <v>4915</v>
      </c>
      <c r="M148" s="41">
        <f t="shared" si="17"/>
        <v>4915</v>
      </c>
    </row>
    <row r="149" spans="1:13" ht="16.5" thickTop="1" thickBot="1" x14ac:dyDescent="0.3">
      <c r="A149" s="5" t="s">
        <v>601</v>
      </c>
      <c r="B149" s="6">
        <v>86011</v>
      </c>
      <c r="C149" s="7" t="s">
        <v>40</v>
      </c>
      <c r="D149" s="39">
        <v>46126</v>
      </c>
      <c r="E149" s="39" t="s">
        <v>13</v>
      </c>
      <c r="F149" s="39" t="s">
        <v>13</v>
      </c>
      <c r="G149" s="9">
        <v>9490</v>
      </c>
      <c r="H149" s="10">
        <f>I149-G149</f>
        <v>9489</v>
      </c>
      <c r="I149" s="11">
        <v>18979</v>
      </c>
      <c r="J149" s="11">
        <v>0</v>
      </c>
      <c r="K149" s="11">
        <v>0</v>
      </c>
      <c r="L149" s="11">
        <f t="shared" si="16"/>
        <v>9490</v>
      </c>
      <c r="M149" s="41">
        <f t="shared" si="17"/>
        <v>9490</v>
      </c>
    </row>
    <row r="150" spans="1:13" ht="16.5" thickTop="1" thickBot="1" x14ac:dyDescent="0.3">
      <c r="A150" s="5" t="s">
        <v>127</v>
      </c>
      <c r="B150" s="6">
        <v>86087</v>
      </c>
      <c r="C150" s="7" t="s">
        <v>78</v>
      </c>
      <c r="D150" s="39">
        <v>45930</v>
      </c>
      <c r="E150" s="39" t="s">
        <v>13</v>
      </c>
      <c r="F150" s="39" t="s">
        <v>13</v>
      </c>
      <c r="G150" s="9">
        <f>16786+4260</f>
        <v>21046</v>
      </c>
      <c r="H150" s="10">
        <f>I150-G150</f>
        <v>12526</v>
      </c>
      <c r="I150" s="11">
        <v>33572</v>
      </c>
      <c r="J150" s="11">
        <f>VLOOKUP(B150,'Mar 26'!B:G,6,FALSE)</f>
        <v>16786</v>
      </c>
      <c r="K150" s="11">
        <v>0</v>
      </c>
      <c r="L150" s="11">
        <f t="shared" si="16"/>
        <v>4260</v>
      </c>
      <c r="M150" s="41">
        <f t="shared" si="17"/>
        <v>4260</v>
      </c>
    </row>
    <row r="151" spans="1:13" ht="16.5" thickTop="1" thickBot="1" x14ac:dyDescent="0.3">
      <c r="A151" s="5" t="s">
        <v>329</v>
      </c>
      <c r="B151" s="6">
        <v>88524</v>
      </c>
      <c r="C151" s="7" t="s">
        <v>23</v>
      </c>
      <c r="D151" s="39">
        <v>46076</v>
      </c>
      <c r="E151" s="39">
        <v>46094</v>
      </c>
      <c r="F151" s="39">
        <v>46121</v>
      </c>
      <c r="G151" s="45">
        <v>0</v>
      </c>
      <c r="H151" s="10"/>
      <c r="I151" s="11"/>
      <c r="J151" s="11">
        <f>VLOOKUP(B151,'Mar 26'!B:G,6,FALSE)</f>
        <v>6563</v>
      </c>
      <c r="K151" s="11">
        <f>J151-G151</f>
        <v>6563</v>
      </c>
      <c r="L151" s="11" t="s">
        <v>613</v>
      </c>
      <c r="M151" s="41">
        <f>-K151</f>
        <v>-6563</v>
      </c>
    </row>
    <row r="152" spans="1:13" ht="16.5" thickTop="1" thickBot="1" x14ac:dyDescent="0.3">
      <c r="A152" s="5" t="s">
        <v>501</v>
      </c>
      <c r="B152" s="6">
        <v>89555</v>
      </c>
      <c r="C152" s="7" t="s">
        <v>14</v>
      </c>
      <c r="D152" s="39">
        <v>46099</v>
      </c>
      <c r="E152" s="39" t="s">
        <v>13</v>
      </c>
      <c r="F152" s="39" t="s">
        <v>13</v>
      </c>
      <c r="G152" s="9">
        <v>10888</v>
      </c>
      <c r="H152" s="10">
        <v>10887</v>
      </c>
      <c r="I152" s="11">
        <v>21775</v>
      </c>
      <c r="J152" s="11">
        <f>VLOOKUP(B152,'Mar 26'!B:G,6,FALSE)</f>
        <v>10888</v>
      </c>
      <c r="K152" s="11">
        <v>0</v>
      </c>
      <c r="L152" s="11">
        <f>G152-J152</f>
        <v>0</v>
      </c>
      <c r="M152" s="41">
        <f>L152-K152</f>
        <v>0</v>
      </c>
    </row>
    <row r="153" spans="1:13" ht="16.5" thickTop="1" thickBot="1" x14ac:dyDescent="0.3">
      <c r="A153" s="5" t="s">
        <v>259</v>
      </c>
      <c r="B153" s="6">
        <v>88810</v>
      </c>
      <c r="C153" s="7" t="s">
        <v>14</v>
      </c>
      <c r="D153" s="39">
        <v>46050</v>
      </c>
      <c r="E153" s="39">
        <v>46090</v>
      </c>
      <c r="F153" s="39" t="s">
        <v>350</v>
      </c>
      <c r="G153" s="9">
        <v>22507</v>
      </c>
      <c r="H153" s="10">
        <v>22506</v>
      </c>
      <c r="I153" s="11">
        <v>45013</v>
      </c>
      <c r="J153" s="11">
        <f>VLOOKUP(B153,'Mar 26'!B:G,6,FALSE)</f>
        <v>22507</v>
      </c>
      <c r="K153" s="11">
        <v>0</v>
      </c>
      <c r="L153" s="11">
        <f>G153-J153</f>
        <v>0</v>
      </c>
      <c r="M153" s="41">
        <f>L153-K153</f>
        <v>0</v>
      </c>
    </row>
    <row r="154" spans="1:13" ht="16.5" thickTop="1" thickBot="1" x14ac:dyDescent="0.3">
      <c r="A154" s="5" t="s">
        <v>316</v>
      </c>
      <c r="B154" s="6">
        <v>88919</v>
      </c>
      <c r="C154" s="7" t="s">
        <v>78</v>
      </c>
      <c r="D154" s="39">
        <v>46069</v>
      </c>
      <c r="E154" s="39">
        <v>46111</v>
      </c>
      <c r="F154" s="39">
        <v>46140</v>
      </c>
      <c r="G154" s="45">
        <v>0</v>
      </c>
      <c r="H154" s="10"/>
      <c r="I154" s="11"/>
      <c r="J154" s="11">
        <f>VLOOKUP(B154,'Mar 26'!B:G,6,FALSE)</f>
        <v>8348</v>
      </c>
      <c r="K154" s="11">
        <f>J154-G154</f>
        <v>8348</v>
      </c>
      <c r="L154" s="11" t="s">
        <v>613</v>
      </c>
      <c r="M154" s="41">
        <f>-K154</f>
        <v>-8348</v>
      </c>
    </row>
    <row r="155" spans="1:13" ht="16.5" thickTop="1" thickBot="1" x14ac:dyDescent="0.3">
      <c r="A155" s="5" t="s">
        <v>99</v>
      </c>
      <c r="B155" s="6">
        <v>81910</v>
      </c>
      <c r="C155" s="7" t="s">
        <v>14</v>
      </c>
      <c r="D155" s="39">
        <v>45859</v>
      </c>
      <c r="E155" s="39" t="s">
        <v>13</v>
      </c>
      <c r="F155" s="39" t="s">
        <v>13</v>
      </c>
      <c r="G155" s="9">
        <v>13876</v>
      </c>
      <c r="H155" s="10">
        <v>13875</v>
      </c>
      <c r="I155" s="11">
        <v>27751</v>
      </c>
      <c r="J155" s="11">
        <f>VLOOKUP(B155,'Mar 26'!B:G,6,FALSE)</f>
        <v>13876</v>
      </c>
      <c r="K155" s="11">
        <v>0</v>
      </c>
      <c r="L155" s="11">
        <f t="shared" ref="L155:L166" si="18">G155-J155</f>
        <v>0</v>
      </c>
      <c r="M155" s="41">
        <f t="shared" ref="M155:M166" si="19">L155-K155</f>
        <v>0</v>
      </c>
    </row>
    <row r="156" spans="1:13" ht="16.5" thickTop="1" thickBot="1" x14ac:dyDescent="0.3">
      <c r="A156" s="5" t="s">
        <v>624</v>
      </c>
      <c r="B156" s="6">
        <v>90268</v>
      </c>
      <c r="C156" s="7" t="s">
        <v>21</v>
      </c>
      <c r="D156" s="39">
        <v>46134</v>
      </c>
      <c r="E156" s="39" t="s">
        <v>13</v>
      </c>
      <c r="F156" s="39" t="s">
        <v>13</v>
      </c>
      <c r="G156" s="9">
        <v>13185</v>
      </c>
      <c r="H156" s="10">
        <f>I156-G156</f>
        <v>13185.64</v>
      </c>
      <c r="I156" s="11">
        <v>26370.639999999999</v>
      </c>
      <c r="J156" s="11"/>
      <c r="K156" s="11">
        <f>IF(G156=0,J156-G156,0)</f>
        <v>0</v>
      </c>
      <c r="L156" s="11">
        <f t="shared" si="18"/>
        <v>13185</v>
      </c>
      <c r="M156" s="41">
        <f t="shared" si="19"/>
        <v>13185</v>
      </c>
    </row>
    <row r="157" spans="1:13" ht="16.5" thickTop="1" thickBot="1" x14ac:dyDescent="0.3">
      <c r="A157" s="5" t="s">
        <v>602</v>
      </c>
      <c r="B157" s="6">
        <v>90062</v>
      </c>
      <c r="C157" s="7" t="s">
        <v>21</v>
      </c>
      <c r="D157" s="39">
        <v>46125</v>
      </c>
      <c r="E157" s="39" t="s">
        <v>13</v>
      </c>
      <c r="F157" s="39" t="s">
        <v>13</v>
      </c>
      <c r="G157" s="9">
        <v>9484</v>
      </c>
      <c r="H157" s="10">
        <f>I157-G157</f>
        <v>9483.59</v>
      </c>
      <c r="I157" s="11">
        <v>18967.59</v>
      </c>
      <c r="J157" s="11">
        <v>0</v>
      </c>
      <c r="K157" s="11">
        <v>0</v>
      </c>
      <c r="L157" s="11">
        <f t="shared" si="18"/>
        <v>9484</v>
      </c>
      <c r="M157" s="41">
        <f t="shared" si="19"/>
        <v>9484</v>
      </c>
    </row>
    <row r="158" spans="1:13" ht="16.5" thickTop="1" thickBot="1" x14ac:dyDescent="0.3">
      <c r="A158" s="5" t="s">
        <v>630</v>
      </c>
      <c r="B158" s="6">
        <v>90348</v>
      </c>
      <c r="C158" s="7" t="s">
        <v>255</v>
      </c>
      <c r="D158" s="39">
        <v>46136</v>
      </c>
      <c r="E158" s="39" t="s">
        <v>13</v>
      </c>
      <c r="F158" s="39" t="s">
        <v>13</v>
      </c>
      <c r="G158" s="9">
        <v>10078</v>
      </c>
      <c r="H158" s="10">
        <f>I158-G158</f>
        <v>10078.740000000002</v>
      </c>
      <c r="I158" s="11">
        <v>20156.740000000002</v>
      </c>
      <c r="J158" s="11"/>
      <c r="K158" s="11">
        <f>IF(G158=0,J158-G158,0)</f>
        <v>0</v>
      </c>
      <c r="L158" s="11">
        <f t="shared" si="18"/>
        <v>10078</v>
      </c>
      <c r="M158" s="41">
        <f t="shared" si="19"/>
        <v>10078</v>
      </c>
    </row>
    <row r="159" spans="1:13" ht="16.5" thickTop="1" thickBot="1" x14ac:dyDescent="0.3">
      <c r="A159" s="5" t="s">
        <v>573</v>
      </c>
      <c r="B159" s="6">
        <v>88415</v>
      </c>
      <c r="C159" s="7" t="s">
        <v>62</v>
      </c>
      <c r="D159" s="39">
        <v>46112</v>
      </c>
      <c r="E159" s="39" t="s">
        <v>13</v>
      </c>
      <c r="F159" s="39" t="s">
        <v>13</v>
      </c>
      <c r="G159" s="9">
        <v>64984</v>
      </c>
      <c r="H159" s="10">
        <v>64984</v>
      </c>
      <c r="I159" s="11">
        <v>129968</v>
      </c>
      <c r="J159" s="11">
        <f>VLOOKUP(B159,'Mar 26'!B:G,6,FALSE)</f>
        <v>64984</v>
      </c>
      <c r="K159" s="11">
        <v>0</v>
      </c>
      <c r="L159" s="11">
        <f t="shared" si="18"/>
        <v>0</v>
      </c>
      <c r="M159" s="41">
        <f t="shared" si="19"/>
        <v>0</v>
      </c>
    </row>
    <row r="160" spans="1:13" ht="16.5" thickTop="1" thickBot="1" x14ac:dyDescent="0.3">
      <c r="A160" s="5" t="s">
        <v>500</v>
      </c>
      <c r="B160" s="6">
        <v>88490</v>
      </c>
      <c r="C160" s="7" t="s">
        <v>19</v>
      </c>
      <c r="D160" s="39">
        <v>46099</v>
      </c>
      <c r="E160" s="39" t="s">
        <v>13</v>
      </c>
      <c r="F160" s="39" t="s">
        <v>13</v>
      </c>
      <c r="G160" s="9">
        <v>21569</v>
      </c>
      <c r="H160" s="10">
        <v>21569</v>
      </c>
      <c r="I160" s="11">
        <v>43138</v>
      </c>
      <c r="J160" s="11">
        <f>VLOOKUP(B160,'Mar 26'!B:G,6,FALSE)</f>
        <v>21569</v>
      </c>
      <c r="K160" s="11">
        <v>0</v>
      </c>
      <c r="L160" s="11">
        <f t="shared" si="18"/>
        <v>0</v>
      </c>
      <c r="M160" s="41">
        <f t="shared" si="19"/>
        <v>0</v>
      </c>
    </row>
    <row r="161" spans="1:13" ht="16.5" thickTop="1" thickBot="1" x14ac:dyDescent="0.3">
      <c r="A161" s="5" t="s">
        <v>149</v>
      </c>
      <c r="B161" s="6">
        <v>87713</v>
      </c>
      <c r="C161" s="7" t="s">
        <v>31</v>
      </c>
      <c r="D161" s="39">
        <v>45960</v>
      </c>
      <c r="E161" s="39" t="s">
        <v>13</v>
      </c>
      <c r="F161" s="39" t="s">
        <v>13</v>
      </c>
      <c r="G161" s="9">
        <v>192821</v>
      </c>
      <c r="H161" s="10">
        <v>192821</v>
      </c>
      <c r="I161" s="11">
        <v>385642</v>
      </c>
      <c r="J161" s="11">
        <f>VLOOKUP(B161,'Mar 26'!B:G,6,FALSE)</f>
        <v>192821</v>
      </c>
      <c r="K161" s="11">
        <v>0</v>
      </c>
      <c r="L161" s="11">
        <f t="shared" si="18"/>
        <v>0</v>
      </c>
      <c r="M161" s="41">
        <f t="shared" si="19"/>
        <v>0</v>
      </c>
    </row>
    <row r="162" spans="1:13" ht="16.5" thickTop="1" thickBot="1" x14ac:dyDescent="0.3">
      <c r="A162" s="5" t="s">
        <v>150</v>
      </c>
      <c r="B162" s="6">
        <v>87716</v>
      </c>
      <c r="C162" s="7" t="s">
        <v>31</v>
      </c>
      <c r="D162" s="39">
        <v>45960</v>
      </c>
      <c r="E162" s="39" t="s">
        <v>13</v>
      </c>
      <c r="F162" s="39" t="s">
        <v>13</v>
      </c>
      <c r="G162" s="9">
        <v>94522</v>
      </c>
      <c r="H162" s="10">
        <v>94521</v>
      </c>
      <c r="I162" s="11">
        <v>189043</v>
      </c>
      <c r="J162" s="11">
        <f>VLOOKUP(B162,'Mar 26'!B:G,6,FALSE)</f>
        <v>94522</v>
      </c>
      <c r="K162" s="11">
        <v>0</v>
      </c>
      <c r="L162" s="11">
        <f t="shared" si="18"/>
        <v>0</v>
      </c>
      <c r="M162" s="41">
        <f t="shared" si="19"/>
        <v>0</v>
      </c>
    </row>
    <row r="163" spans="1:13" ht="16.5" thickTop="1" thickBot="1" x14ac:dyDescent="0.3">
      <c r="A163" s="5" t="s">
        <v>377</v>
      </c>
      <c r="B163" s="6">
        <v>88750</v>
      </c>
      <c r="C163" s="7" t="s">
        <v>62</v>
      </c>
      <c r="D163" s="39">
        <v>46093</v>
      </c>
      <c r="E163" s="39" t="s">
        <v>13</v>
      </c>
      <c r="F163" s="39" t="s">
        <v>13</v>
      </c>
      <c r="G163" s="9">
        <v>44798</v>
      </c>
      <c r="H163" s="10">
        <v>48405</v>
      </c>
      <c r="I163" s="11">
        <v>93203</v>
      </c>
      <c r="J163" s="11">
        <f>VLOOKUP(B163,'Mar 26'!B:G,6,FALSE)</f>
        <v>44798</v>
      </c>
      <c r="K163" s="11">
        <v>0</v>
      </c>
      <c r="L163" s="11">
        <f t="shared" si="18"/>
        <v>0</v>
      </c>
      <c r="M163" s="41">
        <f t="shared" si="19"/>
        <v>0</v>
      </c>
    </row>
    <row r="164" spans="1:13" ht="16.5" thickTop="1" thickBot="1" x14ac:dyDescent="0.3">
      <c r="A164" s="5" t="s">
        <v>571</v>
      </c>
      <c r="B164" s="6">
        <v>89472</v>
      </c>
      <c r="C164" s="7" t="s">
        <v>572</v>
      </c>
      <c r="D164" s="39">
        <v>46111</v>
      </c>
      <c r="E164" s="39" t="s">
        <v>13</v>
      </c>
      <c r="F164" s="39" t="s">
        <v>13</v>
      </c>
      <c r="G164" s="9">
        <v>58315.5</v>
      </c>
      <c r="H164" s="10">
        <f>I164-G164</f>
        <v>58315.5</v>
      </c>
      <c r="I164" s="11">
        <v>116631</v>
      </c>
      <c r="J164" s="11">
        <f>VLOOKUP(B164,'Mar 26'!B:G,6,FALSE)</f>
        <v>58315.5</v>
      </c>
      <c r="K164" s="11">
        <v>0</v>
      </c>
      <c r="L164" s="11">
        <f t="shared" si="18"/>
        <v>0</v>
      </c>
      <c r="M164" s="41">
        <f t="shared" si="19"/>
        <v>0</v>
      </c>
    </row>
    <row r="165" spans="1:13" ht="16.5" thickTop="1" thickBot="1" x14ac:dyDescent="0.3">
      <c r="A165" s="5" t="s">
        <v>171</v>
      </c>
      <c r="B165" s="6">
        <v>87145</v>
      </c>
      <c r="C165" s="7" t="s">
        <v>23</v>
      </c>
      <c r="D165" s="39">
        <v>45982</v>
      </c>
      <c r="E165" s="39" t="s">
        <v>13</v>
      </c>
      <c r="F165" s="39" t="s">
        <v>13</v>
      </c>
      <c r="G165" s="9">
        <v>100990</v>
      </c>
      <c r="H165" s="10">
        <v>100990</v>
      </c>
      <c r="I165" s="11">
        <v>201980</v>
      </c>
      <c r="J165" s="11">
        <f>VLOOKUP(B165,'Mar 26'!B:G,6,FALSE)</f>
        <v>100990</v>
      </c>
      <c r="K165" s="11">
        <v>0</v>
      </c>
      <c r="L165" s="11">
        <f t="shared" si="18"/>
        <v>0</v>
      </c>
      <c r="M165" s="41">
        <f t="shared" si="19"/>
        <v>0</v>
      </c>
    </row>
    <row r="166" spans="1:13" ht="16.5" thickTop="1" thickBot="1" x14ac:dyDescent="0.3">
      <c r="A166" s="5" t="s">
        <v>376</v>
      </c>
      <c r="B166" s="6">
        <v>87907</v>
      </c>
      <c r="C166" s="7" t="s">
        <v>20</v>
      </c>
      <c r="D166" s="39">
        <v>46093</v>
      </c>
      <c r="E166" s="39" t="s">
        <v>13</v>
      </c>
      <c r="F166" s="39" t="s">
        <v>13</v>
      </c>
      <c r="G166" s="9">
        <v>10418</v>
      </c>
      <c r="H166" s="10">
        <v>10418</v>
      </c>
      <c r="I166" s="11">
        <v>20836</v>
      </c>
      <c r="J166" s="11">
        <f>VLOOKUP(B166,'Mar 26'!B:G,6,FALSE)</f>
        <v>10418</v>
      </c>
      <c r="K166" s="11">
        <v>0</v>
      </c>
      <c r="L166" s="11">
        <f t="shared" si="18"/>
        <v>0</v>
      </c>
      <c r="M166" s="41">
        <f t="shared" si="19"/>
        <v>0</v>
      </c>
    </row>
    <row r="167" spans="1:13" ht="16.5" thickTop="1" thickBot="1" x14ac:dyDescent="0.3">
      <c r="A167" s="5" t="s">
        <v>471</v>
      </c>
      <c r="B167" s="6">
        <v>87389</v>
      </c>
      <c r="C167" s="7" t="s">
        <v>11</v>
      </c>
      <c r="D167" s="39">
        <v>46094</v>
      </c>
      <c r="E167" s="39">
        <v>46101</v>
      </c>
      <c r="F167" s="39">
        <v>46142</v>
      </c>
      <c r="G167" s="45">
        <v>0</v>
      </c>
      <c r="H167" s="10"/>
      <c r="I167" s="11"/>
      <c r="J167" s="11">
        <f>VLOOKUP(B167,'Mar 26'!B:G,6,FALSE)</f>
        <v>15425</v>
      </c>
      <c r="K167" s="11">
        <f>J167-G167</f>
        <v>15425</v>
      </c>
      <c r="L167" s="11" t="s">
        <v>613</v>
      </c>
      <c r="M167" s="41">
        <f>-K167</f>
        <v>-15425</v>
      </c>
    </row>
    <row r="168" spans="1:13" ht="16.5" thickTop="1" thickBot="1" x14ac:dyDescent="0.3">
      <c r="A168" s="5" t="s">
        <v>124</v>
      </c>
      <c r="B168" s="6">
        <v>87412</v>
      </c>
      <c r="C168" s="7" t="s">
        <v>23</v>
      </c>
      <c r="D168" s="39">
        <v>45926</v>
      </c>
      <c r="E168" s="39">
        <v>46070</v>
      </c>
      <c r="F168" s="39" t="s">
        <v>577</v>
      </c>
      <c r="G168" s="9">
        <v>56417.91</v>
      </c>
      <c r="H168" s="10">
        <v>56668.09</v>
      </c>
      <c r="I168" s="11">
        <v>113086</v>
      </c>
      <c r="J168" s="11">
        <f>VLOOKUP(B168,'Mar 26'!B:G,6,FALSE)</f>
        <v>56417.91</v>
      </c>
      <c r="K168" s="11">
        <v>0</v>
      </c>
      <c r="L168" s="11">
        <f>G168-J168</f>
        <v>0</v>
      </c>
      <c r="M168" s="41">
        <f>L168-K168</f>
        <v>0</v>
      </c>
    </row>
    <row r="169" spans="1:13" ht="16.5" thickTop="1" thickBot="1" x14ac:dyDescent="0.3">
      <c r="A169" s="5" t="s">
        <v>357</v>
      </c>
      <c r="B169" s="6">
        <v>88948</v>
      </c>
      <c r="C169" s="7" t="s">
        <v>23</v>
      </c>
      <c r="D169" s="39">
        <v>46084</v>
      </c>
      <c r="E169" s="39" t="s">
        <v>13</v>
      </c>
      <c r="F169" s="39" t="s">
        <v>13</v>
      </c>
      <c r="G169" s="9">
        <v>55860.75</v>
      </c>
      <c r="H169" s="10">
        <v>56989.25</v>
      </c>
      <c r="I169" s="11">
        <v>112850</v>
      </c>
      <c r="J169" s="11">
        <f>VLOOKUP(B169,'Mar 26'!B:G,6,FALSE)</f>
        <v>55860.75</v>
      </c>
      <c r="K169" s="11">
        <v>0</v>
      </c>
      <c r="L169" s="11">
        <f>G169-J169</f>
        <v>0</v>
      </c>
      <c r="M169" s="41">
        <f>L169-K169</f>
        <v>0</v>
      </c>
    </row>
    <row r="170" spans="1:13" ht="16.5" thickTop="1" thickBot="1" x14ac:dyDescent="0.3">
      <c r="A170" s="5" t="s">
        <v>621</v>
      </c>
      <c r="B170" s="6">
        <v>90227</v>
      </c>
      <c r="C170" s="7" t="s">
        <v>23</v>
      </c>
      <c r="D170" s="39">
        <v>46139</v>
      </c>
      <c r="E170" s="39" t="s">
        <v>13</v>
      </c>
      <c r="F170" s="39" t="s">
        <v>13</v>
      </c>
      <c r="G170" s="9">
        <v>9372.7000000000007</v>
      </c>
      <c r="H170" s="10">
        <f>I170-G170</f>
        <v>9753.739999999998</v>
      </c>
      <c r="I170" s="11">
        <v>19126.439999999999</v>
      </c>
      <c r="J170" s="11"/>
      <c r="K170" s="11">
        <f>IF(G170=0,J170-G170,0)</f>
        <v>0</v>
      </c>
      <c r="L170" s="11">
        <f>G170-J170</f>
        <v>9372.7000000000007</v>
      </c>
      <c r="M170" s="41">
        <f>L170-K170</f>
        <v>9372.7000000000007</v>
      </c>
    </row>
    <row r="171" spans="1:13" ht="16.5" thickTop="1" thickBot="1" x14ac:dyDescent="0.3">
      <c r="A171" s="5" t="s">
        <v>365</v>
      </c>
      <c r="B171" s="6">
        <v>89075</v>
      </c>
      <c r="C171" s="7" t="s">
        <v>23</v>
      </c>
      <c r="D171" s="39">
        <v>46090</v>
      </c>
      <c r="E171" s="39">
        <v>46099</v>
      </c>
      <c r="F171" s="39">
        <v>46135</v>
      </c>
      <c r="G171" s="45">
        <v>0</v>
      </c>
      <c r="H171" s="10"/>
      <c r="I171" s="11"/>
      <c r="J171" s="11">
        <f>VLOOKUP(B171,'Mar 26'!B:G,6,FALSE)</f>
        <v>930.6</v>
      </c>
      <c r="K171" s="11">
        <f t="shared" ref="K171:K176" si="20">J171-G171</f>
        <v>930.6</v>
      </c>
      <c r="L171" s="11" t="s">
        <v>613</v>
      </c>
      <c r="M171" s="41">
        <f t="shared" ref="M171:M176" si="21">-K171</f>
        <v>-930.6</v>
      </c>
    </row>
    <row r="172" spans="1:13" ht="16.5" thickTop="1" thickBot="1" x14ac:dyDescent="0.3">
      <c r="A172" s="5" t="s">
        <v>469</v>
      </c>
      <c r="B172" s="6">
        <v>88440</v>
      </c>
      <c r="C172" s="7" t="s">
        <v>23</v>
      </c>
      <c r="D172" s="39">
        <v>46094</v>
      </c>
      <c r="E172" s="39" t="s">
        <v>13</v>
      </c>
      <c r="F172" s="39">
        <v>46135</v>
      </c>
      <c r="G172" s="45">
        <v>0</v>
      </c>
      <c r="H172" s="10"/>
      <c r="I172" s="11"/>
      <c r="J172" s="11">
        <f>VLOOKUP(B172,'Mar 26'!B:G,6,FALSE)</f>
        <v>1207</v>
      </c>
      <c r="K172" s="11">
        <f t="shared" si="20"/>
        <v>1207</v>
      </c>
      <c r="L172" s="11" t="s">
        <v>613</v>
      </c>
      <c r="M172" s="41">
        <f t="shared" si="21"/>
        <v>-1207</v>
      </c>
    </row>
    <row r="173" spans="1:13" ht="16.5" thickTop="1" thickBot="1" x14ac:dyDescent="0.3">
      <c r="A173" s="5" t="s">
        <v>202</v>
      </c>
      <c r="B173" s="6">
        <v>87088</v>
      </c>
      <c r="C173" s="7" t="s">
        <v>23</v>
      </c>
      <c r="D173" s="39" t="s">
        <v>209</v>
      </c>
      <c r="E173" s="39">
        <v>46094</v>
      </c>
      <c r="F173" s="39">
        <v>46119</v>
      </c>
      <c r="G173" s="45">
        <v>0</v>
      </c>
      <c r="H173" s="10"/>
      <c r="I173" s="11"/>
      <c r="J173" s="11">
        <f>VLOOKUP(B173,'Mar 26'!B:G,6,FALSE)</f>
        <v>1253.3399999999999</v>
      </c>
      <c r="K173" s="11">
        <f t="shared" si="20"/>
        <v>1253.3399999999999</v>
      </c>
      <c r="L173" s="11" t="s">
        <v>613</v>
      </c>
      <c r="M173" s="41">
        <f t="shared" si="21"/>
        <v>-1253.3399999999999</v>
      </c>
    </row>
    <row r="174" spans="1:13" ht="16.5" thickTop="1" thickBot="1" x14ac:dyDescent="0.3">
      <c r="A174" s="5" t="s">
        <v>264</v>
      </c>
      <c r="B174" s="6">
        <v>87390</v>
      </c>
      <c r="C174" s="7" t="s">
        <v>23</v>
      </c>
      <c r="D174" s="39">
        <v>46051</v>
      </c>
      <c r="E174" s="39">
        <v>46077</v>
      </c>
      <c r="F174" s="39">
        <v>46122</v>
      </c>
      <c r="G174" s="45">
        <v>0</v>
      </c>
      <c r="H174" s="10"/>
      <c r="I174" s="11"/>
      <c r="J174" s="11">
        <f>VLOOKUP(B174,'Mar 26'!B:G,6,FALSE)</f>
        <v>12751.2</v>
      </c>
      <c r="K174" s="11">
        <f t="shared" si="20"/>
        <v>12751.2</v>
      </c>
      <c r="L174" s="11" t="s">
        <v>613</v>
      </c>
      <c r="M174" s="41">
        <f t="shared" si="21"/>
        <v>-12751.2</v>
      </c>
    </row>
    <row r="175" spans="1:13" ht="16.5" thickTop="1" thickBot="1" x14ac:dyDescent="0.3">
      <c r="A175" s="5" t="s">
        <v>326</v>
      </c>
      <c r="B175" s="6">
        <v>89398</v>
      </c>
      <c r="C175" s="7" t="s">
        <v>23</v>
      </c>
      <c r="D175" s="39">
        <v>46073</v>
      </c>
      <c r="E175" s="39">
        <v>46097</v>
      </c>
      <c r="F175" s="39">
        <v>46122</v>
      </c>
      <c r="G175" s="45">
        <v>0</v>
      </c>
      <c r="H175" s="10"/>
      <c r="I175" s="11"/>
      <c r="J175" s="11">
        <f>VLOOKUP(B175,'Mar 26'!B:G,6,FALSE)</f>
        <v>8052.66</v>
      </c>
      <c r="K175" s="11">
        <f t="shared" si="20"/>
        <v>8052.66</v>
      </c>
      <c r="L175" s="11" t="s">
        <v>613</v>
      </c>
      <c r="M175" s="41">
        <f t="shared" si="21"/>
        <v>-8052.66</v>
      </c>
    </row>
    <row r="176" spans="1:13" ht="16.5" thickTop="1" thickBot="1" x14ac:dyDescent="0.3">
      <c r="A176" s="5" t="s">
        <v>160</v>
      </c>
      <c r="B176" s="6">
        <v>88001</v>
      </c>
      <c r="C176" s="7" t="s">
        <v>23</v>
      </c>
      <c r="D176" s="39">
        <v>45966</v>
      </c>
      <c r="E176" s="39">
        <v>46070</v>
      </c>
      <c r="F176" s="39">
        <v>46135</v>
      </c>
      <c r="G176" s="45">
        <v>0</v>
      </c>
      <c r="H176" s="10"/>
      <c r="I176" s="11"/>
      <c r="J176" s="11">
        <f>VLOOKUP(B176,'Mar 26'!B:G,6,FALSE)</f>
        <v>7602.2099999999991</v>
      </c>
      <c r="K176" s="11">
        <f t="shared" si="20"/>
        <v>7602.2099999999991</v>
      </c>
      <c r="L176" s="11" t="s">
        <v>613</v>
      </c>
      <c r="M176" s="41">
        <f t="shared" si="21"/>
        <v>-7602.2099999999991</v>
      </c>
    </row>
    <row r="177" spans="1:13" ht="16.5" thickTop="1" thickBot="1" x14ac:dyDescent="0.3">
      <c r="A177" s="5" t="s">
        <v>498</v>
      </c>
      <c r="B177" s="6">
        <v>89372</v>
      </c>
      <c r="C177" s="7" t="s">
        <v>57</v>
      </c>
      <c r="D177" s="39">
        <v>46099</v>
      </c>
      <c r="E177" s="39" t="s">
        <v>13</v>
      </c>
      <c r="F177" s="39" t="s">
        <v>13</v>
      </c>
      <c r="G177" s="9">
        <v>14007</v>
      </c>
      <c r="H177" s="10">
        <v>14007</v>
      </c>
      <c r="I177" s="11">
        <v>28014</v>
      </c>
      <c r="J177" s="11">
        <f>VLOOKUP(B177,'Mar 26'!B:G,6,FALSE)</f>
        <v>14007</v>
      </c>
      <c r="K177" s="11">
        <v>0</v>
      </c>
      <c r="L177" s="11">
        <f t="shared" ref="L177:L183" si="22">G177-J177</f>
        <v>0</v>
      </c>
      <c r="M177" s="41">
        <f t="shared" ref="M177:M183" si="23">L177-K177</f>
        <v>0</v>
      </c>
    </row>
    <row r="178" spans="1:13" ht="16.5" thickTop="1" thickBot="1" x14ac:dyDescent="0.3">
      <c r="A178" s="5" t="s">
        <v>607</v>
      </c>
      <c r="B178" s="6">
        <v>89641</v>
      </c>
      <c r="C178" s="7" t="s">
        <v>57</v>
      </c>
      <c r="D178" s="39">
        <v>46113</v>
      </c>
      <c r="E178" s="39" t="s">
        <v>13</v>
      </c>
      <c r="F178" s="39" t="s">
        <v>13</v>
      </c>
      <c r="G178" s="9">
        <v>15548</v>
      </c>
      <c r="H178" s="10">
        <f>I178-G178</f>
        <v>15547</v>
      </c>
      <c r="I178" s="11">
        <v>31095</v>
      </c>
      <c r="J178" s="11">
        <v>0</v>
      </c>
      <c r="K178" s="11">
        <v>0</v>
      </c>
      <c r="L178" s="11">
        <f t="shared" si="22"/>
        <v>15548</v>
      </c>
      <c r="M178" s="41">
        <f t="shared" si="23"/>
        <v>15548</v>
      </c>
    </row>
    <row r="179" spans="1:13" ht="16.5" thickTop="1" thickBot="1" x14ac:dyDescent="0.3">
      <c r="A179" s="5" t="s">
        <v>331</v>
      </c>
      <c r="B179" s="6">
        <v>89367</v>
      </c>
      <c r="C179" s="7" t="s">
        <v>57</v>
      </c>
      <c r="D179" s="39">
        <v>46076</v>
      </c>
      <c r="E179" s="39" t="s">
        <v>13</v>
      </c>
      <c r="F179" s="39" t="s">
        <v>13</v>
      </c>
      <c r="G179" s="9">
        <v>105339.96</v>
      </c>
      <c r="H179" s="10">
        <v>107468.04</v>
      </c>
      <c r="I179" s="11">
        <v>212808</v>
      </c>
      <c r="J179" s="11">
        <f>VLOOKUP(B179,'Mar 26'!B:G,6,FALSE)</f>
        <v>105339.96</v>
      </c>
      <c r="K179" s="11">
        <v>0</v>
      </c>
      <c r="L179" s="11">
        <f t="shared" si="22"/>
        <v>0</v>
      </c>
      <c r="M179" s="41">
        <f t="shared" si="23"/>
        <v>0</v>
      </c>
    </row>
    <row r="180" spans="1:13" ht="16.5" thickTop="1" thickBot="1" x14ac:dyDescent="0.3">
      <c r="A180" s="5" t="s">
        <v>366</v>
      </c>
      <c r="B180" s="6">
        <v>89414</v>
      </c>
      <c r="C180" s="7" t="s">
        <v>57</v>
      </c>
      <c r="D180" s="39">
        <v>46090</v>
      </c>
      <c r="E180" s="39" t="s">
        <v>13</v>
      </c>
      <c r="F180" s="39" t="s">
        <v>13</v>
      </c>
      <c r="G180" s="9">
        <v>7799.22</v>
      </c>
      <c r="H180" s="10">
        <v>7956.78</v>
      </c>
      <c r="I180" s="11">
        <v>15756</v>
      </c>
      <c r="J180" s="11">
        <f>VLOOKUP(B180,'Mar 26'!B:G,6,FALSE)</f>
        <v>7799.22</v>
      </c>
      <c r="K180" s="11">
        <v>0</v>
      </c>
      <c r="L180" s="11">
        <f t="shared" si="22"/>
        <v>0</v>
      </c>
      <c r="M180" s="41">
        <f t="shared" si="23"/>
        <v>0</v>
      </c>
    </row>
    <row r="181" spans="1:13" ht="16.5" thickTop="1" thickBot="1" x14ac:dyDescent="0.3">
      <c r="A181" s="5" t="s">
        <v>109</v>
      </c>
      <c r="B181" s="6">
        <v>86334</v>
      </c>
      <c r="C181" s="7" t="s">
        <v>23</v>
      </c>
      <c r="D181" s="39">
        <v>45890</v>
      </c>
      <c r="E181" s="39" t="s">
        <v>13</v>
      </c>
      <c r="F181" s="39" t="s">
        <v>13</v>
      </c>
      <c r="G181" s="9">
        <v>5093.55</v>
      </c>
      <c r="H181" s="10">
        <v>5195.45</v>
      </c>
      <c r="I181" s="11">
        <v>10289</v>
      </c>
      <c r="J181" s="11">
        <f>VLOOKUP(B181,'Mar 26'!B:G,6,FALSE)</f>
        <v>5093.55</v>
      </c>
      <c r="K181" s="11">
        <v>0</v>
      </c>
      <c r="L181" s="11">
        <f t="shared" si="22"/>
        <v>0</v>
      </c>
      <c r="M181" s="41">
        <f t="shared" si="23"/>
        <v>0</v>
      </c>
    </row>
    <row r="182" spans="1:13" ht="16.5" thickTop="1" thickBot="1" x14ac:dyDescent="0.3">
      <c r="A182" s="5" t="s">
        <v>474</v>
      </c>
      <c r="B182" s="6">
        <v>89609</v>
      </c>
      <c r="C182" s="7" t="s">
        <v>20</v>
      </c>
      <c r="D182" s="39">
        <v>46094</v>
      </c>
      <c r="E182" s="39" t="s">
        <v>13</v>
      </c>
      <c r="F182" s="39" t="s">
        <v>13</v>
      </c>
      <c r="G182" s="9">
        <v>6258.05</v>
      </c>
      <c r="H182" s="10">
        <v>6258.04</v>
      </c>
      <c r="I182" s="11">
        <v>12516.09</v>
      </c>
      <c r="J182" s="11">
        <f>VLOOKUP(B182,'Mar 26'!B:G,6,FALSE)</f>
        <v>6258.05</v>
      </c>
      <c r="K182" s="11">
        <v>0</v>
      </c>
      <c r="L182" s="11">
        <f t="shared" si="22"/>
        <v>0</v>
      </c>
      <c r="M182" s="41">
        <f t="shared" si="23"/>
        <v>0</v>
      </c>
    </row>
    <row r="183" spans="1:13" ht="16.5" thickTop="1" thickBot="1" x14ac:dyDescent="0.3">
      <c r="A183" s="5" t="s">
        <v>341</v>
      </c>
      <c r="B183" s="6">
        <v>87599</v>
      </c>
      <c r="C183" s="7" t="s">
        <v>27</v>
      </c>
      <c r="D183" s="39">
        <v>46080</v>
      </c>
      <c r="E183" s="39" t="s">
        <v>13</v>
      </c>
      <c r="F183" s="39" t="s">
        <v>13</v>
      </c>
      <c r="G183" s="9">
        <v>51424.45</v>
      </c>
      <c r="H183" s="10">
        <v>73834.55</v>
      </c>
      <c r="I183" s="11">
        <v>125259</v>
      </c>
      <c r="J183" s="11">
        <f>VLOOKUP(B183,'Mar 26'!B:G,6,FALSE)</f>
        <v>51424.45</v>
      </c>
      <c r="K183" s="11">
        <v>0</v>
      </c>
      <c r="L183" s="11">
        <f t="shared" si="22"/>
        <v>0</v>
      </c>
      <c r="M183" s="41">
        <f t="shared" si="23"/>
        <v>0</v>
      </c>
    </row>
    <row r="184" spans="1:13" ht="16.5" thickTop="1" thickBot="1" x14ac:dyDescent="0.3">
      <c r="A184" s="5" t="s">
        <v>191</v>
      </c>
      <c r="B184" s="6">
        <v>87232</v>
      </c>
      <c r="C184" s="7" t="s">
        <v>11</v>
      </c>
      <c r="D184" s="39">
        <v>45996</v>
      </c>
      <c r="E184" s="39">
        <v>46048</v>
      </c>
      <c r="F184" s="39">
        <v>46125</v>
      </c>
      <c r="G184" s="45">
        <v>0</v>
      </c>
      <c r="H184" s="10"/>
      <c r="I184" s="11"/>
      <c r="J184" s="11">
        <f>VLOOKUP(B184,'Mar 26'!B:G,6,FALSE)</f>
        <v>29640.5</v>
      </c>
      <c r="K184" s="11">
        <f>J184-G184</f>
        <v>29640.5</v>
      </c>
      <c r="L184" s="11" t="s">
        <v>613</v>
      </c>
      <c r="M184" s="41">
        <f>-K184</f>
        <v>-29640.5</v>
      </c>
    </row>
    <row r="185" spans="1:13" ht="16.5" thickTop="1" thickBot="1" x14ac:dyDescent="0.3">
      <c r="A185" s="5" t="s">
        <v>110</v>
      </c>
      <c r="B185" s="6">
        <v>84075</v>
      </c>
      <c r="C185" s="7" t="s">
        <v>14</v>
      </c>
      <c r="D185" s="39">
        <v>45894</v>
      </c>
      <c r="E185" s="39" t="s">
        <v>13</v>
      </c>
      <c r="F185" s="39" t="s">
        <v>13</v>
      </c>
      <c r="G185" s="9">
        <v>13567</v>
      </c>
      <c r="H185" s="10">
        <v>13566</v>
      </c>
      <c r="I185" s="11">
        <v>27133</v>
      </c>
      <c r="J185" s="11">
        <f>VLOOKUP(B185,'Mar 26'!B:G,6,FALSE)</f>
        <v>13567</v>
      </c>
      <c r="K185" s="11">
        <v>0</v>
      </c>
      <c r="L185" s="11">
        <f t="shared" ref="L185:L192" si="24">G185-J185</f>
        <v>0</v>
      </c>
      <c r="M185" s="41">
        <f t="shared" ref="M185:M191" si="25">L185-K185</f>
        <v>0</v>
      </c>
    </row>
    <row r="186" spans="1:13" ht="16.5" thickTop="1" thickBot="1" x14ac:dyDescent="0.3">
      <c r="A186" s="5" t="s">
        <v>97</v>
      </c>
      <c r="B186" s="6">
        <v>84726</v>
      </c>
      <c r="C186" s="7" t="s">
        <v>14</v>
      </c>
      <c r="D186" s="39">
        <v>45845</v>
      </c>
      <c r="E186" s="39" t="s">
        <v>13</v>
      </c>
      <c r="F186" s="39" t="s">
        <v>13</v>
      </c>
      <c r="G186" s="9">
        <v>231351</v>
      </c>
      <c r="H186" s="10">
        <v>231350</v>
      </c>
      <c r="I186" s="11">
        <v>462701</v>
      </c>
      <c r="J186" s="11">
        <f>VLOOKUP(B186,'Mar 26'!B:G,6,FALSE)</f>
        <v>231351</v>
      </c>
      <c r="K186" s="11">
        <v>0</v>
      </c>
      <c r="L186" s="11">
        <f t="shared" si="24"/>
        <v>0</v>
      </c>
      <c r="M186" s="41">
        <f t="shared" si="25"/>
        <v>0</v>
      </c>
    </row>
    <row r="187" spans="1:13" ht="16.5" thickTop="1" thickBot="1" x14ac:dyDescent="0.3">
      <c r="A187" s="5" t="s">
        <v>96</v>
      </c>
      <c r="B187" s="6">
        <v>84719</v>
      </c>
      <c r="C187" s="7" t="s">
        <v>14</v>
      </c>
      <c r="D187" s="39">
        <v>45845</v>
      </c>
      <c r="E187" s="39" t="s">
        <v>13</v>
      </c>
      <c r="F187" s="39" t="s">
        <v>13</v>
      </c>
      <c r="G187" s="9">
        <v>416603</v>
      </c>
      <c r="H187" s="10">
        <v>416602</v>
      </c>
      <c r="I187" s="11">
        <v>833205</v>
      </c>
      <c r="J187" s="11">
        <f>VLOOKUP(B187,'Mar 26'!B:G,6,FALSE)</f>
        <v>416603</v>
      </c>
      <c r="K187" s="11">
        <v>0</v>
      </c>
      <c r="L187" s="11">
        <f t="shared" si="24"/>
        <v>0</v>
      </c>
      <c r="M187" s="41">
        <f t="shared" si="25"/>
        <v>0</v>
      </c>
    </row>
    <row r="188" spans="1:13" ht="16.5" thickTop="1" thickBot="1" x14ac:dyDescent="0.3">
      <c r="A188" s="5" t="s">
        <v>261</v>
      </c>
      <c r="B188" s="6">
        <v>88206</v>
      </c>
      <c r="C188" s="7" t="s">
        <v>14</v>
      </c>
      <c r="D188" s="39">
        <v>46050</v>
      </c>
      <c r="E188" s="39" t="s">
        <v>13</v>
      </c>
      <c r="F188" s="39" t="s">
        <v>13</v>
      </c>
      <c r="G188" s="9">
        <v>42008</v>
      </c>
      <c r="H188" s="10">
        <v>42008</v>
      </c>
      <c r="I188" s="11">
        <v>84016</v>
      </c>
      <c r="J188" s="11">
        <f>VLOOKUP(B188,'Mar 26'!B:G,6,FALSE)</f>
        <v>42008</v>
      </c>
      <c r="K188" s="11">
        <v>0</v>
      </c>
      <c r="L188" s="11">
        <f t="shared" si="24"/>
        <v>0</v>
      </c>
      <c r="M188" s="41">
        <f t="shared" si="25"/>
        <v>0</v>
      </c>
    </row>
    <row r="189" spans="1:13" ht="16.5" thickTop="1" thickBot="1" x14ac:dyDescent="0.3">
      <c r="A189" s="12" t="s">
        <v>608</v>
      </c>
      <c r="B189" s="13">
        <v>89471</v>
      </c>
      <c r="C189" s="14" t="s">
        <v>32</v>
      </c>
      <c r="D189" s="40">
        <v>46118</v>
      </c>
      <c r="E189" s="40" t="s">
        <v>13</v>
      </c>
      <c r="F189" s="40" t="s">
        <v>13</v>
      </c>
      <c r="G189" s="16">
        <v>22066</v>
      </c>
      <c r="H189" s="17">
        <f>I189-G189</f>
        <v>0</v>
      </c>
      <c r="I189" s="18">
        <v>22066</v>
      </c>
      <c r="J189" s="18">
        <v>0</v>
      </c>
      <c r="K189" s="18">
        <v>0</v>
      </c>
      <c r="L189" s="18">
        <f t="shared" si="24"/>
        <v>22066</v>
      </c>
      <c r="M189" s="41">
        <f t="shared" si="25"/>
        <v>22066</v>
      </c>
    </row>
    <row r="190" spans="1:13" ht="16.5" thickTop="1" thickBot="1" x14ac:dyDescent="0.3">
      <c r="A190" s="12" t="s">
        <v>603</v>
      </c>
      <c r="B190" s="13">
        <v>89987</v>
      </c>
      <c r="C190" s="14" t="s">
        <v>32</v>
      </c>
      <c r="D190" s="40">
        <v>46115</v>
      </c>
      <c r="E190" s="40" t="s">
        <v>13</v>
      </c>
      <c r="F190" s="40" t="s">
        <v>13</v>
      </c>
      <c r="G190" s="16">
        <v>10075.18</v>
      </c>
      <c r="H190" s="17">
        <f>I190-G190</f>
        <v>0</v>
      </c>
      <c r="I190" s="18">
        <v>10075.18</v>
      </c>
      <c r="J190" s="18">
        <v>0</v>
      </c>
      <c r="K190" s="18">
        <v>0</v>
      </c>
      <c r="L190" s="18">
        <f t="shared" si="24"/>
        <v>10075.18</v>
      </c>
      <c r="M190" s="41">
        <f t="shared" si="25"/>
        <v>10075.18</v>
      </c>
    </row>
    <row r="191" spans="1:13" ht="16.5" thickTop="1" thickBot="1" x14ac:dyDescent="0.3">
      <c r="A191" s="5" t="s">
        <v>277</v>
      </c>
      <c r="B191" s="6">
        <v>89065</v>
      </c>
      <c r="C191" s="7" t="s">
        <v>32</v>
      </c>
      <c r="D191" s="39">
        <v>46062</v>
      </c>
      <c r="E191" s="39">
        <v>46098</v>
      </c>
      <c r="F191" s="39" t="s">
        <v>351</v>
      </c>
      <c r="G191" s="19">
        <v>33289</v>
      </c>
      <c r="H191" s="56">
        <v>0</v>
      </c>
      <c r="I191" s="11">
        <v>33289</v>
      </c>
      <c r="J191" s="11">
        <f>VLOOKUP(B191,'Mar 26'!B:G,6,FALSE)</f>
        <v>33289</v>
      </c>
      <c r="K191" s="11">
        <v>0</v>
      </c>
      <c r="L191" s="11">
        <f t="shared" si="24"/>
        <v>0</v>
      </c>
      <c r="M191" s="41">
        <f t="shared" si="25"/>
        <v>0</v>
      </c>
    </row>
    <row r="192" spans="1:13" ht="16.5" thickTop="1" thickBot="1" x14ac:dyDescent="0.3">
      <c r="A192" s="5" t="s">
        <v>240</v>
      </c>
      <c r="B192" s="6">
        <v>86373</v>
      </c>
      <c r="C192" s="7" t="s">
        <v>39</v>
      </c>
      <c r="D192" s="39">
        <v>46045</v>
      </c>
      <c r="E192" s="39" t="s">
        <v>13</v>
      </c>
      <c r="F192" s="39" t="s">
        <v>13</v>
      </c>
      <c r="G192" s="55">
        <v>24250</v>
      </c>
      <c r="H192" s="10">
        <v>0</v>
      </c>
      <c r="I192" s="11">
        <v>24250</v>
      </c>
      <c r="J192" s="11">
        <f>VLOOKUP(B192,'Mar 26'!B:G,6,FALSE)</f>
        <v>24250</v>
      </c>
      <c r="K192" s="11">
        <f>J192-G192</f>
        <v>0</v>
      </c>
      <c r="L192" s="11">
        <f t="shared" si="24"/>
        <v>0</v>
      </c>
      <c r="M192" s="41">
        <f>-K192</f>
        <v>0</v>
      </c>
    </row>
    <row r="193" spans="1:13" ht="16.5" thickTop="1" thickBot="1" x14ac:dyDescent="0.3">
      <c r="A193" s="5" t="s">
        <v>285</v>
      </c>
      <c r="B193" s="6">
        <v>85509</v>
      </c>
      <c r="C193" s="7" t="s">
        <v>67</v>
      </c>
      <c r="D193" s="39">
        <v>46063</v>
      </c>
      <c r="E193" s="39">
        <v>46099</v>
      </c>
      <c r="F193" s="39">
        <v>46142</v>
      </c>
      <c r="G193" s="45">
        <v>0</v>
      </c>
      <c r="H193" s="10"/>
      <c r="I193" s="11"/>
      <c r="J193" s="11">
        <f>VLOOKUP(B193,'Mar 26'!B:G,6,FALSE)</f>
        <v>8442</v>
      </c>
      <c r="K193" s="11">
        <f>J193-G193</f>
        <v>8442</v>
      </c>
      <c r="L193" s="11" t="s">
        <v>613</v>
      </c>
      <c r="M193" s="41">
        <f>-K193</f>
        <v>-8442</v>
      </c>
    </row>
    <row r="194" spans="1:13" ht="16.5" thickTop="1" thickBot="1" x14ac:dyDescent="0.3">
      <c r="A194" s="5" t="s">
        <v>513</v>
      </c>
      <c r="B194" s="6">
        <v>86157</v>
      </c>
      <c r="C194" s="7" t="s">
        <v>23</v>
      </c>
      <c r="D194" s="39">
        <v>46101</v>
      </c>
      <c r="E194" s="39" t="s">
        <v>13</v>
      </c>
      <c r="F194" s="39" t="s">
        <v>13</v>
      </c>
      <c r="G194" s="9">
        <v>255026</v>
      </c>
      <c r="H194" s="10">
        <v>255025</v>
      </c>
      <c r="I194" s="11">
        <v>510051</v>
      </c>
      <c r="J194" s="11">
        <f>VLOOKUP(B194,'Mar 26'!B:G,6,FALSE)</f>
        <v>255026</v>
      </c>
      <c r="K194" s="11">
        <v>0</v>
      </c>
      <c r="L194" s="11">
        <f t="shared" ref="L194:L206" si="26">G194-J194</f>
        <v>0</v>
      </c>
      <c r="M194" s="41">
        <f t="shared" ref="M194:M206" si="27">L194-K194</f>
        <v>0</v>
      </c>
    </row>
    <row r="195" spans="1:13" ht="16.5" thickTop="1" thickBot="1" x14ac:dyDescent="0.3">
      <c r="A195" s="5" t="s">
        <v>233</v>
      </c>
      <c r="B195" s="6">
        <v>86089</v>
      </c>
      <c r="C195" s="7" t="s">
        <v>23</v>
      </c>
      <c r="D195" s="39">
        <v>46038</v>
      </c>
      <c r="E195" s="39" t="s">
        <v>13</v>
      </c>
      <c r="F195" s="39" t="s">
        <v>13</v>
      </c>
      <c r="G195" s="9">
        <v>416889.25</v>
      </c>
      <c r="H195" s="10">
        <v>412013.75</v>
      </c>
      <c r="I195" s="11">
        <v>828903</v>
      </c>
      <c r="J195" s="11">
        <f>VLOOKUP(B195,'Mar 26'!B:G,6,FALSE)</f>
        <v>416889.25</v>
      </c>
      <c r="K195" s="11">
        <v>0</v>
      </c>
      <c r="L195" s="11">
        <f t="shared" si="26"/>
        <v>0</v>
      </c>
      <c r="M195" s="41">
        <f t="shared" si="27"/>
        <v>0</v>
      </c>
    </row>
    <row r="196" spans="1:13" ht="16.5" thickTop="1" thickBot="1" x14ac:dyDescent="0.3">
      <c r="A196" s="5" t="s">
        <v>289</v>
      </c>
      <c r="B196" s="6">
        <v>87805</v>
      </c>
      <c r="C196" s="7" t="s">
        <v>33</v>
      </c>
      <c r="D196" s="39">
        <v>46065</v>
      </c>
      <c r="E196" s="39" t="s">
        <v>13</v>
      </c>
      <c r="F196" s="39" t="s">
        <v>13</v>
      </c>
      <c r="G196" s="9">
        <v>3646</v>
      </c>
      <c r="H196" s="10">
        <v>13048</v>
      </c>
      <c r="I196" s="11">
        <v>16694</v>
      </c>
      <c r="J196" s="11">
        <f>VLOOKUP(B196,'Mar 26'!B:G,6,FALSE)</f>
        <v>3646</v>
      </c>
      <c r="K196" s="11">
        <v>0</v>
      </c>
      <c r="L196" s="11">
        <f t="shared" si="26"/>
        <v>0</v>
      </c>
      <c r="M196" s="41">
        <f t="shared" si="27"/>
        <v>0</v>
      </c>
    </row>
    <row r="197" spans="1:13" ht="16.5" thickTop="1" thickBot="1" x14ac:dyDescent="0.3">
      <c r="A197" s="5" t="s">
        <v>379</v>
      </c>
      <c r="B197" s="6">
        <v>89201</v>
      </c>
      <c r="C197" s="7" t="s">
        <v>57</v>
      </c>
      <c r="D197" s="39">
        <v>46093</v>
      </c>
      <c r="E197" s="39" t="s">
        <v>13</v>
      </c>
      <c r="F197" s="39" t="s">
        <v>13</v>
      </c>
      <c r="G197" s="9">
        <v>29243</v>
      </c>
      <c r="H197" s="10">
        <v>41380</v>
      </c>
      <c r="I197" s="11">
        <v>70623</v>
      </c>
      <c r="J197" s="11">
        <f>VLOOKUP(B197,'Mar 26'!B:G,6,FALSE)</f>
        <v>29243</v>
      </c>
      <c r="K197" s="11">
        <v>0</v>
      </c>
      <c r="L197" s="11">
        <f t="shared" si="26"/>
        <v>0</v>
      </c>
      <c r="M197" s="41">
        <f t="shared" si="27"/>
        <v>0</v>
      </c>
    </row>
    <row r="198" spans="1:13" ht="16.5" thickTop="1" thickBot="1" x14ac:dyDescent="0.3">
      <c r="A198" s="5" t="s">
        <v>279</v>
      </c>
      <c r="B198" s="6">
        <v>88322</v>
      </c>
      <c r="C198" s="7" t="s">
        <v>32</v>
      </c>
      <c r="D198" s="39">
        <v>46062</v>
      </c>
      <c r="E198" s="39" t="s">
        <v>13</v>
      </c>
      <c r="F198" s="39" t="s">
        <v>13</v>
      </c>
      <c r="G198" s="9">
        <v>11708</v>
      </c>
      <c r="H198" s="10">
        <v>11707</v>
      </c>
      <c r="I198" s="11">
        <v>23415</v>
      </c>
      <c r="J198" s="11">
        <f>VLOOKUP(B198,'Mar 26'!B:G,6,FALSE)</f>
        <v>11708</v>
      </c>
      <c r="K198" s="11">
        <v>0</v>
      </c>
      <c r="L198" s="11">
        <f t="shared" si="26"/>
        <v>0</v>
      </c>
      <c r="M198" s="41">
        <f t="shared" si="27"/>
        <v>0</v>
      </c>
    </row>
    <row r="199" spans="1:13" ht="16.5" thickTop="1" thickBot="1" x14ac:dyDescent="0.3">
      <c r="A199" s="5" t="s">
        <v>236</v>
      </c>
      <c r="B199" s="6">
        <v>88403</v>
      </c>
      <c r="C199" s="7" t="s">
        <v>255</v>
      </c>
      <c r="D199" s="39">
        <v>46042</v>
      </c>
      <c r="E199" s="39">
        <v>46066</v>
      </c>
      <c r="F199" s="39" t="s">
        <v>350</v>
      </c>
      <c r="G199" s="9">
        <v>8650</v>
      </c>
      <c r="H199" s="10">
        <v>8650</v>
      </c>
      <c r="I199" s="11">
        <v>17300</v>
      </c>
      <c r="J199" s="11">
        <f>VLOOKUP(B199,'Mar 26'!B:G,6,FALSE)</f>
        <v>8650</v>
      </c>
      <c r="K199" s="11">
        <v>0</v>
      </c>
      <c r="L199" s="11">
        <f t="shared" si="26"/>
        <v>0</v>
      </c>
      <c r="M199" s="41">
        <f t="shared" si="27"/>
        <v>0</v>
      </c>
    </row>
    <row r="200" spans="1:13" ht="16.5" thickTop="1" thickBot="1" x14ac:dyDescent="0.3">
      <c r="A200" s="5" t="s">
        <v>94</v>
      </c>
      <c r="B200" s="6">
        <v>85860</v>
      </c>
      <c r="C200" s="7" t="s">
        <v>38</v>
      </c>
      <c r="D200" s="39">
        <v>45826</v>
      </c>
      <c r="E200" s="39" t="s">
        <v>13</v>
      </c>
      <c r="F200" s="39" t="s">
        <v>13</v>
      </c>
      <c r="G200" s="9">
        <v>68221</v>
      </c>
      <c r="H200" s="10">
        <v>75946</v>
      </c>
      <c r="I200" s="11">
        <v>144167</v>
      </c>
      <c r="J200" s="11">
        <f>VLOOKUP(B200,'Mar 26'!B:G,6,FALSE)</f>
        <v>68221</v>
      </c>
      <c r="K200" s="11">
        <v>0</v>
      </c>
      <c r="L200" s="11">
        <f t="shared" si="26"/>
        <v>0</v>
      </c>
      <c r="M200" s="41">
        <f t="shared" si="27"/>
        <v>0</v>
      </c>
    </row>
    <row r="201" spans="1:13" ht="16.5" thickTop="1" thickBot="1" x14ac:dyDescent="0.3">
      <c r="A201" s="5" t="s">
        <v>604</v>
      </c>
      <c r="B201" s="6">
        <v>88832</v>
      </c>
      <c r="C201" s="7" t="s">
        <v>40</v>
      </c>
      <c r="D201" s="39">
        <v>46126</v>
      </c>
      <c r="E201" s="39" t="s">
        <v>13</v>
      </c>
      <c r="F201" s="39" t="s">
        <v>13</v>
      </c>
      <c r="G201" s="9">
        <v>5556</v>
      </c>
      <c r="H201" s="10">
        <f>I201-G201</f>
        <v>5556</v>
      </c>
      <c r="I201" s="11">
        <v>11112</v>
      </c>
      <c r="J201" s="11">
        <v>0</v>
      </c>
      <c r="K201" s="11">
        <f>IF(G201=0,J201-G201,0)</f>
        <v>0</v>
      </c>
      <c r="L201" s="11">
        <f t="shared" si="26"/>
        <v>5556</v>
      </c>
      <c r="M201" s="41">
        <f t="shared" si="27"/>
        <v>5556</v>
      </c>
    </row>
    <row r="202" spans="1:13" ht="16.5" thickTop="1" thickBot="1" x14ac:dyDescent="0.3">
      <c r="A202" s="5" t="s">
        <v>276</v>
      </c>
      <c r="B202" s="6">
        <v>88397</v>
      </c>
      <c r="C202" s="7" t="s">
        <v>19</v>
      </c>
      <c r="D202" s="39">
        <v>46062</v>
      </c>
      <c r="E202" s="39" t="s">
        <v>13</v>
      </c>
      <c r="F202" s="39" t="s">
        <v>13</v>
      </c>
      <c r="G202" s="9">
        <v>59154.25</v>
      </c>
      <c r="H202" s="10">
        <v>181512.75</v>
      </c>
      <c r="I202" s="11">
        <v>240667</v>
      </c>
      <c r="J202" s="11">
        <f>VLOOKUP(B202,'Mar 26'!B:G,6,FALSE)</f>
        <v>59154.25</v>
      </c>
      <c r="K202" s="11">
        <v>0</v>
      </c>
      <c r="L202" s="11">
        <f t="shared" si="26"/>
        <v>0</v>
      </c>
      <c r="M202" s="41">
        <f t="shared" si="27"/>
        <v>0</v>
      </c>
    </row>
    <row r="203" spans="1:13" ht="16.5" thickTop="1" thickBot="1" x14ac:dyDescent="0.3">
      <c r="A203" s="5" t="s">
        <v>190</v>
      </c>
      <c r="B203" s="6">
        <v>84246</v>
      </c>
      <c r="C203" s="7" t="s">
        <v>21</v>
      </c>
      <c r="D203" s="39">
        <v>45995</v>
      </c>
      <c r="E203" s="39" t="s">
        <v>13</v>
      </c>
      <c r="F203" s="39" t="s">
        <v>13</v>
      </c>
      <c r="G203" s="9">
        <v>17115</v>
      </c>
      <c r="H203" s="10">
        <v>17115</v>
      </c>
      <c r="I203" s="11">
        <v>34230</v>
      </c>
      <c r="J203" s="11">
        <f>VLOOKUP(B203,'Mar 26'!B:G,6,FALSE)</f>
        <v>17115</v>
      </c>
      <c r="K203" s="11">
        <v>0</v>
      </c>
      <c r="L203" s="11">
        <f t="shared" si="26"/>
        <v>0</v>
      </c>
      <c r="M203" s="41">
        <f t="shared" si="27"/>
        <v>0</v>
      </c>
    </row>
    <row r="204" spans="1:13" ht="16.5" thickTop="1" thickBot="1" x14ac:dyDescent="0.3">
      <c r="A204" s="5" t="s">
        <v>633</v>
      </c>
      <c r="B204" s="6">
        <v>90484</v>
      </c>
      <c r="C204" s="7" t="s">
        <v>21</v>
      </c>
      <c r="D204" s="39">
        <v>46139</v>
      </c>
      <c r="E204" s="39" t="s">
        <v>13</v>
      </c>
      <c r="F204" s="39" t="s">
        <v>13</v>
      </c>
      <c r="G204" s="9">
        <v>15984</v>
      </c>
      <c r="H204" s="10">
        <f>I204-G204</f>
        <v>15983</v>
      </c>
      <c r="I204" s="11">
        <v>31967</v>
      </c>
      <c r="J204" s="11"/>
      <c r="K204" s="11">
        <f>IF(G204=0,J204-G204,0)</f>
        <v>0</v>
      </c>
      <c r="L204" s="11">
        <f t="shared" si="26"/>
        <v>15984</v>
      </c>
      <c r="M204" s="41">
        <f t="shared" si="27"/>
        <v>15984</v>
      </c>
    </row>
    <row r="205" spans="1:13" ht="16.5" thickTop="1" thickBot="1" x14ac:dyDescent="0.3">
      <c r="A205" s="5" t="s">
        <v>100</v>
      </c>
      <c r="B205" s="6">
        <v>84221</v>
      </c>
      <c r="C205" s="7" t="s">
        <v>58</v>
      </c>
      <c r="D205" s="39">
        <v>45863</v>
      </c>
      <c r="E205" s="39" t="s">
        <v>13</v>
      </c>
      <c r="F205" s="39" t="s">
        <v>13</v>
      </c>
      <c r="G205" s="9">
        <f>68175+64154</f>
        <v>132329</v>
      </c>
      <c r="H205" s="10">
        <v>196483</v>
      </c>
      <c r="I205" s="11">
        <v>264658</v>
      </c>
      <c r="J205" s="11">
        <f>VLOOKUP(B205,'Mar 26'!B:G,6,FALSE)</f>
        <v>68175</v>
      </c>
      <c r="K205" s="11">
        <v>0</v>
      </c>
      <c r="L205" s="11">
        <f t="shared" si="26"/>
        <v>64154</v>
      </c>
      <c r="M205" s="41">
        <f t="shared" si="27"/>
        <v>64154</v>
      </c>
    </row>
    <row r="206" spans="1:13" ht="16.5" thickTop="1" thickBot="1" x14ac:dyDescent="0.3">
      <c r="A206" s="5" t="s">
        <v>325</v>
      </c>
      <c r="B206" s="6">
        <v>87450</v>
      </c>
      <c r="C206" s="7" t="s">
        <v>327</v>
      </c>
      <c r="D206" s="39">
        <v>46073</v>
      </c>
      <c r="E206" s="39" t="s">
        <v>13</v>
      </c>
      <c r="F206" s="39" t="s">
        <v>13</v>
      </c>
      <c r="G206" s="9">
        <v>9898</v>
      </c>
      <c r="H206" s="10">
        <v>29693</v>
      </c>
      <c r="I206" s="11">
        <v>39591</v>
      </c>
      <c r="J206" s="11">
        <f>VLOOKUP(B206,'Mar 26'!B:G,6,FALSE)</f>
        <v>9898</v>
      </c>
      <c r="K206" s="11">
        <v>0</v>
      </c>
      <c r="L206" s="11">
        <f t="shared" si="26"/>
        <v>0</v>
      </c>
      <c r="M206" s="41">
        <f t="shared" si="27"/>
        <v>0</v>
      </c>
    </row>
    <row r="207" spans="1:13" ht="16.5" thickTop="1" thickBot="1" x14ac:dyDescent="0.3">
      <c r="A207" s="5" t="s">
        <v>232</v>
      </c>
      <c r="B207" s="6">
        <v>88448</v>
      </c>
      <c r="C207" s="7" t="s">
        <v>21</v>
      </c>
      <c r="D207" s="39">
        <v>46037</v>
      </c>
      <c r="E207" s="39">
        <v>46080</v>
      </c>
      <c r="F207" s="39">
        <v>46126</v>
      </c>
      <c r="G207" s="45">
        <v>0</v>
      </c>
      <c r="H207" s="10"/>
      <c r="I207" s="11"/>
      <c r="J207" s="11">
        <f>VLOOKUP(B207,'Mar 26'!B:G,6,FALSE)</f>
        <v>37830</v>
      </c>
      <c r="K207" s="11">
        <f>J207-G207</f>
        <v>37830</v>
      </c>
      <c r="L207" s="11" t="s">
        <v>613</v>
      </c>
      <c r="M207" s="41">
        <f>-K207</f>
        <v>-37830</v>
      </c>
    </row>
    <row r="208" spans="1:13" ht="16.5" thickTop="1" thickBot="1" x14ac:dyDescent="0.3">
      <c r="A208" s="5" t="s">
        <v>342</v>
      </c>
      <c r="B208" s="6">
        <v>89263</v>
      </c>
      <c r="C208" s="7" t="s">
        <v>21</v>
      </c>
      <c r="D208" s="39">
        <v>46080</v>
      </c>
      <c r="E208" s="39">
        <v>46093</v>
      </c>
      <c r="F208" s="39">
        <v>46135</v>
      </c>
      <c r="G208" s="45">
        <v>0</v>
      </c>
      <c r="H208" s="10"/>
      <c r="I208" s="11"/>
      <c r="J208" s="11">
        <f>VLOOKUP(B208,'Mar 26'!B:G,6,FALSE)</f>
        <v>2398</v>
      </c>
      <c r="K208" s="11">
        <f>J208-G208</f>
        <v>2398</v>
      </c>
      <c r="L208" s="11" t="s">
        <v>613</v>
      </c>
      <c r="M208" s="41">
        <f>-K208</f>
        <v>-2398</v>
      </c>
    </row>
    <row r="209" spans="1:13" ht="16.5" thickTop="1" thickBot="1" x14ac:dyDescent="0.3">
      <c r="A209" s="5" t="s">
        <v>333</v>
      </c>
      <c r="B209" s="6">
        <v>86704</v>
      </c>
      <c r="C209" s="7" t="s">
        <v>33</v>
      </c>
      <c r="D209" s="39">
        <v>46076</v>
      </c>
      <c r="E209" s="39" t="s">
        <v>13</v>
      </c>
      <c r="F209" s="39" t="s">
        <v>13</v>
      </c>
      <c r="G209" s="9">
        <v>90025</v>
      </c>
      <c r="H209" s="10">
        <v>90024</v>
      </c>
      <c r="I209" s="11">
        <v>180049</v>
      </c>
      <c r="J209" s="11">
        <f>VLOOKUP(B209,'Mar 26'!B:G,6,FALSE)</f>
        <v>90025</v>
      </c>
      <c r="K209" s="11">
        <v>0</v>
      </c>
      <c r="L209" s="11">
        <f>G209-J209</f>
        <v>0</v>
      </c>
      <c r="M209" s="41">
        <f>L209-K209</f>
        <v>0</v>
      </c>
    </row>
    <row r="210" spans="1:13" ht="16.5" thickTop="1" thickBot="1" x14ac:dyDescent="0.3">
      <c r="A210" s="5" t="s">
        <v>228</v>
      </c>
      <c r="B210" s="6">
        <v>83501</v>
      </c>
      <c r="C210" s="7" t="s">
        <v>27</v>
      </c>
      <c r="D210" s="39">
        <v>46030</v>
      </c>
      <c r="E210" s="39" t="s">
        <v>13</v>
      </c>
      <c r="F210" s="39" t="s">
        <v>13</v>
      </c>
      <c r="G210" s="9">
        <v>17221</v>
      </c>
      <c r="H210" s="10">
        <v>17220</v>
      </c>
      <c r="I210" s="11">
        <v>34441</v>
      </c>
      <c r="J210" s="11">
        <f>VLOOKUP(B210,'Mar 26'!B:G,6,FALSE)</f>
        <v>17221</v>
      </c>
      <c r="K210" s="11">
        <v>0</v>
      </c>
      <c r="L210" s="11">
        <f>G210-J210</f>
        <v>0</v>
      </c>
      <c r="M210" s="41">
        <f>L210-K210</f>
        <v>0</v>
      </c>
    </row>
    <row r="211" spans="1:13" ht="16.5" thickTop="1" thickBot="1" x14ac:dyDescent="0.3">
      <c r="A211" s="5" t="s">
        <v>111</v>
      </c>
      <c r="B211" s="6">
        <v>82413</v>
      </c>
      <c r="C211" s="7" t="s">
        <v>27</v>
      </c>
      <c r="D211" s="39">
        <v>45895</v>
      </c>
      <c r="E211" s="39" t="s">
        <v>13</v>
      </c>
      <c r="F211" s="39" t="s">
        <v>13</v>
      </c>
      <c r="G211" s="9">
        <v>16601</v>
      </c>
      <c r="H211" s="10">
        <v>19381.68</v>
      </c>
      <c r="I211" s="11">
        <v>35982.68</v>
      </c>
      <c r="J211" s="11">
        <f>VLOOKUP(B211,'Mar 26'!B:G,6,FALSE)</f>
        <v>16601</v>
      </c>
      <c r="K211" s="11">
        <v>0</v>
      </c>
      <c r="L211" s="11">
        <f>G211-J211</f>
        <v>0</v>
      </c>
      <c r="M211" s="41">
        <f>L211-K211</f>
        <v>0</v>
      </c>
    </row>
    <row r="212" spans="1:13" ht="16.5" thickTop="1" thickBot="1" x14ac:dyDescent="0.3">
      <c r="A212" s="5" t="s">
        <v>116</v>
      </c>
      <c r="B212" s="6" t="s">
        <v>578</v>
      </c>
      <c r="C212" s="7" t="s">
        <v>62</v>
      </c>
      <c r="D212" s="39">
        <v>45903</v>
      </c>
      <c r="E212" s="39">
        <v>46055</v>
      </c>
      <c r="F212" s="39">
        <v>46128</v>
      </c>
      <c r="G212" s="45">
        <v>0</v>
      </c>
      <c r="H212" s="10"/>
      <c r="I212" s="11"/>
      <c r="J212" s="11">
        <v>52666</v>
      </c>
      <c r="K212" s="11">
        <f>J212-G212</f>
        <v>52666</v>
      </c>
      <c r="L212" s="11" t="s">
        <v>613</v>
      </c>
      <c r="M212" s="41">
        <f>-K212</f>
        <v>-52666</v>
      </c>
    </row>
    <row r="213" spans="1:13" ht="16.5" thickTop="1" thickBot="1" x14ac:dyDescent="0.3">
      <c r="A213" s="5" t="s">
        <v>125</v>
      </c>
      <c r="B213" s="6">
        <v>86988</v>
      </c>
      <c r="C213" s="7" t="s">
        <v>32</v>
      </c>
      <c r="D213" s="39">
        <v>45929</v>
      </c>
      <c r="E213" s="39" t="s">
        <v>13</v>
      </c>
      <c r="F213" s="39" t="s">
        <v>13</v>
      </c>
      <c r="G213" s="9">
        <v>61093</v>
      </c>
      <c r="H213" s="10">
        <v>61093</v>
      </c>
      <c r="I213" s="11">
        <v>122186</v>
      </c>
      <c r="J213" s="11">
        <f>VLOOKUP(B213,'Mar 26'!B:G,6,FALSE)</f>
        <v>61093</v>
      </c>
      <c r="K213" s="11">
        <v>0</v>
      </c>
      <c r="L213" s="11">
        <f>G213-J213</f>
        <v>0</v>
      </c>
      <c r="M213" s="41">
        <f>L213-K213</f>
        <v>0</v>
      </c>
    </row>
    <row r="214" spans="1:13" ht="16.5" thickTop="1" thickBot="1" x14ac:dyDescent="0.3">
      <c r="A214" s="5" t="s">
        <v>374</v>
      </c>
      <c r="B214" s="6">
        <v>87632</v>
      </c>
      <c r="C214" s="7" t="s">
        <v>21</v>
      </c>
      <c r="D214" s="39">
        <v>46092</v>
      </c>
      <c r="E214" s="39">
        <v>46107</v>
      </c>
      <c r="F214" s="39">
        <v>46142</v>
      </c>
      <c r="G214" s="45">
        <v>0</v>
      </c>
      <c r="H214" s="10"/>
      <c r="I214" s="11"/>
      <c r="J214" s="11">
        <f>VLOOKUP(B214,'Mar 26'!B:G,6,FALSE)</f>
        <v>4653</v>
      </c>
      <c r="K214" s="11">
        <f>J214-G214</f>
        <v>4653</v>
      </c>
      <c r="L214" s="11" t="s">
        <v>613</v>
      </c>
      <c r="M214" s="41">
        <f>-K214</f>
        <v>-4653</v>
      </c>
    </row>
    <row r="215" spans="1:13" ht="16.5" thickTop="1" thickBot="1" x14ac:dyDescent="0.3">
      <c r="A215" s="5"/>
      <c r="B215" s="6"/>
      <c r="C215" s="7"/>
      <c r="D215" s="39"/>
      <c r="E215" s="39"/>
      <c r="F215" s="39"/>
      <c r="G215" s="9"/>
      <c r="H215" s="10"/>
      <c r="I215" s="11"/>
      <c r="J215" s="11"/>
      <c r="K215" s="11"/>
      <c r="L215" s="11"/>
    </row>
    <row r="216" spans="1:13" ht="16.5" thickTop="1" thickBot="1" x14ac:dyDescent="0.3">
      <c r="A216" s="22" t="s">
        <v>579</v>
      </c>
      <c r="B216" s="23"/>
      <c r="C216" s="24" t="s">
        <v>115</v>
      </c>
      <c r="D216" s="25" t="s">
        <v>53</v>
      </c>
      <c r="E216" s="26"/>
      <c r="F216" s="27"/>
      <c r="G216" s="28">
        <f>SUM(G2:G215)</f>
        <v>7232196.0199999996</v>
      </c>
      <c r="H216" s="28">
        <f>SUM(H2:H214)</f>
        <v>7648640.0899999989</v>
      </c>
      <c r="I216" s="28">
        <f>SUM(I2:I214)</f>
        <v>14734025.609999998</v>
      </c>
      <c r="J216" s="28">
        <f>SUM(J2:J207)</f>
        <v>6775399.709999999</v>
      </c>
      <c r="K216" s="28">
        <f>SUM(K2:K207)</f>
        <v>880871.77999999991</v>
      </c>
      <c r="L216" s="28">
        <f>SUM(L2:L214)</f>
        <v>1152728.0899999999</v>
      </c>
    </row>
    <row r="217" spans="1:13" ht="15.75" thickTop="1" x14ac:dyDescent="0.25">
      <c r="J217" s="33"/>
    </row>
    <row r="218" spans="1:13" x14ac:dyDescent="0.25">
      <c r="L218" s="33"/>
    </row>
    <row r="219" spans="1:13" x14ac:dyDescent="0.25">
      <c r="A219" t="s">
        <v>63</v>
      </c>
      <c r="D219" s="30" t="s">
        <v>63</v>
      </c>
      <c r="F219" s="35" t="s">
        <v>9</v>
      </c>
      <c r="G219" s="36">
        <f>J216</f>
        <v>6775399.709999999</v>
      </c>
      <c r="J219" s="33"/>
      <c r="L219" s="33"/>
    </row>
    <row r="220" spans="1:13" x14ac:dyDescent="0.25">
      <c r="F220" s="31" t="s">
        <v>492</v>
      </c>
      <c r="G220" s="32">
        <f>G216</f>
        <v>7232196.0199999996</v>
      </c>
    </row>
    <row r="221" spans="1:13" x14ac:dyDescent="0.25">
      <c r="F221" s="35" t="s">
        <v>493</v>
      </c>
      <c r="G221" s="36">
        <f>G217-G219</f>
        <v>-6775399.709999999</v>
      </c>
      <c r="H221" s="33">
        <f>J216+L216-K216-G221</f>
        <v>13822655.729999997</v>
      </c>
      <c r="I221" s="38">
        <f>G216</f>
        <v>7232196.0199999996</v>
      </c>
    </row>
    <row r="222" spans="1:13" x14ac:dyDescent="0.25">
      <c r="I222" s="38">
        <v>-7232196.0199999996</v>
      </c>
      <c r="J222" t="s">
        <v>55</v>
      </c>
      <c r="K222" s="34" t="s">
        <v>85</v>
      </c>
    </row>
    <row r="223" spans="1:13" x14ac:dyDescent="0.25">
      <c r="F223" s="31" t="s">
        <v>56</v>
      </c>
      <c r="G223" s="32">
        <f>G220+I222</f>
        <v>0</v>
      </c>
    </row>
    <row r="224" spans="1:13" s="34" customFormat="1" x14ac:dyDescent="0.25">
      <c r="A224"/>
      <c r="B224" s="29"/>
      <c r="C224"/>
      <c r="D224" s="30"/>
      <c r="E224"/>
      <c r="F224" s="31"/>
      <c r="G224" s="32"/>
      <c r="H224"/>
      <c r="I224" s="37">
        <f>I221++I222</f>
        <v>0</v>
      </c>
      <c r="J224" t="s">
        <v>642</v>
      </c>
      <c r="L224"/>
      <c r="M224"/>
    </row>
  </sheetData>
  <autoFilter ref="A1:M214" xr:uid="{23169491-6558-4A66-83E2-8E32A889370A}"/>
  <sortState xmlns:xlrd2="http://schemas.microsoft.com/office/spreadsheetml/2017/richdata2" ref="A2:M214">
    <sortCondition ref="A2:A214"/>
  </sortState>
  <conditionalFormatting sqref="A59:A194">
    <cfRule type="duplicateValues" dxfId="23" priority="5"/>
  </conditionalFormatting>
  <conditionalFormatting sqref="A218:A225">
    <cfRule type="duplicateValues" dxfId="22" priority="1"/>
  </conditionalFormatting>
  <conditionalFormatting sqref="A226:A1048576 A195:A217 A1:A58">
    <cfRule type="duplicateValues" dxfId="21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FD2F-F81A-4BC3-9997-81DD996F16B1}">
  <dimension ref="A1:L227"/>
  <sheetViews>
    <sheetView zoomScaleNormal="100" workbookViewId="0">
      <pane ySplit="1" topLeftCell="A203" activePane="bottomLeft" state="frozen"/>
      <selection pane="bottomLeft" activeCell="D238" sqref="D238"/>
    </sheetView>
  </sheetViews>
  <sheetFormatPr defaultRowHeight="15" x14ac:dyDescent="0.25"/>
  <cols>
    <col min="1" max="1" width="72.140625" customWidth="1"/>
    <col min="2" max="2" width="13.28515625" style="29" customWidth="1"/>
    <col min="3" max="3" width="11.28515625" customWidth="1"/>
    <col min="4" max="4" width="13.42578125" style="30" customWidth="1"/>
    <col min="5" max="5" width="19.140625" customWidth="1"/>
    <col min="6" max="6" width="32.85546875" style="31" customWidth="1"/>
    <col min="7" max="7" width="16" style="32" customWidth="1"/>
    <col min="8" max="8" width="17.5703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</cols>
  <sheetData>
    <row r="1" spans="1:12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2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 t="s">
        <v>13</v>
      </c>
      <c r="F2" s="39" t="s">
        <v>13</v>
      </c>
      <c r="G2" s="19">
        <v>51110.14</v>
      </c>
      <c r="H2" s="10">
        <v>0</v>
      </c>
      <c r="I2" s="11">
        <v>51110.14</v>
      </c>
      <c r="J2" s="11">
        <f>IFERROR(VLOOKUP(B2,'Apr 26'!B:G,6,FALSE),0)</f>
        <v>51110.14</v>
      </c>
      <c r="K2" s="11">
        <v>0</v>
      </c>
      <c r="L2" s="11">
        <f>G2-J2</f>
        <v>0</v>
      </c>
    </row>
    <row r="3" spans="1:12" ht="16.5" thickTop="1" thickBot="1" x14ac:dyDescent="0.3">
      <c r="A3" s="5" t="s">
        <v>362</v>
      </c>
      <c r="B3" s="6">
        <v>88556</v>
      </c>
      <c r="C3" s="7" t="s">
        <v>327</v>
      </c>
      <c r="D3" s="39">
        <v>46086</v>
      </c>
      <c r="E3" s="39" t="s">
        <v>13</v>
      </c>
      <c r="F3" s="39" t="s">
        <v>13</v>
      </c>
      <c r="G3" s="9">
        <v>11662</v>
      </c>
      <c r="H3" s="10">
        <v>11662</v>
      </c>
      <c r="I3" s="11">
        <v>23324</v>
      </c>
      <c r="J3" s="11">
        <f>IFERROR(VLOOKUP(B3,'Apr 26'!B:G,6,FALSE),0)</f>
        <v>11662</v>
      </c>
      <c r="K3" s="11">
        <v>0</v>
      </c>
      <c r="L3" s="11">
        <f>G3-J3</f>
        <v>0</v>
      </c>
    </row>
    <row r="4" spans="1:12" ht="16.5" thickTop="1" thickBot="1" x14ac:dyDescent="0.3">
      <c r="A4" s="60" t="s">
        <v>318</v>
      </c>
      <c r="B4" s="6">
        <v>87616</v>
      </c>
      <c r="C4" s="7" t="s">
        <v>15</v>
      </c>
      <c r="D4" s="39">
        <v>46069</v>
      </c>
      <c r="E4" s="39" t="s">
        <v>13</v>
      </c>
      <c r="F4" s="39" t="s">
        <v>13</v>
      </c>
      <c r="G4" s="9">
        <v>35586</v>
      </c>
      <c r="H4" s="10">
        <v>9375</v>
      </c>
      <c r="I4" s="11">
        <v>44961</v>
      </c>
      <c r="J4" s="11">
        <f>IFERROR(VLOOKUP(B4,'Apr 26'!B:G,6,FALSE),0)</f>
        <v>35586</v>
      </c>
      <c r="K4" s="11">
        <v>0</v>
      </c>
      <c r="L4" s="11">
        <f>G4-J4</f>
        <v>0</v>
      </c>
    </row>
    <row r="5" spans="1:12" ht="16.5" thickTop="1" thickBot="1" x14ac:dyDescent="0.3">
      <c r="A5" s="47" t="s">
        <v>136</v>
      </c>
      <c r="B5" s="6">
        <v>84541</v>
      </c>
      <c r="C5" s="7" t="s">
        <v>15</v>
      </c>
      <c r="D5" s="39">
        <v>45943</v>
      </c>
      <c r="E5" s="39">
        <v>46083</v>
      </c>
      <c r="F5" s="39">
        <v>46153</v>
      </c>
      <c r="G5" s="45">
        <v>0</v>
      </c>
      <c r="H5" s="10"/>
      <c r="I5" s="11"/>
      <c r="J5" s="11">
        <f>IFERROR(VLOOKUP(B5,'Apr 26'!B:G,6,FALSE),0)</f>
        <v>10262</v>
      </c>
      <c r="K5" s="11">
        <f>J5-G5</f>
        <v>10262</v>
      </c>
      <c r="L5" s="11" t="s">
        <v>613</v>
      </c>
    </row>
    <row r="6" spans="1:12" ht="16.5" thickTop="1" thickBot="1" x14ac:dyDescent="0.3">
      <c r="A6" s="5" t="s">
        <v>581</v>
      </c>
      <c r="B6" s="6">
        <v>87676</v>
      </c>
      <c r="C6" s="7" t="s">
        <v>21</v>
      </c>
      <c r="D6" s="39">
        <v>46125</v>
      </c>
      <c r="E6" s="39" t="s">
        <v>13</v>
      </c>
      <c r="F6" s="39" t="s">
        <v>13</v>
      </c>
      <c r="G6" s="9">
        <v>2400.25</v>
      </c>
      <c r="H6" s="10">
        <f>I6-G6</f>
        <v>2449.75</v>
      </c>
      <c r="I6" s="11">
        <v>4850</v>
      </c>
      <c r="J6" s="11">
        <f>IFERROR(VLOOKUP(B6,'Apr 26'!B:G,6,FALSE),0)</f>
        <v>2400.25</v>
      </c>
      <c r="K6" s="11">
        <v>0</v>
      </c>
      <c r="L6" s="11">
        <f>G6-J6</f>
        <v>0</v>
      </c>
    </row>
    <row r="7" spans="1:12" ht="16.5" thickTop="1" thickBot="1" x14ac:dyDescent="0.3">
      <c r="A7" s="5" t="s">
        <v>515</v>
      </c>
      <c r="B7" s="6">
        <v>89718</v>
      </c>
      <c r="C7" s="7" t="s">
        <v>28</v>
      </c>
      <c r="D7" s="39">
        <v>46105</v>
      </c>
      <c r="E7" s="39">
        <v>46119</v>
      </c>
      <c r="F7" s="39">
        <v>46153</v>
      </c>
      <c r="G7" s="45">
        <v>0</v>
      </c>
      <c r="H7" s="10"/>
      <c r="I7" s="11"/>
      <c r="J7" s="11">
        <f>IFERROR(VLOOKUP(B7,'Apr 26'!B:G,6,FALSE),0)</f>
        <v>9796.19</v>
      </c>
      <c r="K7" s="11">
        <f>J7-G7</f>
        <v>9796.19</v>
      </c>
      <c r="L7" s="11" t="s">
        <v>613</v>
      </c>
    </row>
    <row r="8" spans="1:12" ht="16.5" thickTop="1" thickBot="1" x14ac:dyDescent="0.3">
      <c r="A8" s="5" t="s">
        <v>189</v>
      </c>
      <c r="B8" s="6">
        <v>87185</v>
      </c>
      <c r="C8" s="7" t="s">
        <v>21</v>
      </c>
      <c r="D8" s="39">
        <v>45995</v>
      </c>
      <c r="E8" s="39" t="s">
        <v>13</v>
      </c>
      <c r="F8" s="39" t="s">
        <v>13</v>
      </c>
      <c r="G8" s="9">
        <v>31515</v>
      </c>
      <c r="H8" s="10">
        <v>31514</v>
      </c>
      <c r="I8" s="11">
        <v>63029</v>
      </c>
      <c r="J8" s="11">
        <f>IFERROR(VLOOKUP(B8,'Apr 26'!B:G,6,FALSE),0)</f>
        <v>31515</v>
      </c>
      <c r="K8" s="11">
        <v>0</v>
      </c>
      <c r="L8" s="11">
        <f>G8-J8</f>
        <v>0</v>
      </c>
    </row>
    <row r="9" spans="1:12" ht="16.5" thickTop="1" thickBot="1" x14ac:dyDescent="0.3">
      <c r="A9" s="5" t="s">
        <v>105</v>
      </c>
      <c r="B9" s="6">
        <v>83846</v>
      </c>
      <c r="C9" s="7" t="s">
        <v>62</v>
      </c>
      <c r="D9" s="39">
        <v>45880</v>
      </c>
      <c r="E9" s="39">
        <v>46076</v>
      </c>
      <c r="F9" s="39">
        <v>46163</v>
      </c>
      <c r="G9" s="45">
        <v>0</v>
      </c>
      <c r="H9" s="10"/>
      <c r="I9" s="11"/>
      <c r="J9" s="11">
        <f>IFERROR(VLOOKUP(B9,'Apr 26'!B:G,6,FALSE),0)</f>
        <v>186264.5</v>
      </c>
      <c r="K9" s="11">
        <f>J9-G9</f>
        <v>186264.5</v>
      </c>
      <c r="L9" s="11" t="s">
        <v>613</v>
      </c>
    </row>
    <row r="10" spans="1:12" ht="16.5" thickTop="1" thickBot="1" x14ac:dyDescent="0.3">
      <c r="A10" s="5" t="s">
        <v>364</v>
      </c>
      <c r="B10" s="6">
        <v>89424</v>
      </c>
      <c r="C10" s="7" t="s">
        <v>23</v>
      </c>
      <c r="D10" s="39">
        <v>46090</v>
      </c>
      <c r="E10" s="39">
        <v>46141</v>
      </c>
      <c r="F10" s="39" t="s">
        <v>353</v>
      </c>
      <c r="G10" s="9">
        <v>16906.509999999998</v>
      </c>
      <c r="H10" s="10">
        <v>16906.500000000004</v>
      </c>
      <c r="I10" s="62">
        <v>33813.01</v>
      </c>
      <c r="J10" s="11">
        <f>IFERROR(VLOOKUP(B10,'Apr 26'!B:G,6,FALSE),0)</f>
        <v>16906.509999999998</v>
      </c>
      <c r="K10" s="11">
        <v>0</v>
      </c>
      <c r="L10" s="11">
        <f>G10-J10</f>
        <v>0</v>
      </c>
    </row>
    <row r="11" spans="1:12" ht="16.5" thickTop="1" thickBot="1" x14ac:dyDescent="0.3">
      <c r="A11" s="5" t="s">
        <v>497</v>
      </c>
      <c r="B11" s="6">
        <v>87836</v>
      </c>
      <c r="C11" s="7" t="s">
        <v>17</v>
      </c>
      <c r="D11" s="39">
        <v>46098</v>
      </c>
      <c r="E11" s="39" t="s">
        <v>13</v>
      </c>
      <c r="F11" s="39" t="s">
        <v>13</v>
      </c>
      <c r="G11" s="9">
        <v>18709</v>
      </c>
      <c r="H11" s="10">
        <v>18709</v>
      </c>
      <c r="I11" s="11">
        <v>37418</v>
      </c>
      <c r="J11" s="11">
        <f>IFERROR(VLOOKUP(B11,'Apr 26'!B:G,6,FALSE),0)</f>
        <v>18709</v>
      </c>
      <c r="K11" s="11">
        <v>0</v>
      </c>
      <c r="L11" s="11">
        <f>G11-J11</f>
        <v>0</v>
      </c>
    </row>
    <row r="12" spans="1:12" ht="16.5" thickTop="1" thickBot="1" x14ac:dyDescent="0.3">
      <c r="A12" s="5" t="s">
        <v>380</v>
      </c>
      <c r="B12" s="6">
        <v>89450</v>
      </c>
      <c r="C12" s="7" t="s">
        <v>21</v>
      </c>
      <c r="D12" s="39">
        <v>46097</v>
      </c>
      <c r="E12" s="39">
        <v>46122</v>
      </c>
      <c r="F12" s="39">
        <v>46171</v>
      </c>
      <c r="G12" s="45">
        <v>0</v>
      </c>
      <c r="H12" s="10"/>
      <c r="I12" s="11"/>
      <c r="J12" s="11">
        <f>IFERROR(VLOOKUP(B12,'Apr 26'!B:G,6,FALSE),0)</f>
        <v>29728</v>
      </c>
      <c r="K12" s="11">
        <f>IF(G12=0,J12-G12,0)</f>
        <v>29728</v>
      </c>
      <c r="L12" s="11" t="s">
        <v>613</v>
      </c>
    </row>
    <row r="13" spans="1:12" ht="16.5" thickTop="1" thickBot="1" x14ac:dyDescent="0.3">
      <c r="A13" s="5" t="s">
        <v>166</v>
      </c>
      <c r="B13" s="6">
        <v>82690</v>
      </c>
      <c r="C13" s="7" t="s">
        <v>14</v>
      </c>
      <c r="D13" s="39">
        <v>45978</v>
      </c>
      <c r="E13" s="39">
        <v>46083</v>
      </c>
      <c r="F13" s="39">
        <v>46171</v>
      </c>
      <c r="G13" s="45">
        <v>0</v>
      </c>
      <c r="H13" s="10"/>
      <c r="I13" s="11"/>
      <c r="J13" s="11">
        <f>IFERROR(VLOOKUP(B13,'Apr 26'!B:G,6,FALSE),0)</f>
        <v>13744</v>
      </c>
      <c r="K13" s="11">
        <f>IF(G13=0,J13-G13,0)</f>
        <v>13744</v>
      </c>
      <c r="L13" s="11" t="s">
        <v>613</v>
      </c>
    </row>
    <row r="14" spans="1:12" ht="16.5" thickTop="1" thickBot="1" x14ac:dyDescent="0.3">
      <c r="A14" s="5" t="s">
        <v>649</v>
      </c>
      <c r="B14" s="6">
        <v>88159</v>
      </c>
      <c r="C14" s="7" t="s">
        <v>14</v>
      </c>
      <c r="D14" s="39">
        <v>46148</v>
      </c>
      <c r="E14" s="39" t="s">
        <v>13</v>
      </c>
      <c r="F14" s="39" t="s">
        <v>13</v>
      </c>
      <c r="G14" s="9">
        <v>8819</v>
      </c>
      <c r="H14" s="10">
        <f>I14-G14</f>
        <v>8818</v>
      </c>
      <c r="I14" s="11">
        <v>17637</v>
      </c>
      <c r="J14" s="11">
        <f>IFERROR(VLOOKUP(B14,'Apr 26'!B:G,6,FALSE),0)</f>
        <v>0</v>
      </c>
      <c r="K14" s="11">
        <v>0</v>
      </c>
      <c r="L14" s="11">
        <f>G14-J14</f>
        <v>8819</v>
      </c>
    </row>
    <row r="15" spans="1:12" ht="16.5" thickTop="1" thickBot="1" x14ac:dyDescent="0.3">
      <c r="A15" s="5" t="s">
        <v>614</v>
      </c>
      <c r="B15" s="6">
        <v>90057</v>
      </c>
      <c r="C15" s="7" t="s">
        <v>11</v>
      </c>
      <c r="D15" s="39">
        <v>46128</v>
      </c>
      <c r="E15" s="39" t="s">
        <v>13</v>
      </c>
      <c r="F15" s="39" t="s">
        <v>13</v>
      </c>
      <c r="G15" s="9">
        <v>9211</v>
      </c>
      <c r="H15" s="10">
        <f>I15-G15</f>
        <v>9211.77</v>
      </c>
      <c r="I15" s="11">
        <v>18422.77</v>
      </c>
      <c r="J15" s="11">
        <f>IFERROR(VLOOKUP(B15,'Apr 26'!B:G,6,FALSE),0)</f>
        <v>9211</v>
      </c>
      <c r="K15" s="11">
        <f>IF(G15=0,J15-G15,0)</f>
        <v>0</v>
      </c>
      <c r="L15" s="11">
        <f>G15-J15</f>
        <v>0</v>
      </c>
    </row>
    <row r="16" spans="1:12" ht="16.5" thickTop="1" thickBot="1" x14ac:dyDescent="0.3">
      <c r="A16" s="5" t="s">
        <v>169</v>
      </c>
      <c r="B16" s="6">
        <v>87022</v>
      </c>
      <c r="C16" s="7" t="s">
        <v>14</v>
      </c>
      <c r="D16" s="39">
        <v>45981</v>
      </c>
      <c r="E16" s="39" t="s">
        <v>13</v>
      </c>
      <c r="F16" s="39" t="s">
        <v>13</v>
      </c>
      <c r="G16" s="9">
        <v>60823</v>
      </c>
      <c r="H16" s="10">
        <v>60822</v>
      </c>
      <c r="I16" s="11">
        <v>121645</v>
      </c>
      <c r="J16" s="11">
        <f>IFERROR(VLOOKUP(B16,'Apr 26'!B:G,6,FALSE),0)</f>
        <v>60823</v>
      </c>
      <c r="K16" s="11">
        <v>0</v>
      </c>
      <c r="L16" s="11">
        <f>G16-J16</f>
        <v>0</v>
      </c>
    </row>
    <row r="17" spans="1:12" ht="16.5" thickTop="1" thickBot="1" x14ac:dyDescent="0.3">
      <c r="A17" s="5" t="s">
        <v>636</v>
      </c>
      <c r="B17" s="6">
        <v>90185</v>
      </c>
      <c r="C17" s="6" t="s">
        <v>21</v>
      </c>
      <c r="D17" s="39">
        <v>46140</v>
      </c>
      <c r="E17" s="39" t="s">
        <v>13</v>
      </c>
      <c r="F17" s="39" t="s">
        <v>13</v>
      </c>
      <c r="G17" s="9">
        <v>7191</v>
      </c>
      <c r="H17" s="10">
        <f>I17-G17</f>
        <v>7301.27</v>
      </c>
      <c r="I17" s="11">
        <v>14492.27</v>
      </c>
      <c r="J17" s="11">
        <f>IFERROR(VLOOKUP(B17,'Apr 26'!B:G,6,FALSE),0)</f>
        <v>7191</v>
      </c>
      <c r="K17" s="11">
        <f>IF(G17=0,J17-G17,0)</f>
        <v>0</v>
      </c>
      <c r="L17" s="11">
        <f>G17-J17</f>
        <v>0</v>
      </c>
    </row>
    <row r="18" spans="1:12" ht="16.5" thickTop="1" thickBot="1" x14ac:dyDescent="0.3">
      <c r="A18" s="5" t="s">
        <v>582</v>
      </c>
      <c r="B18" s="6">
        <v>89636</v>
      </c>
      <c r="C18" s="7" t="s">
        <v>11</v>
      </c>
      <c r="D18" s="39">
        <v>46122</v>
      </c>
      <c r="E18" s="39">
        <v>46127</v>
      </c>
      <c r="F18" s="39">
        <v>46170</v>
      </c>
      <c r="G18" s="45">
        <v>0</v>
      </c>
      <c r="H18" s="10"/>
      <c r="I18" s="11"/>
      <c r="J18" s="11">
        <f>IFERROR(VLOOKUP(B18,'Apr 26'!B:G,6,FALSE),0)</f>
        <v>4764</v>
      </c>
      <c r="K18" s="11">
        <f>IF(G18=0,J18-G18,0)</f>
        <v>4764</v>
      </c>
      <c r="L18" s="11" t="s">
        <v>613</v>
      </c>
    </row>
    <row r="19" spans="1:12" ht="16.5" thickTop="1" thickBot="1" x14ac:dyDescent="0.3">
      <c r="A19" s="5" t="s">
        <v>647</v>
      </c>
      <c r="B19" s="6">
        <v>89731</v>
      </c>
      <c r="C19" s="7" t="s">
        <v>23</v>
      </c>
      <c r="D19" s="39">
        <v>46147</v>
      </c>
      <c r="E19" s="39" t="s">
        <v>13</v>
      </c>
      <c r="F19" s="39" t="s">
        <v>13</v>
      </c>
      <c r="G19" s="9">
        <v>13338.01</v>
      </c>
      <c r="H19" s="10">
        <f>I19-G19</f>
        <v>13336.99</v>
      </c>
      <c r="I19" s="11">
        <v>26675</v>
      </c>
      <c r="J19" s="11">
        <f>IFERROR(VLOOKUP(B19,'Apr 26'!B:G,6,FALSE),0)</f>
        <v>0</v>
      </c>
      <c r="K19" s="11">
        <v>0</v>
      </c>
      <c r="L19" s="11">
        <f t="shared" ref="L19:L28" si="0">G19-J19</f>
        <v>13338.01</v>
      </c>
    </row>
    <row r="20" spans="1:12" ht="16.5" thickTop="1" thickBot="1" x14ac:dyDescent="0.3">
      <c r="A20" s="5" t="s">
        <v>646</v>
      </c>
      <c r="B20" s="6">
        <v>90450</v>
      </c>
      <c r="C20" s="7" t="s">
        <v>23</v>
      </c>
      <c r="D20" s="39">
        <v>46146</v>
      </c>
      <c r="E20" s="39" t="s">
        <v>13</v>
      </c>
      <c r="F20" s="39" t="s">
        <v>13</v>
      </c>
      <c r="G20" s="9">
        <v>7699</v>
      </c>
      <c r="H20" s="10">
        <f>I20-G20</f>
        <v>7699.2900000000009</v>
      </c>
      <c r="I20" s="11">
        <v>15398.29</v>
      </c>
      <c r="J20" s="11">
        <f>IFERROR(VLOOKUP(B20,'Apr 26'!B:G,6,FALSE),0)</f>
        <v>0</v>
      </c>
      <c r="K20" s="11">
        <v>0</v>
      </c>
      <c r="L20" s="11">
        <f t="shared" si="0"/>
        <v>7699</v>
      </c>
    </row>
    <row r="21" spans="1:12" ht="16.5" thickTop="1" thickBot="1" x14ac:dyDescent="0.3">
      <c r="A21" s="5" t="s">
        <v>272</v>
      </c>
      <c r="B21" s="6">
        <v>87591</v>
      </c>
      <c r="C21" s="7" t="s">
        <v>281</v>
      </c>
      <c r="D21" s="39">
        <v>46058</v>
      </c>
      <c r="E21" s="39">
        <v>46125</v>
      </c>
      <c r="F21" s="39" t="s">
        <v>353</v>
      </c>
      <c r="G21" s="9">
        <v>25317</v>
      </c>
      <c r="H21" s="10">
        <v>25316</v>
      </c>
      <c r="I21" s="11">
        <v>50633</v>
      </c>
      <c r="J21" s="11">
        <f>IFERROR(VLOOKUP(B21,'Apr 26'!B:G,6,FALSE),0)</f>
        <v>25317</v>
      </c>
      <c r="K21" s="11">
        <v>0</v>
      </c>
      <c r="L21" s="11">
        <f t="shared" si="0"/>
        <v>0</v>
      </c>
    </row>
    <row r="22" spans="1:12" ht="16.5" thickTop="1" thickBot="1" x14ac:dyDescent="0.3">
      <c r="A22" s="5" t="s">
        <v>270</v>
      </c>
      <c r="B22" s="6">
        <v>88674</v>
      </c>
      <c r="C22" s="7" t="s">
        <v>31</v>
      </c>
      <c r="D22" s="39">
        <v>46055</v>
      </c>
      <c r="E22" s="39">
        <v>46132</v>
      </c>
      <c r="F22" s="39" t="s">
        <v>353</v>
      </c>
      <c r="G22" s="9">
        <v>238760</v>
      </c>
      <c r="H22" s="10">
        <v>238759</v>
      </c>
      <c r="I22" s="11">
        <v>477519</v>
      </c>
      <c r="J22" s="11">
        <f>IFERROR(VLOOKUP(B22,'Apr 26'!B:G,6,FALSE),0)</f>
        <v>238760</v>
      </c>
      <c r="K22" s="11">
        <v>0</v>
      </c>
      <c r="L22" s="11">
        <f t="shared" si="0"/>
        <v>0</v>
      </c>
    </row>
    <row r="23" spans="1:12" ht="16.5" thickTop="1" thickBot="1" x14ac:dyDescent="0.3">
      <c r="A23" s="5" t="s">
        <v>144</v>
      </c>
      <c r="B23" s="6">
        <v>85791</v>
      </c>
      <c r="C23" s="7" t="s">
        <v>23</v>
      </c>
      <c r="D23" s="39">
        <v>45959</v>
      </c>
      <c r="E23" s="39" t="s">
        <v>13</v>
      </c>
      <c r="F23" s="39" t="s">
        <v>13</v>
      </c>
      <c r="G23" s="9">
        <v>8977.7000000000007</v>
      </c>
      <c r="H23" s="10">
        <v>80799.3</v>
      </c>
      <c r="I23" s="11">
        <v>89777</v>
      </c>
      <c r="J23" s="11">
        <f>IFERROR(VLOOKUP(B23,'Apr 26'!B:G,6,FALSE),0)</f>
        <v>8977.7000000000007</v>
      </c>
      <c r="K23" s="11">
        <v>0</v>
      </c>
      <c r="L23" s="11">
        <f t="shared" si="0"/>
        <v>0</v>
      </c>
    </row>
    <row r="24" spans="1:12" ht="16.5" thickTop="1" thickBot="1" x14ac:dyDescent="0.3">
      <c r="A24" s="5" t="s">
        <v>635</v>
      </c>
      <c r="B24" s="6">
        <v>89792</v>
      </c>
      <c r="C24" s="6" t="s">
        <v>23</v>
      </c>
      <c r="D24" s="39">
        <v>46140</v>
      </c>
      <c r="E24" s="39" t="s">
        <v>13</v>
      </c>
      <c r="F24" s="39" t="s">
        <v>13</v>
      </c>
      <c r="G24" s="9">
        <v>34278</v>
      </c>
      <c r="H24" s="10">
        <f>I24-G24</f>
        <v>34278</v>
      </c>
      <c r="I24" s="11">
        <v>68556</v>
      </c>
      <c r="J24" s="11">
        <f>IFERROR(VLOOKUP(B24,'Apr 26'!B:G,6,FALSE),0)</f>
        <v>34278</v>
      </c>
      <c r="K24" s="11">
        <f>IF(G24=0,J24-G24,0)</f>
        <v>0</v>
      </c>
      <c r="L24" s="11">
        <f t="shared" si="0"/>
        <v>0</v>
      </c>
    </row>
    <row r="25" spans="1:12" ht="16.5" thickTop="1" thickBot="1" x14ac:dyDescent="0.3">
      <c r="A25" s="5" t="s">
        <v>660</v>
      </c>
      <c r="B25" s="6">
        <v>90329</v>
      </c>
      <c r="C25" s="7" t="s">
        <v>23</v>
      </c>
      <c r="D25" s="39" t="s">
        <v>669</v>
      </c>
      <c r="E25" s="39" t="s">
        <v>13</v>
      </c>
      <c r="F25" s="39" t="s">
        <v>13</v>
      </c>
      <c r="G25" s="9">
        <v>8966.25</v>
      </c>
      <c r="H25" s="10">
        <f>I25-G25</f>
        <v>8966.2999999999993</v>
      </c>
      <c r="I25" s="11">
        <v>17932.55</v>
      </c>
      <c r="J25" s="11">
        <f>IFERROR(VLOOKUP(B25,'Apr 26'!B:G,6,FALSE),0)</f>
        <v>0</v>
      </c>
      <c r="K25" s="11">
        <v>0</v>
      </c>
      <c r="L25" s="11">
        <f t="shared" si="0"/>
        <v>8966.25</v>
      </c>
    </row>
    <row r="26" spans="1:12" ht="16.5" thickTop="1" thickBot="1" x14ac:dyDescent="0.3">
      <c r="A26" s="5" t="s">
        <v>145</v>
      </c>
      <c r="B26" s="6">
        <v>83690</v>
      </c>
      <c r="C26" s="7" t="s">
        <v>23</v>
      </c>
      <c r="D26" s="39">
        <v>45959</v>
      </c>
      <c r="E26" s="39" t="s">
        <v>13</v>
      </c>
      <c r="F26" s="39" t="s">
        <v>13</v>
      </c>
      <c r="G26" s="9">
        <v>41681.4</v>
      </c>
      <c r="H26" s="10">
        <v>375132.6</v>
      </c>
      <c r="I26" s="11">
        <v>416814</v>
      </c>
      <c r="J26" s="11">
        <f>IFERROR(VLOOKUP(B26,'Apr 26'!B:G,6,FALSE),0)</f>
        <v>41681.4</v>
      </c>
      <c r="K26" s="11">
        <v>0</v>
      </c>
      <c r="L26" s="11">
        <f t="shared" si="0"/>
        <v>0</v>
      </c>
    </row>
    <row r="27" spans="1:12" ht="16.5" thickTop="1" thickBot="1" x14ac:dyDescent="0.3">
      <c r="A27" s="5" t="s">
        <v>227</v>
      </c>
      <c r="B27" s="6">
        <v>86318</v>
      </c>
      <c r="C27" s="7" t="s">
        <v>14</v>
      </c>
      <c r="D27" s="39">
        <v>46030</v>
      </c>
      <c r="E27" s="39">
        <v>46140</v>
      </c>
      <c r="F27" s="39" t="s">
        <v>353</v>
      </c>
      <c r="G27" s="9">
        <f>26483.5+4914.5</f>
        <v>31398</v>
      </c>
      <c r="H27" s="10">
        <v>26483.5</v>
      </c>
      <c r="I27" s="11">
        <v>52967</v>
      </c>
      <c r="J27" s="11">
        <f>IFERROR(VLOOKUP(B27,'Apr 26'!B:G,6,FALSE),0)</f>
        <v>31398</v>
      </c>
      <c r="K27" s="11">
        <v>0</v>
      </c>
      <c r="L27" s="11">
        <f t="shared" si="0"/>
        <v>0</v>
      </c>
    </row>
    <row r="28" spans="1:12" ht="16.5" thickTop="1" thickBot="1" x14ac:dyDescent="0.3">
      <c r="A28" s="5" t="s">
        <v>684</v>
      </c>
      <c r="B28" s="6">
        <v>89873</v>
      </c>
      <c r="C28" s="7" t="s">
        <v>23</v>
      </c>
      <c r="D28" s="39">
        <v>46168</v>
      </c>
      <c r="E28" s="39" t="s">
        <v>13</v>
      </c>
      <c r="F28" s="39" t="s">
        <v>13</v>
      </c>
      <c r="G28" s="9">
        <v>165000</v>
      </c>
      <c r="H28" s="10">
        <f>I28-G28</f>
        <v>165000</v>
      </c>
      <c r="I28" s="11">
        <v>330000</v>
      </c>
      <c r="J28" s="11"/>
      <c r="K28" s="11"/>
      <c r="L28" s="11">
        <f t="shared" si="0"/>
        <v>165000</v>
      </c>
    </row>
    <row r="29" spans="1:12" ht="16.5" thickTop="1" thickBot="1" x14ac:dyDescent="0.3">
      <c r="A29" s="5" t="s">
        <v>570</v>
      </c>
      <c r="B29" s="6">
        <v>89482</v>
      </c>
      <c r="C29" s="7" t="s">
        <v>23</v>
      </c>
      <c r="D29" s="39">
        <v>46111</v>
      </c>
      <c r="E29" s="39">
        <v>46119</v>
      </c>
      <c r="F29" s="39">
        <v>46143</v>
      </c>
      <c r="G29" s="45">
        <v>0</v>
      </c>
      <c r="H29" s="10"/>
      <c r="I29" s="11"/>
      <c r="J29" s="11">
        <f>IFERROR(VLOOKUP(B29,'Apr 26'!B:G,6,FALSE),0)</f>
        <v>4138</v>
      </c>
      <c r="K29" s="11">
        <f>J29-G29</f>
        <v>4138</v>
      </c>
      <c r="L29" s="11" t="s">
        <v>613</v>
      </c>
    </row>
    <row r="30" spans="1:12" ht="16.5" thickTop="1" thickBot="1" x14ac:dyDescent="0.3">
      <c r="A30" s="5" t="s">
        <v>685</v>
      </c>
      <c r="B30" s="6">
        <v>90207</v>
      </c>
      <c r="C30" s="7" t="s">
        <v>23</v>
      </c>
      <c r="D30" s="39">
        <v>46168</v>
      </c>
      <c r="E30" s="39" t="s">
        <v>13</v>
      </c>
      <c r="F30" s="39" t="s">
        <v>13</v>
      </c>
      <c r="G30" s="9">
        <v>4969</v>
      </c>
      <c r="H30" s="10">
        <f>I30-G30</f>
        <v>4970</v>
      </c>
      <c r="I30" s="11">
        <v>9939</v>
      </c>
      <c r="J30" s="11"/>
      <c r="K30" s="11"/>
      <c r="L30" s="11">
        <f t="shared" ref="L30:L37" si="1">G30-J30</f>
        <v>4969</v>
      </c>
    </row>
    <row r="31" spans="1:12" ht="16.5" thickTop="1" thickBot="1" x14ac:dyDescent="0.3">
      <c r="A31" s="5" t="s">
        <v>583</v>
      </c>
      <c r="B31" s="6">
        <v>90093</v>
      </c>
      <c r="C31" s="7" t="s">
        <v>611</v>
      </c>
      <c r="D31" s="39">
        <v>46127</v>
      </c>
      <c r="E31" s="39" t="s">
        <v>13</v>
      </c>
      <c r="F31" s="39" t="s">
        <v>13</v>
      </c>
      <c r="G31" s="9">
        <v>20789</v>
      </c>
      <c r="H31" s="10">
        <f>I31-G31</f>
        <v>20789.519999999997</v>
      </c>
      <c r="I31" s="11">
        <v>41578.519999999997</v>
      </c>
      <c r="J31" s="11">
        <f>IFERROR(VLOOKUP(B31,'Apr 26'!B:G,6,FALSE),0)</f>
        <v>20789</v>
      </c>
      <c r="K31" s="11">
        <v>0</v>
      </c>
      <c r="L31" s="11">
        <f t="shared" si="1"/>
        <v>0</v>
      </c>
    </row>
    <row r="32" spans="1:12" ht="16.5" thickTop="1" thickBot="1" x14ac:dyDescent="0.3">
      <c r="A32" s="5" t="s">
        <v>584</v>
      </c>
      <c r="B32" s="6">
        <v>89607</v>
      </c>
      <c r="C32" s="7" t="s">
        <v>27</v>
      </c>
      <c r="D32" s="39">
        <v>46126</v>
      </c>
      <c r="E32" s="39" t="s">
        <v>13</v>
      </c>
      <c r="F32" s="39" t="s">
        <v>13</v>
      </c>
      <c r="G32" s="9">
        <v>19335</v>
      </c>
      <c r="H32" s="10">
        <f>I32-G32</f>
        <v>19335</v>
      </c>
      <c r="I32" s="11">
        <v>38670</v>
      </c>
      <c r="J32" s="11">
        <f>IFERROR(VLOOKUP(B32,'Apr 26'!B:G,6,FALSE),0)</f>
        <v>19335</v>
      </c>
      <c r="K32" s="11">
        <v>0</v>
      </c>
      <c r="L32" s="11">
        <f t="shared" si="1"/>
        <v>0</v>
      </c>
    </row>
    <row r="33" spans="1:12" ht="16.5" thickTop="1" thickBot="1" x14ac:dyDescent="0.3">
      <c r="A33" s="5" t="s">
        <v>512</v>
      </c>
      <c r="B33" s="6">
        <v>89649</v>
      </c>
      <c r="C33" s="7" t="s">
        <v>44</v>
      </c>
      <c r="D33" s="39">
        <v>46101</v>
      </c>
      <c r="E33" s="39">
        <v>46126</v>
      </c>
      <c r="F33" s="39" t="s">
        <v>353</v>
      </c>
      <c r="G33" s="9">
        <v>17176</v>
      </c>
      <c r="H33" s="10">
        <v>17175</v>
      </c>
      <c r="I33" s="11">
        <v>34351</v>
      </c>
      <c r="J33" s="11">
        <f>IFERROR(VLOOKUP(B33,'Apr 26'!B:G,6,FALSE),0)</f>
        <v>17176</v>
      </c>
      <c r="K33" s="11">
        <v>0</v>
      </c>
      <c r="L33" s="11">
        <f t="shared" si="1"/>
        <v>0</v>
      </c>
    </row>
    <row r="34" spans="1:12" ht="16.5" thickTop="1" thickBot="1" x14ac:dyDescent="0.3">
      <c r="A34" s="5" t="s">
        <v>615</v>
      </c>
      <c r="B34" s="6">
        <v>90005</v>
      </c>
      <c r="C34" s="7" t="s">
        <v>23</v>
      </c>
      <c r="D34" s="39">
        <v>46128</v>
      </c>
      <c r="E34" s="39" t="s">
        <v>13</v>
      </c>
      <c r="F34" s="39" t="s">
        <v>13</v>
      </c>
      <c r="G34" s="9">
        <v>9786</v>
      </c>
      <c r="H34" s="10">
        <f>I34-G34</f>
        <v>9785.4399999999987</v>
      </c>
      <c r="I34" s="11">
        <v>19571.439999999999</v>
      </c>
      <c r="J34" s="11">
        <f>IFERROR(VLOOKUP(B34,'Apr 26'!B:G,6,FALSE),0)</f>
        <v>9786</v>
      </c>
      <c r="K34" s="11">
        <f>IF(G34=0,J34-G34,0)</f>
        <v>0</v>
      </c>
      <c r="L34" s="11">
        <f t="shared" si="1"/>
        <v>0</v>
      </c>
    </row>
    <row r="35" spans="1:12" ht="16.5" thickTop="1" thickBot="1" x14ac:dyDescent="0.3">
      <c r="A35" s="5" t="s">
        <v>215</v>
      </c>
      <c r="B35" s="6">
        <v>88227</v>
      </c>
      <c r="C35" s="7" t="s">
        <v>14</v>
      </c>
      <c r="D35" s="39">
        <v>46020</v>
      </c>
      <c r="E35" s="39">
        <v>46133</v>
      </c>
      <c r="F35" s="39" t="s">
        <v>353</v>
      </c>
      <c r="G35" s="9">
        <v>32005</v>
      </c>
      <c r="H35" s="10">
        <v>32005</v>
      </c>
      <c r="I35" s="11">
        <v>64010</v>
      </c>
      <c r="J35" s="11">
        <f>IFERROR(VLOOKUP(B35,'Apr 26'!B:G,6,FALSE),0)</f>
        <v>32005</v>
      </c>
      <c r="K35" s="11">
        <v>0</v>
      </c>
      <c r="L35" s="11">
        <f t="shared" si="1"/>
        <v>0</v>
      </c>
    </row>
    <row r="36" spans="1:12" ht="16.5" thickTop="1" thickBot="1" x14ac:dyDescent="0.3">
      <c r="A36" s="5" t="s">
        <v>502</v>
      </c>
      <c r="B36" s="6">
        <v>84966</v>
      </c>
      <c r="C36" s="7" t="s">
        <v>14</v>
      </c>
      <c r="D36" s="39">
        <v>46099</v>
      </c>
      <c r="E36" s="39" t="s">
        <v>13</v>
      </c>
      <c r="F36" s="39" t="s">
        <v>13</v>
      </c>
      <c r="G36" s="9">
        <v>39804</v>
      </c>
      <c r="H36" s="10">
        <v>39803</v>
      </c>
      <c r="I36" s="11">
        <v>79607</v>
      </c>
      <c r="J36" s="11">
        <f>IFERROR(VLOOKUP(B36,'Apr 26'!B:G,6,FALSE),0)</f>
        <v>39804</v>
      </c>
      <c r="K36" s="11">
        <v>0</v>
      </c>
      <c r="L36" s="11">
        <f t="shared" si="1"/>
        <v>0</v>
      </c>
    </row>
    <row r="37" spans="1:12" ht="16.5" thickTop="1" thickBot="1" x14ac:dyDescent="0.3">
      <c r="A37" s="20" t="s">
        <v>24</v>
      </c>
      <c r="B37" s="13" t="s">
        <v>89</v>
      </c>
      <c r="C37" s="14"/>
      <c r="D37" s="40">
        <v>44712</v>
      </c>
      <c r="E37" s="40" t="s">
        <v>13</v>
      </c>
      <c r="F37" s="40" t="s">
        <v>13</v>
      </c>
      <c r="G37" s="21">
        <v>4108</v>
      </c>
      <c r="H37" s="17">
        <v>0</v>
      </c>
      <c r="I37" s="18">
        <v>4108</v>
      </c>
      <c r="J37" s="18">
        <f>IFERROR(VLOOKUP(B37,'Apr 26'!B:G,6,FALSE),0)</f>
        <v>4108</v>
      </c>
      <c r="K37" s="18">
        <v>0</v>
      </c>
      <c r="L37" s="18">
        <f t="shared" si="1"/>
        <v>0</v>
      </c>
    </row>
    <row r="38" spans="1:12" ht="16.5" thickTop="1" thickBot="1" x14ac:dyDescent="0.3">
      <c r="A38" s="5" t="s">
        <v>585</v>
      </c>
      <c r="B38" s="6">
        <v>90088</v>
      </c>
      <c r="C38" s="7" t="s">
        <v>21</v>
      </c>
      <c r="D38" s="39">
        <v>46118</v>
      </c>
      <c r="E38" s="39">
        <v>46134</v>
      </c>
      <c r="F38" s="39">
        <v>46155</v>
      </c>
      <c r="G38" s="45">
        <v>0</v>
      </c>
      <c r="H38" s="10"/>
      <c r="I38" s="11"/>
      <c r="J38" s="11">
        <f>IFERROR(VLOOKUP(B38,'Apr 26'!B:G,6,FALSE),0)</f>
        <v>2638</v>
      </c>
      <c r="K38" s="11">
        <f>J38-G38</f>
        <v>2638</v>
      </c>
      <c r="L38" s="11" t="s">
        <v>613</v>
      </c>
    </row>
    <row r="39" spans="1:12" ht="16.5" thickTop="1" thickBot="1" x14ac:dyDescent="0.3">
      <c r="A39" s="5" t="s">
        <v>674</v>
      </c>
      <c r="B39" s="6">
        <v>90923</v>
      </c>
      <c r="C39" s="7" t="s">
        <v>21</v>
      </c>
      <c r="D39" s="39">
        <v>46160</v>
      </c>
      <c r="E39" s="39" t="s">
        <v>13</v>
      </c>
      <c r="F39" s="39" t="s">
        <v>13</v>
      </c>
      <c r="G39" s="9">
        <v>7275.85</v>
      </c>
      <c r="H39" s="10">
        <f>I39-G39</f>
        <v>7275.84</v>
      </c>
      <c r="I39" s="11">
        <v>14551.69</v>
      </c>
      <c r="J39" s="11"/>
      <c r="K39" s="11"/>
      <c r="L39" s="11">
        <f>G39-J39</f>
        <v>7275.85</v>
      </c>
    </row>
    <row r="40" spans="1:12" ht="16.5" thickTop="1" thickBot="1" x14ac:dyDescent="0.3">
      <c r="A40" s="5" t="s">
        <v>359</v>
      </c>
      <c r="B40" s="6">
        <v>88513</v>
      </c>
      <c r="C40" s="7" t="s">
        <v>21</v>
      </c>
      <c r="D40" s="39">
        <v>46085</v>
      </c>
      <c r="E40" s="39" t="s">
        <v>13</v>
      </c>
      <c r="F40" s="39" t="s">
        <v>13</v>
      </c>
      <c r="G40" s="9">
        <v>11224</v>
      </c>
      <c r="H40" s="10">
        <v>13423</v>
      </c>
      <c r="I40" s="11">
        <v>24647</v>
      </c>
      <c r="J40" s="11">
        <f>IFERROR(VLOOKUP(B40,'Apr 26'!B:G,6,FALSE),0)</f>
        <v>11224</v>
      </c>
      <c r="K40" s="11">
        <v>0</v>
      </c>
      <c r="L40" s="11">
        <f>G40-J40</f>
        <v>0</v>
      </c>
    </row>
    <row r="41" spans="1:12" ht="16.5" thickTop="1" thickBot="1" x14ac:dyDescent="0.3">
      <c r="A41" s="5" t="s">
        <v>367</v>
      </c>
      <c r="B41" s="6">
        <v>85396</v>
      </c>
      <c r="C41" s="7" t="s">
        <v>368</v>
      </c>
      <c r="D41" s="39">
        <v>46090</v>
      </c>
      <c r="E41" s="39" t="s">
        <v>13</v>
      </c>
      <c r="F41" s="39">
        <v>46163</v>
      </c>
      <c r="G41" s="45">
        <v>0</v>
      </c>
      <c r="H41" s="10"/>
      <c r="I41" s="11"/>
      <c r="J41" s="11">
        <f>IFERROR(VLOOKUP(B41,'Apr 26'!B:G,6,FALSE),0)</f>
        <v>9792</v>
      </c>
      <c r="K41" s="11">
        <f>J41-G41</f>
        <v>9792</v>
      </c>
      <c r="L41" s="11" t="s">
        <v>613</v>
      </c>
    </row>
    <row r="42" spans="1:12" ht="16.5" thickTop="1" thickBot="1" x14ac:dyDescent="0.3">
      <c r="A42" s="5" t="s">
        <v>508</v>
      </c>
      <c r="B42" s="6">
        <v>89296</v>
      </c>
      <c r="C42" s="7" t="s">
        <v>509</v>
      </c>
      <c r="D42" s="39">
        <v>46100</v>
      </c>
      <c r="E42" s="39" t="s">
        <v>13</v>
      </c>
      <c r="F42" s="39" t="s">
        <v>13</v>
      </c>
      <c r="G42" s="9">
        <v>109253</v>
      </c>
      <c r="H42" s="10">
        <v>109253</v>
      </c>
      <c r="I42" s="11">
        <v>218506</v>
      </c>
      <c r="J42" s="11">
        <f>IFERROR(VLOOKUP(B42,'Apr 26'!B:G,6,FALSE),0)</f>
        <v>109253</v>
      </c>
      <c r="K42" s="11">
        <v>0</v>
      </c>
      <c r="L42" s="11">
        <f t="shared" ref="L42:L53" si="2">G42-J42</f>
        <v>0</v>
      </c>
    </row>
    <row r="43" spans="1:12" ht="16.5" thickTop="1" thickBot="1" x14ac:dyDescent="0.3">
      <c r="A43" s="5" t="s">
        <v>274</v>
      </c>
      <c r="B43" s="6">
        <v>88868</v>
      </c>
      <c r="C43" s="7" t="s">
        <v>45</v>
      </c>
      <c r="D43" s="39">
        <v>46059</v>
      </c>
      <c r="E43" s="39" t="s">
        <v>13</v>
      </c>
      <c r="F43" s="39" t="s">
        <v>13</v>
      </c>
      <c r="G43" s="9">
        <v>17321</v>
      </c>
      <c r="H43" s="10">
        <v>17321</v>
      </c>
      <c r="I43" s="11">
        <v>34642</v>
      </c>
      <c r="J43" s="11">
        <f>IFERROR(VLOOKUP(B43,'Apr 26'!B:G,6,FALSE),0)</f>
        <v>17321</v>
      </c>
      <c r="K43" s="11">
        <v>0</v>
      </c>
      <c r="L43" s="11">
        <f t="shared" si="2"/>
        <v>0</v>
      </c>
    </row>
    <row r="44" spans="1:12" ht="16.5" thickTop="1" thickBot="1" x14ac:dyDescent="0.3">
      <c r="A44" s="5" t="s">
        <v>586</v>
      </c>
      <c r="B44" s="6">
        <v>88845</v>
      </c>
      <c r="C44" s="7" t="s">
        <v>14</v>
      </c>
      <c r="D44" s="39">
        <v>46115</v>
      </c>
      <c r="E44" s="39" t="s">
        <v>13</v>
      </c>
      <c r="F44" s="39" t="s">
        <v>13</v>
      </c>
      <c r="G44" s="9">
        <v>51819</v>
      </c>
      <c r="H44" s="10">
        <f t="shared" ref="H44:H49" si="3">I44-G44</f>
        <v>51818</v>
      </c>
      <c r="I44" s="11">
        <v>103637</v>
      </c>
      <c r="J44" s="11">
        <f>IFERROR(VLOOKUP(B44,'Apr 26'!B:G,6,FALSE),0)</f>
        <v>51819</v>
      </c>
      <c r="K44" s="11">
        <v>0</v>
      </c>
      <c r="L44" s="11">
        <f t="shared" si="2"/>
        <v>0</v>
      </c>
    </row>
    <row r="45" spans="1:12" ht="16.5" thickTop="1" thickBot="1" x14ac:dyDescent="0.3">
      <c r="A45" s="5" t="s">
        <v>622</v>
      </c>
      <c r="B45" s="6">
        <v>89829</v>
      </c>
      <c r="C45" s="7" t="s">
        <v>27</v>
      </c>
      <c r="D45" s="39">
        <v>46134</v>
      </c>
      <c r="E45" s="39" t="s">
        <v>13</v>
      </c>
      <c r="F45" s="39" t="s">
        <v>13</v>
      </c>
      <c r="G45" s="9">
        <v>90746</v>
      </c>
      <c r="H45" s="10">
        <f t="shared" si="3"/>
        <v>90746</v>
      </c>
      <c r="I45" s="11">
        <v>181492</v>
      </c>
      <c r="J45" s="11">
        <f>IFERROR(VLOOKUP(B45,'Apr 26'!B:G,6,FALSE),0)</f>
        <v>90746</v>
      </c>
      <c r="K45" s="11">
        <f>IF(G45=0,J45-G45,0)</f>
        <v>0</v>
      </c>
      <c r="L45" s="11">
        <f t="shared" si="2"/>
        <v>0</v>
      </c>
    </row>
    <row r="46" spans="1:12" ht="16.5" thickTop="1" thickBot="1" x14ac:dyDescent="0.3">
      <c r="A46" s="5" t="s">
        <v>641</v>
      </c>
      <c r="B46" s="6">
        <v>89254</v>
      </c>
      <c r="C46" s="6" t="s">
        <v>18</v>
      </c>
      <c r="D46" s="39">
        <v>46142</v>
      </c>
      <c r="E46" s="39" t="s">
        <v>13</v>
      </c>
      <c r="F46" s="39" t="s">
        <v>13</v>
      </c>
      <c r="G46" s="9">
        <v>8136</v>
      </c>
      <c r="H46" s="10">
        <f t="shared" si="3"/>
        <v>8136</v>
      </c>
      <c r="I46" s="11">
        <v>16272</v>
      </c>
      <c r="J46" s="11">
        <f>IFERROR(VLOOKUP(B46,'Apr 26'!B:G,6,FALSE),0)</f>
        <v>8136</v>
      </c>
      <c r="K46" s="11">
        <f>IF(G46=0,J46-G46,0)</f>
        <v>0</v>
      </c>
      <c r="L46" s="11">
        <f t="shared" si="2"/>
        <v>0</v>
      </c>
    </row>
    <row r="47" spans="1:12" ht="16.5" thickTop="1" thickBot="1" x14ac:dyDescent="0.3">
      <c r="A47" s="5" t="s">
        <v>687</v>
      </c>
      <c r="B47" s="6">
        <v>91035</v>
      </c>
      <c r="C47" s="7" t="s">
        <v>14</v>
      </c>
      <c r="D47" s="39">
        <v>46169</v>
      </c>
      <c r="E47" s="39" t="s">
        <v>13</v>
      </c>
      <c r="F47" s="39" t="s">
        <v>13</v>
      </c>
      <c r="G47" s="9">
        <v>19766.41</v>
      </c>
      <c r="H47" s="10">
        <f t="shared" si="3"/>
        <v>19766.399999999998</v>
      </c>
      <c r="I47" s="11">
        <v>39532.81</v>
      </c>
      <c r="J47" s="11"/>
      <c r="K47" s="11"/>
      <c r="L47" s="11">
        <f t="shared" si="2"/>
        <v>19766.41</v>
      </c>
    </row>
    <row r="48" spans="1:12" ht="16.5" thickTop="1" thickBot="1" x14ac:dyDescent="0.3">
      <c r="A48" s="5" t="s">
        <v>637</v>
      </c>
      <c r="B48" s="6">
        <v>90388</v>
      </c>
      <c r="C48" s="6" t="s">
        <v>283</v>
      </c>
      <c r="D48" s="39">
        <v>46140</v>
      </c>
      <c r="E48" s="39" t="s">
        <v>13</v>
      </c>
      <c r="F48" s="39" t="s">
        <v>13</v>
      </c>
      <c r="G48" s="9">
        <v>25275</v>
      </c>
      <c r="H48" s="10">
        <f t="shared" si="3"/>
        <v>25275.260000000002</v>
      </c>
      <c r="I48" s="11">
        <v>50550.26</v>
      </c>
      <c r="J48" s="11">
        <f>IFERROR(VLOOKUP(B48,'Apr 26'!B:G,6,FALSE),0)</f>
        <v>25275</v>
      </c>
      <c r="K48" s="11">
        <f>IF(G48=0,J48-G48,0)</f>
        <v>0</v>
      </c>
      <c r="L48" s="11">
        <f t="shared" si="2"/>
        <v>0</v>
      </c>
    </row>
    <row r="49" spans="1:12" ht="16.5" thickTop="1" thickBot="1" x14ac:dyDescent="0.3">
      <c r="A49" s="5" t="s">
        <v>358</v>
      </c>
      <c r="B49" s="6">
        <v>87426</v>
      </c>
      <c r="C49" s="7" t="s">
        <v>21</v>
      </c>
      <c r="D49" s="39">
        <v>46084</v>
      </c>
      <c r="E49" s="39">
        <v>46125</v>
      </c>
      <c r="F49" s="39" t="s">
        <v>351</v>
      </c>
      <c r="G49" s="9">
        <f>94654+110507.46</f>
        <v>205161.46000000002</v>
      </c>
      <c r="H49" s="10">
        <f t="shared" si="3"/>
        <v>0</v>
      </c>
      <c r="I49" s="11">
        <v>205161.46</v>
      </c>
      <c r="J49" s="11">
        <f>IFERROR(VLOOKUP(B49,'Apr 26'!B:G,6,FALSE),0)</f>
        <v>94654</v>
      </c>
      <c r="K49" s="11">
        <v>0</v>
      </c>
      <c r="L49" s="11">
        <f t="shared" si="2"/>
        <v>110507.46000000002</v>
      </c>
    </row>
    <row r="50" spans="1:12" ht="16.5" thickTop="1" thickBot="1" x14ac:dyDescent="0.3">
      <c r="A50" s="5" t="s">
        <v>75</v>
      </c>
      <c r="B50" s="6">
        <v>83108</v>
      </c>
      <c r="C50" s="7" t="s">
        <v>76</v>
      </c>
      <c r="D50" s="39">
        <v>45764</v>
      </c>
      <c r="E50" s="39" t="s">
        <v>13</v>
      </c>
      <c r="F50" s="39" t="s">
        <v>13</v>
      </c>
      <c r="G50" s="9">
        <v>172204.5</v>
      </c>
      <c r="H50" s="10">
        <v>172204.5</v>
      </c>
      <c r="I50" s="11">
        <v>344409</v>
      </c>
      <c r="J50" s="11">
        <f>IFERROR(VLOOKUP(B50,'Apr 26'!B:G,6,FALSE),0)</f>
        <v>172204.5</v>
      </c>
      <c r="K50" s="11">
        <v>0</v>
      </c>
      <c r="L50" s="11">
        <f t="shared" si="2"/>
        <v>0</v>
      </c>
    </row>
    <row r="51" spans="1:12" ht="16.5" thickTop="1" thickBot="1" x14ac:dyDescent="0.3">
      <c r="A51" s="5" t="s">
        <v>138</v>
      </c>
      <c r="B51" s="6">
        <v>84134</v>
      </c>
      <c r="C51" s="7" t="s">
        <v>14</v>
      </c>
      <c r="D51" s="39">
        <v>45945</v>
      </c>
      <c r="E51" s="39">
        <v>46091</v>
      </c>
      <c r="F51" s="39" t="s">
        <v>350</v>
      </c>
      <c r="G51" s="9">
        <v>64205</v>
      </c>
      <c r="H51" s="10">
        <v>61477</v>
      </c>
      <c r="I51" s="11">
        <v>125682</v>
      </c>
      <c r="J51" s="11">
        <f>IFERROR(VLOOKUP(B51,'Apr 26'!B:G,6,FALSE),0)</f>
        <v>64205</v>
      </c>
      <c r="K51" s="11">
        <v>0</v>
      </c>
      <c r="L51" s="11">
        <f t="shared" si="2"/>
        <v>0</v>
      </c>
    </row>
    <row r="52" spans="1:12" ht="16.5" thickTop="1" thickBot="1" x14ac:dyDescent="0.3">
      <c r="A52" s="5" t="s">
        <v>378</v>
      </c>
      <c r="B52" s="6">
        <v>85777</v>
      </c>
      <c r="C52" s="7" t="s">
        <v>37</v>
      </c>
      <c r="D52" s="39">
        <v>46093</v>
      </c>
      <c r="E52" s="39" t="s">
        <v>13</v>
      </c>
      <c r="F52" s="39" t="s">
        <v>13</v>
      </c>
      <c r="G52" s="9">
        <v>17769</v>
      </c>
      <c r="H52" s="10">
        <v>168389</v>
      </c>
      <c r="I52" s="11">
        <v>186158</v>
      </c>
      <c r="J52" s="11">
        <f>IFERROR(VLOOKUP(B52,'Apr 26'!B:G,6,FALSE),0)</f>
        <v>17769</v>
      </c>
      <c r="K52" s="11">
        <v>0</v>
      </c>
      <c r="L52" s="11">
        <f t="shared" si="2"/>
        <v>0</v>
      </c>
    </row>
    <row r="53" spans="1:12" ht="16.5" thickTop="1" thickBot="1" x14ac:dyDescent="0.3">
      <c r="A53" s="5" t="s">
        <v>288</v>
      </c>
      <c r="B53" s="6">
        <v>88087</v>
      </c>
      <c r="C53" s="7" t="s">
        <v>295</v>
      </c>
      <c r="D53" s="39">
        <v>46064</v>
      </c>
      <c r="E53" s="39">
        <v>46128</v>
      </c>
      <c r="F53" s="39" t="s">
        <v>643</v>
      </c>
      <c r="G53" s="9">
        <v>123085</v>
      </c>
      <c r="H53" s="10">
        <v>123084</v>
      </c>
      <c r="I53" s="11">
        <v>246169</v>
      </c>
      <c r="J53" s="11">
        <f>IFERROR(VLOOKUP(B53,'Apr 26'!B:G,6,FALSE),0)</f>
        <v>123085</v>
      </c>
      <c r="K53" s="11">
        <v>0</v>
      </c>
      <c r="L53" s="11">
        <f t="shared" si="2"/>
        <v>0</v>
      </c>
    </row>
    <row r="54" spans="1:12" ht="16.5" thickTop="1" thickBot="1" x14ac:dyDescent="0.3">
      <c r="A54" s="5" t="s">
        <v>122</v>
      </c>
      <c r="B54" s="6">
        <v>87161</v>
      </c>
      <c r="C54" s="7" t="s">
        <v>23</v>
      </c>
      <c r="D54" s="39">
        <v>45924</v>
      </c>
      <c r="E54" s="39">
        <v>45992</v>
      </c>
      <c r="F54" s="39">
        <v>46170</v>
      </c>
      <c r="G54" s="45">
        <v>0</v>
      </c>
      <c r="H54" s="10"/>
      <c r="I54" s="11"/>
      <c r="J54" s="11">
        <f>IFERROR(VLOOKUP(B54,'Apr 26'!B:G,6,FALSE),0)</f>
        <v>17417</v>
      </c>
      <c r="K54" s="11">
        <f>IF(G54=0,J54-G54,0)</f>
        <v>17417</v>
      </c>
      <c r="L54" s="11" t="s">
        <v>613</v>
      </c>
    </row>
    <row r="55" spans="1:12" ht="16.5" thickTop="1" thickBot="1" x14ac:dyDescent="0.3">
      <c r="A55" s="12" t="s">
        <v>663</v>
      </c>
      <c r="B55" s="13">
        <v>90600</v>
      </c>
      <c r="C55" s="14" t="s">
        <v>21</v>
      </c>
      <c r="D55" s="40" t="s">
        <v>670</v>
      </c>
      <c r="E55" s="40" t="s">
        <v>13</v>
      </c>
      <c r="F55" s="40" t="s">
        <v>13</v>
      </c>
      <c r="G55" s="16">
        <v>84439.3</v>
      </c>
      <c r="H55" s="17">
        <f>I55-G55</f>
        <v>0</v>
      </c>
      <c r="I55" s="18">
        <v>84439.3</v>
      </c>
      <c r="J55" s="18">
        <f>IFERROR(VLOOKUP(B55,'Apr 26'!B:G,6,FALSE),0)</f>
        <v>0</v>
      </c>
      <c r="K55" s="18">
        <v>0</v>
      </c>
      <c r="L55" s="18">
        <f>G55-J55</f>
        <v>84439.3</v>
      </c>
    </row>
    <row r="56" spans="1:12" ht="16.5" thickTop="1" thickBot="1" x14ac:dyDescent="0.3">
      <c r="A56" s="5" t="s">
        <v>623</v>
      </c>
      <c r="B56" s="6">
        <v>89338</v>
      </c>
      <c r="C56" s="7" t="s">
        <v>19</v>
      </c>
      <c r="D56" s="39">
        <v>46134</v>
      </c>
      <c r="E56" s="39" t="s">
        <v>13</v>
      </c>
      <c r="F56" s="39" t="s">
        <v>13</v>
      </c>
      <c r="G56" s="9">
        <v>14498</v>
      </c>
      <c r="H56" s="10">
        <f>I56-G56</f>
        <v>14498</v>
      </c>
      <c r="I56" s="11">
        <v>28996</v>
      </c>
      <c r="J56" s="11">
        <f>IFERROR(VLOOKUP(B56,'Apr 26'!B:G,6,FALSE),0)</f>
        <v>14498</v>
      </c>
      <c r="K56" s="11">
        <f>IF(G56=0,J56-G56,0)</f>
        <v>0</v>
      </c>
      <c r="L56" s="11">
        <f>G56-J56</f>
        <v>0</v>
      </c>
    </row>
    <row r="57" spans="1:12" ht="16.5" thickTop="1" thickBot="1" x14ac:dyDescent="0.3">
      <c r="A57" s="5" t="s">
        <v>503</v>
      </c>
      <c r="B57" s="6">
        <v>89554</v>
      </c>
      <c r="C57" s="7" t="s">
        <v>19</v>
      </c>
      <c r="D57" s="39">
        <v>46100</v>
      </c>
      <c r="E57" s="39">
        <v>46127</v>
      </c>
      <c r="F57" s="39">
        <v>46156</v>
      </c>
      <c r="G57" s="45">
        <v>0</v>
      </c>
      <c r="H57" s="10"/>
      <c r="I57" s="11"/>
      <c r="J57" s="11">
        <f>IFERROR(VLOOKUP(B57,'Apr 26'!B:G,6,FALSE),0)</f>
        <v>17304</v>
      </c>
      <c r="K57" s="11">
        <f>J57-G57</f>
        <v>17304</v>
      </c>
      <c r="L57" s="11" t="s">
        <v>613</v>
      </c>
    </row>
    <row r="58" spans="1:12" ht="16.5" thickTop="1" thickBot="1" x14ac:dyDescent="0.3">
      <c r="A58" s="5" t="s">
        <v>569</v>
      </c>
      <c r="B58" s="6">
        <v>83204</v>
      </c>
      <c r="C58" s="7" t="s">
        <v>14</v>
      </c>
      <c r="D58" s="39">
        <v>46108</v>
      </c>
      <c r="E58" s="39" t="s">
        <v>13</v>
      </c>
      <c r="F58" s="39" t="s">
        <v>13</v>
      </c>
      <c r="G58" s="9">
        <v>44368</v>
      </c>
      <c r="H58" s="10">
        <v>44368</v>
      </c>
      <c r="I58" s="11">
        <v>88736</v>
      </c>
      <c r="J58" s="11">
        <f>IFERROR(VLOOKUP(B58,'Apr 26'!B:G,6,FALSE),0)</f>
        <v>44368</v>
      </c>
      <c r="K58" s="11">
        <v>0</v>
      </c>
      <c r="L58" s="11">
        <f>G58-J58</f>
        <v>0</v>
      </c>
    </row>
    <row r="59" spans="1:12" ht="16.5" thickTop="1" thickBot="1" x14ac:dyDescent="0.3">
      <c r="A59" s="5" t="s">
        <v>355</v>
      </c>
      <c r="B59" s="6">
        <v>85495</v>
      </c>
      <c r="C59" s="7" t="s">
        <v>14</v>
      </c>
      <c r="D59" s="39">
        <v>46083</v>
      </c>
      <c r="E59" s="39">
        <v>46106</v>
      </c>
      <c r="F59" s="39">
        <v>46156</v>
      </c>
      <c r="G59" s="45">
        <v>0</v>
      </c>
      <c r="H59" s="10"/>
      <c r="I59" s="11"/>
      <c r="J59" s="11">
        <f>IFERROR(VLOOKUP(B59,'Apr 26'!B:G,6,FALSE),0)</f>
        <v>29175</v>
      </c>
      <c r="K59" s="11">
        <f>J59-G59</f>
        <v>29175</v>
      </c>
      <c r="L59" s="11" t="s">
        <v>613</v>
      </c>
    </row>
    <row r="60" spans="1:12" ht="16.5" thickTop="1" thickBot="1" x14ac:dyDescent="0.3">
      <c r="A60" s="5" t="s">
        <v>375</v>
      </c>
      <c r="B60" s="6">
        <v>88756</v>
      </c>
      <c r="C60" s="7" t="s">
        <v>23</v>
      </c>
      <c r="D60" s="39">
        <v>46092</v>
      </c>
      <c r="E60" s="39" t="s">
        <v>13</v>
      </c>
      <c r="F60" s="39" t="s">
        <v>13</v>
      </c>
      <c r="G60" s="9">
        <v>160000</v>
      </c>
      <c r="H60" s="10">
        <v>158239</v>
      </c>
      <c r="I60" s="11">
        <v>318239</v>
      </c>
      <c r="J60" s="11">
        <f>IFERROR(VLOOKUP(B60,'Apr 26'!B:G,6,FALSE),0)</f>
        <v>160000</v>
      </c>
      <c r="K60" s="11">
        <v>0</v>
      </c>
      <c r="L60" s="11">
        <f>G60-J60</f>
        <v>0</v>
      </c>
    </row>
    <row r="61" spans="1:12" ht="16.5" thickTop="1" thickBot="1" x14ac:dyDescent="0.3">
      <c r="A61" s="5" t="s">
        <v>372</v>
      </c>
      <c r="B61" s="6">
        <v>89698</v>
      </c>
      <c r="C61" s="7" t="s">
        <v>23</v>
      </c>
      <c r="D61" s="39">
        <v>46091</v>
      </c>
      <c r="E61" s="39">
        <v>46122</v>
      </c>
      <c r="F61" s="39">
        <v>46163</v>
      </c>
      <c r="G61" s="45">
        <v>0</v>
      </c>
      <c r="H61" s="10"/>
      <c r="I61" s="11"/>
      <c r="J61" s="11">
        <f>IFERROR(VLOOKUP(B61,'Apr 26'!B:G,6,FALSE),0)</f>
        <v>8935.32</v>
      </c>
      <c r="K61" s="11">
        <f>J61-G61</f>
        <v>8935.32</v>
      </c>
      <c r="L61" s="11" t="s">
        <v>613</v>
      </c>
    </row>
    <row r="62" spans="1:12" ht="16.5" thickTop="1" thickBot="1" x14ac:dyDescent="0.3">
      <c r="A62" s="5" t="s">
        <v>516</v>
      </c>
      <c r="B62" s="6">
        <v>88858</v>
      </c>
      <c r="C62" s="7" t="s">
        <v>23</v>
      </c>
      <c r="D62" s="39">
        <v>46105</v>
      </c>
      <c r="E62" s="39">
        <v>46134</v>
      </c>
      <c r="F62" s="39">
        <v>46170</v>
      </c>
      <c r="G62" s="45">
        <v>0</v>
      </c>
      <c r="H62" s="10"/>
      <c r="I62" s="11"/>
      <c r="J62" s="11">
        <f>IFERROR(VLOOKUP(B62,'Apr 26'!B:G,6,FALSE),0)</f>
        <v>16192</v>
      </c>
      <c r="K62" s="11">
        <f>IF(G62=0,J62-G62,0)</f>
        <v>16192</v>
      </c>
      <c r="L62" s="11" t="s">
        <v>613</v>
      </c>
    </row>
    <row r="63" spans="1:12" ht="16.5" thickTop="1" thickBot="1" x14ac:dyDescent="0.3">
      <c r="A63" s="5" t="s">
        <v>323</v>
      </c>
      <c r="B63" s="6">
        <v>88511</v>
      </c>
      <c r="C63" s="7" t="s">
        <v>23</v>
      </c>
      <c r="D63" s="39">
        <v>46072</v>
      </c>
      <c r="E63" s="39" t="s">
        <v>13</v>
      </c>
      <c r="F63" s="39" t="s">
        <v>13</v>
      </c>
      <c r="G63" s="9">
        <v>19222</v>
      </c>
      <c r="H63" s="10">
        <v>19222</v>
      </c>
      <c r="I63" s="11">
        <v>38444</v>
      </c>
      <c r="J63" s="11">
        <f>IFERROR(VLOOKUP(B63,'Apr 26'!B:G,6,FALSE),0)</f>
        <v>19222</v>
      </c>
      <c r="K63" s="11">
        <v>0</v>
      </c>
      <c r="L63" s="11">
        <f t="shared" ref="L63:L68" si="4">G63-J63</f>
        <v>0</v>
      </c>
    </row>
    <row r="64" spans="1:12" ht="16.5" thickTop="1" thickBot="1" x14ac:dyDescent="0.3">
      <c r="A64" s="5" t="s">
        <v>223</v>
      </c>
      <c r="B64" s="6">
        <v>83729</v>
      </c>
      <c r="C64" s="7" t="s">
        <v>23</v>
      </c>
      <c r="D64" s="39">
        <v>46028</v>
      </c>
      <c r="E64" s="39" t="s">
        <v>13</v>
      </c>
      <c r="F64" s="39" t="s">
        <v>13</v>
      </c>
      <c r="G64" s="9">
        <v>31223</v>
      </c>
      <c r="H64" s="10">
        <v>27501</v>
      </c>
      <c r="I64" s="11">
        <v>58724</v>
      </c>
      <c r="J64" s="11">
        <f>IFERROR(VLOOKUP(B64,'Apr 26'!B:G,6,FALSE),0)</f>
        <v>31223</v>
      </c>
      <c r="K64" s="11">
        <v>0</v>
      </c>
      <c r="L64" s="11">
        <f t="shared" si="4"/>
        <v>0</v>
      </c>
    </row>
    <row r="65" spans="1:12" ht="16.5" thickTop="1" thickBot="1" x14ac:dyDescent="0.3">
      <c r="A65" s="5" t="s">
        <v>679</v>
      </c>
      <c r="B65" s="6">
        <v>90688</v>
      </c>
      <c r="C65" s="7" t="s">
        <v>11</v>
      </c>
      <c r="D65" s="39">
        <v>46163</v>
      </c>
      <c r="E65" s="39" t="s">
        <v>13</v>
      </c>
      <c r="F65" s="39" t="s">
        <v>13</v>
      </c>
      <c r="G65" s="9">
        <v>11700</v>
      </c>
      <c r="H65" s="10">
        <f>I65-G65</f>
        <v>11755.11</v>
      </c>
      <c r="I65" s="11">
        <v>23455.11</v>
      </c>
      <c r="J65" s="11"/>
      <c r="K65" s="11"/>
      <c r="L65" s="11">
        <f t="shared" si="4"/>
        <v>11700</v>
      </c>
    </row>
    <row r="66" spans="1:12" ht="16.5" thickTop="1" thickBot="1" x14ac:dyDescent="0.3">
      <c r="A66" s="5" t="s">
        <v>504</v>
      </c>
      <c r="B66" s="6">
        <v>85504</v>
      </c>
      <c r="C66" s="7" t="s">
        <v>38</v>
      </c>
      <c r="D66" s="39">
        <v>46100</v>
      </c>
      <c r="E66" s="39" t="s">
        <v>13</v>
      </c>
      <c r="F66" s="39" t="s">
        <v>13</v>
      </c>
      <c r="G66" s="9">
        <v>151068</v>
      </c>
      <c r="H66" s="10">
        <v>151068</v>
      </c>
      <c r="I66" s="11">
        <v>302136</v>
      </c>
      <c r="J66" s="11">
        <f>IFERROR(VLOOKUP(B66,'Apr 26'!B:G,6,FALSE),0)</f>
        <v>151068</v>
      </c>
      <c r="K66" s="11">
        <v>0</v>
      </c>
      <c r="L66" s="11">
        <f t="shared" si="4"/>
        <v>0</v>
      </c>
    </row>
    <row r="67" spans="1:12" ht="16.5" thickTop="1" thickBot="1" x14ac:dyDescent="0.3">
      <c r="A67" s="5" t="s">
        <v>495</v>
      </c>
      <c r="B67" s="6">
        <v>89285</v>
      </c>
      <c r="C67" s="7" t="s">
        <v>40</v>
      </c>
      <c r="D67" s="39">
        <v>46098</v>
      </c>
      <c r="E67" s="39" t="s">
        <v>13</v>
      </c>
      <c r="F67" s="39" t="s">
        <v>13</v>
      </c>
      <c r="G67" s="9">
        <v>23405</v>
      </c>
      <c r="H67" s="10">
        <v>23404</v>
      </c>
      <c r="I67" s="11">
        <v>46809</v>
      </c>
      <c r="J67" s="11">
        <f>IFERROR(VLOOKUP(B67,'Apr 26'!B:G,6,FALSE),0)</f>
        <v>23405</v>
      </c>
      <c r="K67" s="11">
        <v>0</v>
      </c>
      <c r="L67" s="11">
        <f t="shared" si="4"/>
        <v>0</v>
      </c>
    </row>
    <row r="68" spans="1:12" ht="16.5" thickTop="1" thickBot="1" x14ac:dyDescent="0.3">
      <c r="A68" s="5" t="s">
        <v>640</v>
      </c>
      <c r="B68" s="6">
        <v>89324</v>
      </c>
      <c r="C68" s="6" t="s">
        <v>31</v>
      </c>
      <c r="D68" s="39">
        <v>46141</v>
      </c>
      <c r="E68" s="39" t="s">
        <v>13</v>
      </c>
      <c r="F68" s="39" t="s">
        <v>13</v>
      </c>
      <c r="G68" s="9">
        <v>15963</v>
      </c>
      <c r="H68" s="10">
        <f>I68-G68</f>
        <v>15962</v>
      </c>
      <c r="I68" s="11">
        <v>31925</v>
      </c>
      <c r="J68" s="11">
        <f>IFERROR(VLOOKUP(B68,'Apr 26'!B:G,6,FALSE),0)</f>
        <v>15963</v>
      </c>
      <c r="K68" s="11">
        <f>IF(G68=0,J68-G68,0)</f>
        <v>0</v>
      </c>
      <c r="L68" s="11">
        <f t="shared" si="4"/>
        <v>0</v>
      </c>
    </row>
    <row r="69" spans="1:12" ht="16.5" thickTop="1" thickBot="1" x14ac:dyDescent="0.3">
      <c r="A69" s="5" t="s">
        <v>575</v>
      </c>
      <c r="B69" s="6">
        <v>89984</v>
      </c>
      <c r="C69" s="7" t="s">
        <v>21</v>
      </c>
      <c r="D69" s="39">
        <v>46112</v>
      </c>
      <c r="E69" s="39">
        <v>46134</v>
      </c>
      <c r="F69" s="39">
        <v>46161</v>
      </c>
      <c r="G69" s="45">
        <v>0</v>
      </c>
      <c r="H69" s="10"/>
      <c r="I69" s="11"/>
      <c r="J69" s="11">
        <f>IFERROR(VLOOKUP(B69,'Apr 26'!B:G,6,FALSE),0)</f>
        <v>1897</v>
      </c>
      <c r="K69" s="11">
        <f>J69-G69</f>
        <v>1897</v>
      </c>
      <c r="L69" s="11" t="s">
        <v>613</v>
      </c>
    </row>
    <row r="70" spans="1:12" ht="16.5" thickTop="1" thickBot="1" x14ac:dyDescent="0.3">
      <c r="A70" s="5" t="s">
        <v>174</v>
      </c>
      <c r="B70" s="6">
        <v>86960</v>
      </c>
      <c r="C70" s="7" t="s">
        <v>38</v>
      </c>
      <c r="D70" s="39">
        <v>45986</v>
      </c>
      <c r="E70" s="39" t="s">
        <v>13</v>
      </c>
      <c r="F70" s="39" t="s">
        <v>13</v>
      </c>
      <c r="G70" s="9">
        <v>8962</v>
      </c>
      <c r="H70" s="10">
        <v>26885</v>
      </c>
      <c r="I70" s="11">
        <v>35847</v>
      </c>
      <c r="J70" s="11">
        <f>IFERROR(VLOOKUP(B70,'Apr 26'!B:G,6,FALSE),0)</f>
        <v>8962</v>
      </c>
      <c r="K70" s="11">
        <v>0</v>
      </c>
      <c r="L70" s="11">
        <f>G70-J70</f>
        <v>0</v>
      </c>
    </row>
    <row r="71" spans="1:12" ht="16.5" thickTop="1" thickBot="1" x14ac:dyDescent="0.3">
      <c r="A71" s="5" t="s">
        <v>632</v>
      </c>
      <c r="B71" s="6">
        <v>89760</v>
      </c>
      <c r="C71" s="7" t="s">
        <v>21</v>
      </c>
      <c r="D71" s="39">
        <v>46139</v>
      </c>
      <c r="E71" s="39" t="s">
        <v>13</v>
      </c>
      <c r="F71" s="39" t="s">
        <v>13</v>
      </c>
      <c r="G71" s="9">
        <v>5641</v>
      </c>
      <c r="H71" s="10">
        <f>I71-G71</f>
        <v>5640</v>
      </c>
      <c r="I71" s="11">
        <v>11281</v>
      </c>
      <c r="J71" s="11">
        <f>IFERROR(VLOOKUP(B71,'Apr 26'!B:G,6,FALSE),0)</f>
        <v>5641</v>
      </c>
      <c r="K71" s="11">
        <f>IF(G71=0,J71-G71,0)</f>
        <v>0</v>
      </c>
      <c r="L71" s="11">
        <f>G71-J71</f>
        <v>0</v>
      </c>
    </row>
    <row r="72" spans="1:12" ht="16.5" thickTop="1" thickBot="1" x14ac:dyDescent="0.3">
      <c r="A72" s="5" t="s">
        <v>587</v>
      </c>
      <c r="B72" s="6">
        <v>85987</v>
      </c>
      <c r="C72" s="7" t="s">
        <v>14</v>
      </c>
      <c r="D72" s="39">
        <v>46115</v>
      </c>
      <c r="E72" s="39" t="s">
        <v>13</v>
      </c>
      <c r="F72" s="39" t="s">
        <v>13</v>
      </c>
      <c r="G72" s="9">
        <v>68043</v>
      </c>
      <c r="H72" s="10">
        <f>I72-G72</f>
        <v>68042</v>
      </c>
      <c r="I72" s="11">
        <v>136085</v>
      </c>
      <c r="J72" s="11">
        <f>IFERROR(VLOOKUP(B72,'Apr 26'!B:G,6,FALSE),0)</f>
        <v>68043</v>
      </c>
      <c r="K72" s="11">
        <v>0</v>
      </c>
      <c r="L72" s="11">
        <f>G72-J72</f>
        <v>0</v>
      </c>
    </row>
    <row r="73" spans="1:12" ht="16.5" thickTop="1" thickBot="1" x14ac:dyDescent="0.3">
      <c r="A73" s="5" t="s">
        <v>334</v>
      </c>
      <c r="B73" s="6">
        <v>84692</v>
      </c>
      <c r="C73" s="7" t="s">
        <v>62</v>
      </c>
      <c r="D73" s="39">
        <v>46076</v>
      </c>
      <c r="E73" s="39">
        <v>46100</v>
      </c>
      <c r="F73" s="39">
        <v>46171</v>
      </c>
      <c r="G73" s="45">
        <v>0</v>
      </c>
      <c r="H73" s="10"/>
      <c r="I73" s="11"/>
      <c r="J73" s="11">
        <f>IFERROR(VLOOKUP(B73,'Apr 26'!B:G,6,FALSE),0)</f>
        <v>5345</v>
      </c>
      <c r="K73" s="11">
        <f>IF(G73=0,J73-G73,0)</f>
        <v>5345</v>
      </c>
      <c r="L73" s="11" t="s">
        <v>613</v>
      </c>
    </row>
    <row r="74" spans="1:12" ht="16.5" thickTop="1" thickBot="1" x14ac:dyDescent="0.3">
      <c r="A74" s="5" t="s">
        <v>382</v>
      </c>
      <c r="B74" s="6">
        <v>84161</v>
      </c>
      <c r="C74" s="7" t="s">
        <v>76</v>
      </c>
      <c r="D74" s="39">
        <v>46013</v>
      </c>
      <c r="E74" s="39" t="s">
        <v>13</v>
      </c>
      <c r="F74" s="39" t="s">
        <v>13</v>
      </c>
      <c r="G74" s="9">
        <v>176687</v>
      </c>
      <c r="H74" s="10">
        <v>176686</v>
      </c>
      <c r="I74" s="11">
        <v>353373</v>
      </c>
      <c r="J74" s="11">
        <f>IFERROR(VLOOKUP(B74,'Apr 26'!B:G,6,FALSE),0)</f>
        <v>176687</v>
      </c>
      <c r="K74" s="11">
        <v>0</v>
      </c>
      <c r="L74" s="11">
        <f>G74-J74</f>
        <v>0</v>
      </c>
    </row>
    <row r="75" spans="1:12" ht="16.5" thickTop="1" thickBot="1" x14ac:dyDescent="0.3">
      <c r="A75" s="5" t="s">
        <v>101</v>
      </c>
      <c r="B75" s="6" t="s">
        <v>219</v>
      </c>
      <c r="C75" s="7" t="s">
        <v>76</v>
      </c>
      <c r="D75" s="39">
        <v>45868</v>
      </c>
      <c r="E75" s="39" t="s">
        <v>13</v>
      </c>
      <c r="F75" s="39" t="s">
        <v>13</v>
      </c>
      <c r="G75" s="9">
        <v>114974</v>
      </c>
      <c r="H75" s="10">
        <v>114973</v>
      </c>
      <c r="I75" s="11">
        <v>229947</v>
      </c>
      <c r="J75" s="11">
        <f>IFERROR(VLOOKUP(B75,'Apr 26'!B:G,6,FALSE),0)</f>
        <v>114974</v>
      </c>
      <c r="K75" s="11">
        <v>0</v>
      </c>
      <c r="L75" s="11">
        <f>G75-J75</f>
        <v>0</v>
      </c>
    </row>
    <row r="76" spans="1:12" ht="16.5" thickTop="1" thickBot="1" x14ac:dyDescent="0.3">
      <c r="A76" s="5" t="s">
        <v>588</v>
      </c>
      <c r="B76" s="6">
        <v>89675</v>
      </c>
      <c r="C76" s="7" t="s">
        <v>20</v>
      </c>
      <c r="D76" s="39">
        <v>46114</v>
      </c>
      <c r="E76" s="39">
        <v>46139</v>
      </c>
      <c r="F76" s="39">
        <v>46171</v>
      </c>
      <c r="G76" s="45">
        <v>0</v>
      </c>
      <c r="H76" s="10"/>
      <c r="I76" s="11"/>
      <c r="J76" s="11">
        <f>IFERROR(VLOOKUP(B76,'Apr 26'!B:G,6,FALSE),0)</f>
        <v>6002</v>
      </c>
      <c r="K76" s="11">
        <f>IF(G76=0,J76-G76,0)</f>
        <v>6002</v>
      </c>
      <c r="L76" s="11" t="s">
        <v>613</v>
      </c>
    </row>
    <row r="77" spans="1:12" ht="16.5" thickTop="1" thickBot="1" x14ac:dyDescent="0.3">
      <c r="A77" s="5" t="s">
        <v>286</v>
      </c>
      <c r="B77" s="6">
        <v>87492</v>
      </c>
      <c r="C77" s="7" t="s">
        <v>295</v>
      </c>
      <c r="D77" s="39">
        <v>46063</v>
      </c>
      <c r="E77" s="39" t="s">
        <v>13</v>
      </c>
      <c r="F77" s="39" t="s">
        <v>13</v>
      </c>
      <c r="G77" s="9">
        <v>22079</v>
      </c>
      <c r="H77" s="10">
        <v>22079</v>
      </c>
      <c r="I77" s="11">
        <v>44158</v>
      </c>
      <c r="J77" s="11">
        <f>IFERROR(VLOOKUP(B77,'Apr 26'!B:G,6,FALSE),0)</f>
        <v>22079</v>
      </c>
      <c r="K77" s="11">
        <v>0</v>
      </c>
      <c r="L77" s="11">
        <f>G77-J77</f>
        <v>0</v>
      </c>
    </row>
    <row r="78" spans="1:12" ht="16.5" thickTop="1" thickBot="1" x14ac:dyDescent="0.3">
      <c r="A78" s="5" t="s">
        <v>339</v>
      </c>
      <c r="B78" s="6">
        <v>89313</v>
      </c>
      <c r="C78" s="7" t="s">
        <v>23</v>
      </c>
      <c r="D78" s="39">
        <v>46079</v>
      </c>
      <c r="E78" s="39">
        <v>46111</v>
      </c>
      <c r="F78" s="39">
        <v>46146</v>
      </c>
      <c r="G78" s="45">
        <v>0</v>
      </c>
      <c r="H78" s="10"/>
      <c r="I78" s="11"/>
      <c r="J78" s="11">
        <f>IFERROR(VLOOKUP(B78,'Apr 26'!B:G,6,FALSE),0)</f>
        <v>8773</v>
      </c>
      <c r="K78" s="11">
        <f>J78-G78</f>
        <v>8773</v>
      </c>
      <c r="L78" s="11" t="s">
        <v>613</v>
      </c>
    </row>
    <row r="79" spans="1:12" ht="16.5" thickTop="1" thickBot="1" x14ac:dyDescent="0.3">
      <c r="A79" s="5" t="s">
        <v>589</v>
      </c>
      <c r="B79" s="6">
        <v>88818</v>
      </c>
      <c r="C79" s="7" t="s">
        <v>610</v>
      </c>
      <c r="D79" s="39">
        <v>46121</v>
      </c>
      <c r="E79" s="39" t="s">
        <v>13</v>
      </c>
      <c r="F79" s="39" t="s">
        <v>13</v>
      </c>
      <c r="G79" s="9">
        <v>15127</v>
      </c>
      <c r="H79" s="10">
        <f>I79-G79</f>
        <v>15126</v>
      </c>
      <c r="I79" s="11">
        <v>30253</v>
      </c>
      <c r="J79" s="11">
        <f>IFERROR(VLOOKUP(B79,'Apr 26'!B:G,6,FALSE),0)</f>
        <v>15127</v>
      </c>
      <c r="K79" s="11">
        <v>0</v>
      </c>
      <c r="L79" s="11">
        <f t="shared" ref="L79:L85" si="5">G79-J79</f>
        <v>0</v>
      </c>
    </row>
    <row r="80" spans="1:12" ht="16.5" thickTop="1" thickBot="1" x14ac:dyDescent="0.3">
      <c r="A80" s="5" t="s">
        <v>330</v>
      </c>
      <c r="B80" s="6">
        <v>88082</v>
      </c>
      <c r="C80" s="7" t="s">
        <v>14</v>
      </c>
      <c r="D80" s="39">
        <v>46076</v>
      </c>
      <c r="E80" s="39" t="s">
        <v>13</v>
      </c>
      <c r="F80" s="39" t="s">
        <v>13</v>
      </c>
      <c r="G80" s="9">
        <v>35295</v>
      </c>
      <c r="H80" s="10">
        <v>35294</v>
      </c>
      <c r="I80" s="11">
        <v>70589</v>
      </c>
      <c r="J80" s="11">
        <f>IFERROR(VLOOKUP(B80,'Apr 26'!B:G,6,FALSE),0)</f>
        <v>35295</v>
      </c>
      <c r="K80" s="11">
        <v>0</v>
      </c>
      <c r="L80" s="11">
        <f t="shared" si="5"/>
        <v>0</v>
      </c>
    </row>
    <row r="81" spans="1:12" ht="16.5" thickTop="1" thickBot="1" x14ac:dyDescent="0.3">
      <c r="A81" s="5" t="s">
        <v>693</v>
      </c>
      <c r="B81" s="6">
        <v>89539</v>
      </c>
      <c r="C81" s="7" t="s">
        <v>14</v>
      </c>
      <c r="D81" s="39">
        <v>46170</v>
      </c>
      <c r="E81" s="39" t="s">
        <v>13</v>
      </c>
      <c r="F81" s="39" t="s">
        <v>13</v>
      </c>
      <c r="G81" s="9">
        <v>32606</v>
      </c>
      <c r="H81" s="10">
        <f>I81-G81</f>
        <v>32606</v>
      </c>
      <c r="I81" s="11">
        <v>65212</v>
      </c>
      <c r="J81" s="11"/>
      <c r="K81" s="11"/>
      <c r="L81" s="11">
        <f t="shared" si="5"/>
        <v>32606</v>
      </c>
    </row>
    <row r="82" spans="1:12" ht="16.5" thickTop="1" thickBot="1" x14ac:dyDescent="0.3">
      <c r="A82" s="5" t="s">
        <v>363</v>
      </c>
      <c r="B82" s="6">
        <v>88012</v>
      </c>
      <c r="C82" s="7" t="s">
        <v>17</v>
      </c>
      <c r="D82" s="39">
        <v>46086</v>
      </c>
      <c r="E82" s="39" t="s">
        <v>13</v>
      </c>
      <c r="F82" s="39" t="s">
        <v>13</v>
      </c>
      <c r="G82" s="9">
        <v>25461</v>
      </c>
      <c r="H82" s="10">
        <v>25461</v>
      </c>
      <c r="I82" s="11">
        <v>50922</v>
      </c>
      <c r="J82" s="11">
        <f>IFERROR(VLOOKUP(B82,'Apr 26'!B:G,6,FALSE),0)</f>
        <v>25461</v>
      </c>
      <c r="K82" s="11">
        <v>0</v>
      </c>
      <c r="L82" s="11">
        <f t="shared" si="5"/>
        <v>0</v>
      </c>
    </row>
    <row r="83" spans="1:12" ht="16.5" thickTop="1" thickBot="1" x14ac:dyDescent="0.3">
      <c r="A83" s="5" t="s">
        <v>657</v>
      </c>
      <c r="B83" s="6">
        <v>90365</v>
      </c>
      <c r="C83" s="7" t="s">
        <v>38</v>
      </c>
      <c r="D83" s="39" t="s">
        <v>667</v>
      </c>
      <c r="E83" s="39" t="s">
        <v>13</v>
      </c>
      <c r="F83" s="39" t="s">
        <v>13</v>
      </c>
      <c r="G83" s="9">
        <v>12373</v>
      </c>
      <c r="H83" s="10">
        <f>I83-G83</f>
        <v>12372.529999999999</v>
      </c>
      <c r="I83" s="11">
        <v>24745.53</v>
      </c>
      <c r="J83" s="11">
        <f>IFERROR(VLOOKUP(B83,'Apr 26'!B:G,6,FALSE),0)</f>
        <v>0</v>
      </c>
      <c r="K83" s="11">
        <v>0</v>
      </c>
      <c r="L83" s="11">
        <f t="shared" si="5"/>
        <v>12373</v>
      </c>
    </row>
    <row r="84" spans="1:12" ht="16.5" thickTop="1" thickBot="1" x14ac:dyDescent="0.3">
      <c r="A84" s="12" t="s">
        <v>652</v>
      </c>
      <c r="B84" s="13">
        <v>88675</v>
      </c>
      <c r="C84" s="14" t="s">
        <v>21</v>
      </c>
      <c r="D84" s="40">
        <v>46149</v>
      </c>
      <c r="E84" s="40" t="s">
        <v>13</v>
      </c>
      <c r="F84" s="40" t="s">
        <v>13</v>
      </c>
      <c r="G84" s="16">
        <v>51194.18</v>
      </c>
      <c r="H84" s="17">
        <f>I84-G84</f>
        <v>0</v>
      </c>
      <c r="I84" s="18">
        <v>51194.18</v>
      </c>
      <c r="J84" s="18">
        <f>IFERROR(VLOOKUP(B84,'Apr 26'!B:G,6,FALSE),0)</f>
        <v>0</v>
      </c>
      <c r="K84" s="18">
        <v>0</v>
      </c>
      <c r="L84" s="18">
        <f t="shared" si="5"/>
        <v>51194.18</v>
      </c>
    </row>
    <row r="85" spans="1:12" ht="16.5" thickTop="1" thickBot="1" x14ac:dyDescent="0.3">
      <c r="A85" s="5" t="s">
        <v>678</v>
      </c>
      <c r="B85" s="6">
        <v>90930</v>
      </c>
      <c r="C85" s="7" t="s">
        <v>40</v>
      </c>
      <c r="D85" s="39">
        <v>46163</v>
      </c>
      <c r="E85" s="39" t="s">
        <v>13</v>
      </c>
      <c r="F85" s="39" t="s">
        <v>13</v>
      </c>
      <c r="G85" s="9">
        <v>28888.91</v>
      </c>
      <c r="H85" s="10">
        <f>I85-G85</f>
        <v>28888.91</v>
      </c>
      <c r="I85" s="11">
        <v>57777.82</v>
      </c>
      <c r="J85" s="11"/>
      <c r="K85" s="11"/>
      <c r="L85" s="11">
        <f t="shared" si="5"/>
        <v>28888.91</v>
      </c>
    </row>
    <row r="86" spans="1:12" ht="16.5" thickTop="1" thickBot="1" x14ac:dyDescent="0.3">
      <c r="A86" s="12" t="s">
        <v>34</v>
      </c>
      <c r="B86" s="13">
        <v>76624</v>
      </c>
      <c r="C86" s="14" t="s">
        <v>14</v>
      </c>
      <c r="D86" s="40" t="s">
        <v>580</v>
      </c>
      <c r="E86" s="40">
        <v>46038</v>
      </c>
      <c r="F86" s="40">
        <v>46146</v>
      </c>
      <c r="G86" s="45">
        <v>0</v>
      </c>
      <c r="H86" s="17"/>
      <c r="I86" s="18"/>
      <c r="J86" s="18">
        <f>IFERROR(VLOOKUP(B86,'Apr 26'!B:G,6,FALSE),0)</f>
        <v>82176</v>
      </c>
      <c r="K86" s="18">
        <f>J86-G86</f>
        <v>82176</v>
      </c>
      <c r="L86" s="18" t="s">
        <v>613</v>
      </c>
    </row>
    <row r="87" spans="1:12" ht="16.5" thickTop="1" thickBot="1" x14ac:dyDescent="0.3">
      <c r="A87" s="5" t="s">
        <v>590</v>
      </c>
      <c r="B87" s="6">
        <v>89287</v>
      </c>
      <c r="C87" s="7" t="s">
        <v>62</v>
      </c>
      <c r="D87" s="39">
        <v>46113</v>
      </c>
      <c r="E87" s="39" t="s">
        <v>13</v>
      </c>
      <c r="F87" s="39" t="s">
        <v>13</v>
      </c>
      <c r="G87" s="9">
        <v>89586</v>
      </c>
      <c r="H87" s="10">
        <f t="shared" ref="H87:H92" si="6">I87-G87</f>
        <v>89585</v>
      </c>
      <c r="I87" s="11">
        <v>179171</v>
      </c>
      <c r="J87" s="11">
        <f>IFERROR(VLOOKUP(B87,'Apr 26'!B:G,6,FALSE),0)</f>
        <v>89586</v>
      </c>
      <c r="K87" s="11">
        <v>0</v>
      </c>
      <c r="L87" s="11">
        <f t="shared" ref="L87:L97" si="7">G87-J87</f>
        <v>0</v>
      </c>
    </row>
    <row r="88" spans="1:12" ht="16.5" thickTop="1" thickBot="1" x14ac:dyDescent="0.3">
      <c r="A88" s="5" t="s">
        <v>664</v>
      </c>
      <c r="B88" s="6">
        <v>90716</v>
      </c>
      <c r="C88" s="7" t="s">
        <v>21</v>
      </c>
      <c r="D88" s="39" t="s">
        <v>670</v>
      </c>
      <c r="E88" s="39" t="s">
        <v>13</v>
      </c>
      <c r="F88" s="39" t="s">
        <v>13</v>
      </c>
      <c r="G88" s="9">
        <v>11932</v>
      </c>
      <c r="H88" s="10">
        <f t="shared" si="6"/>
        <v>11931</v>
      </c>
      <c r="I88" s="11">
        <v>23863</v>
      </c>
      <c r="J88" s="11">
        <f>IFERROR(VLOOKUP(B88,'Apr 26'!B:G,6,FALSE),0)</f>
        <v>0</v>
      </c>
      <c r="K88" s="11">
        <v>0</v>
      </c>
      <c r="L88" s="11">
        <f t="shared" si="7"/>
        <v>11932</v>
      </c>
    </row>
    <row r="89" spans="1:12" ht="16.5" thickTop="1" thickBot="1" x14ac:dyDescent="0.3">
      <c r="A89" s="5" t="s">
        <v>591</v>
      </c>
      <c r="B89" s="6">
        <v>89055</v>
      </c>
      <c r="C89" s="7" t="s">
        <v>14</v>
      </c>
      <c r="D89" s="39">
        <v>46120</v>
      </c>
      <c r="E89" s="39" t="s">
        <v>13</v>
      </c>
      <c r="F89" s="39" t="s">
        <v>13</v>
      </c>
      <c r="G89" s="9">
        <v>8582</v>
      </c>
      <c r="H89" s="10">
        <f t="shared" si="6"/>
        <v>8582</v>
      </c>
      <c r="I89" s="11">
        <v>17164</v>
      </c>
      <c r="J89" s="11">
        <f>IFERROR(VLOOKUP(B89,'Apr 26'!B:G,6,FALSE),0)</f>
        <v>8582</v>
      </c>
      <c r="K89" s="11">
        <v>0</v>
      </c>
      <c r="L89" s="11">
        <f t="shared" si="7"/>
        <v>0</v>
      </c>
    </row>
    <row r="90" spans="1:12" ht="16.5" thickTop="1" thickBot="1" x14ac:dyDescent="0.3">
      <c r="A90" s="5" t="s">
        <v>592</v>
      </c>
      <c r="B90" s="6">
        <v>87359</v>
      </c>
      <c r="C90" s="7" t="s">
        <v>612</v>
      </c>
      <c r="D90" s="39">
        <v>46125</v>
      </c>
      <c r="E90" s="39" t="s">
        <v>13</v>
      </c>
      <c r="F90" s="39" t="s">
        <v>13</v>
      </c>
      <c r="G90" s="9">
        <v>19467</v>
      </c>
      <c r="H90" s="10">
        <f t="shared" si="6"/>
        <v>19466</v>
      </c>
      <c r="I90" s="11">
        <v>38933</v>
      </c>
      <c r="J90" s="11">
        <f>IFERROR(VLOOKUP(B90,'Apr 26'!B:G,6,FALSE),0)</f>
        <v>19467</v>
      </c>
      <c r="K90" s="11">
        <v>0</v>
      </c>
      <c r="L90" s="11">
        <f t="shared" si="7"/>
        <v>0</v>
      </c>
    </row>
    <row r="91" spans="1:12" ht="16.5" thickTop="1" thickBot="1" x14ac:dyDescent="0.3">
      <c r="A91" s="12" t="s">
        <v>593</v>
      </c>
      <c r="B91" s="13">
        <v>89412</v>
      </c>
      <c r="C91" s="14" t="s">
        <v>23</v>
      </c>
      <c r="D91" s="40">
        <v>46126</v>
      </c>
      <c r="E91" s="40" t="s">
        <v>13</v>
      </c>
      <c r="F91" s="40" t="s">
        <v>13</v>
      </c>
      <c r="G91" s="16">
        <v>20897</v>
      </c>
      <c r="H91" s="17">
        <f t="shared" si="6"/>
        <v>0</v>
      </c>
      <c r="I91" s="18">
        <v>20897</v>
      </c>
      <c r="J91" s="18">
        <f>IFERROR(VLOOKUP(B91,'Apr 26'!B:G,6,FALSE),0)</f>
        <v>20897</v>
      </c>
      <c r="K91" s="18">
        <v>0</v>
      </c>
      <c r="L91" s="18">
        <f t="shared" si="7"/>
        <v>0</v>
      </c>
    </row>
    <row r="92" spans="1:12" ht="16.5" thickTop="1" thickBot="1" x14ac:dyDescent="0.3">
      <c r="A92" s="12" t="s">
        <v>594</v>
      </c>
      <c r="B92" s="13">
        <v>89867</v>
      </c>
      <c r="C92" s="14" t="s">
        <v>23</v>
      </c>
      <c r="D92" s="40">
        <v>46126</v>
      </c>
      <c r="E92" s="40" t="s">
        <v>13</v>
      </c>
      <c r="F92" s="40" t="s">
        <v>13</v>
      </c>
      <c r="G92" s="16">
        <v>14271.62</v>
      </c>
      <c r="H92" s="17">
        <f t="shared" si="6"/>
        <v>0</v>
      </c>
      <c r="I92" s="18">
        <v>14271.62</v>
      </c>
      <c r="J92" s="18">
        <f>IFERROR(VLOOKUP(B92,'Apr 26'!B:G,6,FALSE),0)</f>
        <v>14271.62</v>
      </c>
      <c r="K92" s="18">
        <v>0</v>
      </c>
      <c r="L92" s="18">
        <f t="shared" si="7"/>
        <v>0</v>
      </c>
    </row>
    <row r="93" spans="1:12" ht="16.5" thickTop="1" thickBot="1" x14ac:dyDescent="0.3">
      <c r="A93" s="5" t="s">
        <v>70</v>
      </c>
      <c r="B93" s="6">
        <v>82632</v>
      </c>
      <c r="C93" s="7" t="s">
        <v>71</v>
      </c>
      <c r="D93" s="39">
        <v>45758</v>
      </c>
      <c r="E93" s="39" t="s">
        <v>13</v>
      </c>
      <c r="F93" s="39" t="s">
        <v>13</v>
      </c>
      <c r="G93" s="9">
        <v>109478</v>
      </c>
      <c r="H93" s="10">
        <v>109478</v>
      </c>
      <c r="I93" s="11">
        <v>218956</v>
      </c>
      <c r="J93" s="11">
        <f>IFERROR(VLOOKUP(B93,'Apr 26'!B:G,6,FALSE),0)</f>
        <v>109478</v>
      </c>
      <c r="K93" s="11">
        <v>0</v>
      </c>
      <c r="L93" s="11">
        <f t="shared" si="7"/>
        <v>0</v>
      </c>
    </row>
    <row r="94" spans="1:12" ht="16.5" thickTop="1" thickBot="1" x14ac:dyDescent="0.3">
      <c r="A94" s="5" t="s">
        <v>686</v>
      </c>
      <c r="B94" s="6">
        <v>87391</v>
      </c>
      <c r="C94" s="7" t="s">
        <v>19</v>
      </c>
      <c r="D94" s="39">
        <v>46168</v>
      </c>
      <c r="E94" s="39" t="s">
        <v>13</v>
      </c>
      <c r="F94" s="39" t="s">
        <v>13</v>
      </c>
      <c r="G94" s="9">
        <v>60000</v>
      </c>
      <c r="H94" s="10">
        <f>I94-G94</f>
        <v>42519</v>
      </c>
      <c r="I94" s="11">
        <v>102519</v>
      </c>
      <c r="J94" s="11"/>
      <c r="K94" s="11"/>
      <c r="L94" s="11">
        <f t="shared" si="7"/>
        <v>60000</v>
      </c>
    </row>
    <row r="95" spans="1:12" ht="16.5" thickTop="1" thickBot="1" x14ac:dyDescent="0.3">
      <c r="A95" s="12" t="s">
        <v>666</v>
      </c>
      <c r="B95" s="13">
        <v>90134</v>
      </c>
      <c r="C95" s="14" t="s">
        <v>19</v>
      </c>
      <c r="D95" s="40" t="s">
        <v>670</v>
      </c>
      <c r="E95" s="40" t="s">
        <v>13</v>
      </c>
      <c r="F95" s="40" t="s">
        <v>13</v>
      </c>
      <c r="G95" s="16">
        <v>19000</v>
      </c>
      <c r="H95" s="17">
        <f>I95-G95</f>
        <v>0</v>
      </c>
      <c r="I95" s="18">
        <v>19000</v>
      </c>
      <c r="J95" s="18">
        <f>IFERROR(VLOOKUP(B95,'Apr 26'!B:G,6,FALSE),0)</f>
        <v>0</v>
      </c>
      <c r="K95" s="18">
        <v>0</v>
      </c>
      <c r="L95" s="18">
        <f t="shared" si="7"/>
        <v>19000</v>
      </c>
    </row>
    <row r="96" spans="1:12" ht="16.5" thickTop="1" thickBot="1" x14ac:dyDescent="0.3">
      <c r="A96" s="5" t="s">
        <v>103</v>
      </c>
      <c r="B96" s="6">
        <v>84210</v>
      </c>
      <c r="C96" s="7" t="s">
        <v>44</v>
      </c>
      <c r="D96" s="39">
        <v>45876</v>
      </c>
      <c r="E96" s="39" t="s">
        <v>13</v>
      </c>
      <c r="F96" s="39" t="s">
        <v>13</v>
      </c>
      <c r="G96" s="9">
        <v>31567</v>
      </c>
      <c r="H96" s="10">
        <v>46437</v>
      </c>
      <c r="I96" s="11">
        <v>78004</v>
      </c>
      <c r="J96" s="11">
        <f>IFERROR(VLOOKUP(B96,'Apr 26'!B:G,6,FALSE),0)</f>
        <v>31567</v>
      </c>
      <c r="K96" s="11">
        <v>0</v>
      </c>
      <c r="L96" s="11">
        <f t="shared" si="7"/>
        <v>0</v>
      </c>
    </row>
    <row r="97" spans="1:12" ht="16.5" thickTop="1" thickBot="1" x14ac:dyDescent="0.3">
      <c r="A97" s="5" t="s">
        <v>231</v>
      </c>
      <c r="B97" s="6">
        <v>88433</v>
      </c>
      <c r="C97" s="7" t="s">
        <v>14</v>
      </c>
      <c r="D97" s="39">
        <v>46036</v>
      </c>
      <c r="E97" s="39" t="s">
        <v>13</v>
      </c>
      <c r="F97" s="39" t="s">
        <v>13</v>
      </c>
      <c r="G97" s="9">
        <f>80538+4404.5</f>
        <v>84942.5</v>
      </c>
      <c r="H97" s="10">
        <v>80538</v>
      </c>
      <c r="I97" s="11">
        <v>161076</v>
      </c>
      <c r="J97" s="11">
        <f>IFERROR(VLOOKUP(B97,'Apr 26'!B:G,6,FALSE),0)</f>
        <v>80538</v>
      </c>
      <c r="K97" s="11">
        <v>0</v>
      </c>
      <c r="L97" s="11">
        <f t="shared" si="7"/>
        <v>4404.5</v>
      </c>
    </row>
    <row r="98" spans="1:12" ht="16.5" thickTop="1" thickBot="1" x14ac:dyDescent="0.3">
      <c r="A98" s="5" t="s">
        <v>184</v>
      </c>
      <c r="B98" s="6">
        <v>87792</v>
      </c>
      <c r="C98" s="7" t="s">
        <v>31</v>
      </c>
      <c r="D98" s="39">
        <v>45992</v>
      </c>
      <c r="E98" s="39">
        <v>46045</v>
      </c>
      <c r="F98" s="39">
        <v>46164</v>
      </c>
      <c r="G98" s="45">
        <v>0</v>
      </c>
      <c r="H98" s="10"/>
      <c r="I98" s="11"/>
      <c r="J98" s="11">
        <f>IFERROR(VLOOKUP(B98,'Apr 26'!B:G,6,FALSE),0)</f>
        <v>49733</v>
      </c>
      <c r="K98" s="11">
        <f>J98-G98</f>
        <v>49733</v>
      </c>
      <c r="L98" s="11" t="s">
        <v>613</v>
      </c>
    </row>
    <row r="99" spans="1:12" ht="16.5" thickTop="1" thickBot="1" x14ac:dyDescent="0.3">
      <c r="A99" s="5" t="s">
        <v>86</v>
      </c>
      <c r="B99" s="6">
        <v>85175</v>
      </c>
      <c r="C99" s="7" t="s">
        <v>87</v>
      </c>
      <c r="D99" s="39">
        <v>46084</v>
      </c>
      <c r="E99" s="39" t="s">
        <v>13</v>
      </c>
      <c r="F99" s="39" t="s">
        <v>13</v>
      </c>
      <c r="G99" s="9">
        <v>22778</v>
      </c>
      <c r="H99" s="10">
        <v>22779</v>
      </c>
      <c r="I99" s="11">
        <v>45557</v>
      </c>
      <c r="J99" s="11">
        <f>IFERROR(VLOOKUP(B99,'Apr 26'!B:G,6,FALSE),0)</f>
        <v>22778</v>
      </c>
      <c r="K99" s="11">
        <v>0</v>
      </c>
      <c r="L99" s="11">
        <f t="shared" ref="L99:L106" si="8">G99-J99</f>
        <v>0</v>
      </c>
    </row>
    <row r="100" spans="1:12" ht="16.5" thickTop="1" thickBot="1" x14ac:dyDescent="0.3">
      <c r="A100" s="5" t="s">
        <v>626</v>
      </c>
      <c r="B100" s="6">
        <v>88155</v>
      </c>
      <c r="C100" s="7" t="s">
        <v>23</v>
      </c>
      <c r="D100" s="39">
        <v>46135</v>
      </c>
      <c r="E100" s="39" t="s">
        <v>13</v>
      </c>
      <c r="F100" s="39" t="s">
        <v>13</v>
      </c>
      <c r="G100" s="9">
        <v>26625</v>
      </c>
      <c r="H100" s="10">
        <f>I100-G100</f>
        <v>26625</v>
      </c>
      <c r="I100" s="11">
        <v>53250</v>
      </c>
      <c r="J100" s="11">
        <f>IFERROR(VLOOKUP(B100,'Apr 26'!B:G,6,FALSE),0)</f>
        <v>26625</v>
      </c>
      <c r="K100" s="11">
        <f>IF(G100=0,J100-G100,0)</f>
        <v>0</v>
      </c>
      <c r="L100" s="11">
        <f t="shared" si="8"/>
        <v>0</v>
      </c>
    </row>
    <row r="101" spans="1:12" ht="16.5" thickTop="1" thickBot="1" x14ac:dyDescent="0.3">
      <c r="A101" s="5" t="s">
        <v>203</v>
      </c>
      <c r="B101" s="6">
        <v>87488</v>
      </c>
      <c r="C101" s="7" t="s">
        <v>14</v>
      </c>
      <c r="D101" s="39">
        <v>46007</v>
      </c>
      <c r="E101" s="39" t="s">
        <v>13</v>
      </c>
      <c r="F101" s="39" t="s">
        <v>13</v>
      </c>
      <c r="G101" s="9">
        <v>17613</v>
      </c>
      <c r="H101" s="10">
        <v>17612</v>
      </c>
      <c r="I101" s="11">
        <v>35225</v>
      </c>
      <c r="J101" s="11">
        <f>IFERROR(VLOOKUP(B101,'Apr 26'!B:G,6,FALSE),0)</f>
        <v>17613</v>
      </c>
      <c r="K101" s="11">
        <v>0</v>
      </c>
      <c r="L101" s="11">
        <f t="shared" si="8"/>
        <v>0</v>
      </c>
    </row>
    <row r="102" spans="1:12" ht="16.5" thickTop="1" thickBot="1" x14ac:dyDescent="0.3">
      <c r="A102" s="5" t="s">
        <v>510</v>
      </c>
      <c r="B102" s="6">
        <v>89316</v>
      </c>
      <c r="C102" s="7" t="s">
        <v>511</v>
      </c>
      <c r="D102" s="39">
        <v>46100</v>
      </c>
      <c r="E102" s="39" t="s">
        <v>13</v>
      </c>
      <c r="F102" s="39" t="s">
        <v>13</v>
      </c>
      <c r="G102" s="9">
        <v>56063</v>
      </c>
      <c r="H102" s="10">
        <v>56063</v>
      </c>
      <c r="I102" s="11">
        <v>112126</v>
      </c>
      <c r="J102" s="11">
        <f>IFERROR(VLOOKUP(B102,'Apr 26'!B:G,6,FALSE),0)</f>
        <v>56063</v>
      </c>
      <c r="K102" s="11">
        <v>0</v>
      </c>
      <c r="L102" s="11">
        <f t="shared" si="8"/>
        <v>0</v>
      </c>
    </row>
    <row r="103" spans="1:12" ht="16.5" thickTop="1" thickBot="1" x14ac:dyDescent="0.3">
      <c r="A103" s="5" t="s">
        <v>673</v>
      </c>
      <c r="B103" s="6">
        <v>90536</v>
      </c>
      <c r="C103" s="7" t="s">
        <v>23</v>
      </c>
      <c r="D103" s="39">
        <v>46160</v>
      </c>
      <c r="E103" s="39" t="s">
        <v>13</v>
      </c>
      <c r="F103" s="39" t="s">
        <v>13</v>
      </c>
      <c r="G103" s="9">
        <v>9055.57</v>
      </c>
      <c r="H103" s="10">
        <f>I103-G103</f>
        <v>9055.57</v>
      </c>
      <c r="I103" s="11">
        <v>18111.14</v>
      </c>
      <c r="J103" s="11"/>
      <c r="K103" s="11"/>
      <c r="L103" s="11">
        <f t="shared" si="8"/>
        <v>9055.57</v>
      </c>
    </row>
    <row r="104" spans="1:12" ht="16.5" thickTop="1" thickBot="1" x14ac:dyDescent="0.3">
      <c r="A104" s="5" t="s">
        <v>514</v>
      </c>
      <c r="B104" s="6">
        <v>86904</v>
      </c>
      <c r="C104" s="7" t="s">
        <v>23</v>
      </c>
      <c r="D104" s="39">
        <v>46105</v>
      </c>
      <c r="E104" s="39" t="s">
        <v>13</v>
      </c>
      <c r="F104" s="39" t="s">
        <v>13</v>
      </c>
      <c r="G104" s="9">
        <v>6516</v>
      </c>
      <c r="H104" s="10">
        <v>6515</v>
      </c>
      <c r="I104" s="11">
        <v>13031</v>
      </c>
      <c r="J104" s="11">
        <f>IFERROR(VLOOKUP(B104,'Apr 26'!B:G,6,FALSE),0)</f>
        <v>6516</v>
      </c>
      <c r="K104" s="11">
        <v>0</v>
      </c>
      <c r="L104" s="11">
        <f t="shared" si="8"/>
        <v>0</v>
      </c>
    </row>
    <row r="105" spans="1:12" ht="16.5" thickTop="1" thickBot="1" x14ac:dyDescent="0.3">
      <c r="A105" s="5" t="s">
        <v>658</v>
      </c>
      <c r="B105" s="6">
        <v>87965</v>
      </c>
      <c r="C105" s="7" t="s">
        <v>23</v>
      </c>
      <c r="D105" s="39" t="s">
        <v>668</v>
      </c>
      <c r="E105" s="39" t="s">
        <v>13</v>
      </c>
      <c r="F105" s="39" t="s">
        <v>13</v>
      </c>
      <c r="G105" s="9">
        <v>8755</v>
      </c>
      <c r="H105" s="10">
        <f>I105-G105</f>
        <v>8755</v>
      </c>
      <c r="I105" s="11">
        <v>17510</v>
      </c>
      <c r="J105" s="11">
        <f>IFERROR(VLOOKUP(B105,'Apr 26'!B:G,6,FALSE),0)</f>
        <v>0</v>
      </c>
      <c r="K105" s="11">
        <v>0</v>
      </c>
      <c r="L105" s="11">
        <f t="shared" si="8"/>
        <v>8755</v>
      </c>
    </row>
    <row r="106" spans="1:12" ht="16.5" thickTop="1" thickBot="1" x14ac:dyDescent="0.3">
      <c r="A106" s="5" t="s">
        <v>627</v>
      </c>
      <c r="B106" s="6">
        <v>89168</v>
      </c>
      <c r="C106" s="7" t="s">
        <v>23</v>
      </c>
      <c r="D106" s="39">
        <v>46136</v>
      </c>
      <c r="E106" s="39" t="s">
        <v>13</v>
      </c>
      <c r="F106" s="39" t="s">
        <v>13</v>
      </c>
      <c r="G106" s="9">
        <v>30691</v>
      </c>
      <c r="H106" s="10">
        <f>I106-G106</f>
        <v>30691</v>
      </c>
      <c r="I106" s="11">
        <v>61382</v>
      </c>
      <c r="J106" s="11">
        <f>IFERROR(VLOOKUP(B106,'Apr 26'!B:G,6,FALSE),0)</f>
        <v>30691</v>
      </c>
      <c r="K106" s="11">
        <f>IF(G106=0,J106-G106,0)</f>
        <v>0</v>
      </c>
      <c r="L106" s="11">
        <f t="shared" si="8"/>
        <v>0</v>
      </c>
    </row>
    <row r="107" spans="1:12" ht="16.5" thickTop="1" thickBot="1" x14ac:dyDescent="0.3">
      <c r="A107" s="5" t="s">
        <v>373</v>
      </c>
      <c r="B107" s="6">
        <v>87512</v>
      </c>
      <c r="C107" s="7" t="s">
        <v>14</v>
      </c>
      <c r="D107" s="39">
        <v>46092</v>
      </c>
      <c r="E107" s="39">
        <v>46132</v>
      </c>
      <c r="F107" s="39">
        <v>46171</v>
      </c>
      <c r="G107" s="45">
        <v>0</v>
      </c>
      <c r="H107" s="10"/>
      <c r="I107" s="11"/>
      <c r="J107" s="11">
        <f>IFERROR(VLOOKUP(B107,'Apr 26'!B:G,6,FALSE),0)</f>
        <v>4742</v>
      </c>
      <c r="K107" s="11">
        <f>IF(G107=0,J107-G107,0)</f>
        <v>4742</v>
      </c>
      <c r="L107" s="11" t="s">
        <v>613</v>
      </c>
    </row>
    <row r="108" spans="1:12" ht="16.5" thickTop="1" thickBot="1" x14ac:dyDescent="0.3">
      <c r="A108" s="5" t="s">
        <v>616</v>
      </c>
      <c r="B108" s="6">
        <v>90316</v>
      </c>
      <c r="C108" s="7" t="s">
        <v>23</v>
      </c>
      <c r="D108" s="39">
        <v>46129</v>
      </c>
      <c r="E108" s="39">
        <v>46139</v>
      </c>
      <c r="F108" s="39" t="s">
        <v>351</v>
      </c>
      <c r="G108" s="9">
        <v>9047</v>
      </c>
      <c r="H108" s="10">
        <f>I108-G108</f>
        <v>9046.32</v>
      </c>
      <c r="I108" s="11">
        <v>18093.32</v>
      </c>
      <c r="J108" s="11">
        <f>IFERROR(VLOOKUP(B108,'Apr 26'!B:G,6,FALSE),0)</f>
        <v>9047</v>
      </c>
      <c r="K108" s="11">
        <f>IF(G108=0,J108-G108,0)</f>
        <v>0</v>
      </c>
      <c r="L108" s="11">
        <f>G108-J108</f>
        <v>0</v>
      </c>
    </row>
    <row r="109" spans="1:12" ht="16.5" thickTop="1" thickBot="1" x14ac:dyDescent="0.3">
      <c r="A109" s="5" t="s">
        <v>650</v>
      </c>
      <c r="B109" s="6">
        <v>90566</v>
      </c>
      <c r="C109" s="7" t="s">
        <v>23</v>
      </c>
      <c r="D109" s="39">
        <v>46148</v>
      </c>
      <c r="E109" s="39" t="s">
        <v>13</v>
      </c>
      <c r="F109" s="39" t="s">
        <v>13</v>
      </c>
      <c r="G109" s="9">
        <v>19409.04</v>
      </c>
      <c r="H109" s="10">
        <f>I109-G109</f>
        <v>8415.7900000000009</v>
      </c>
      <c r="I109" s="11">
        <v>27824.83</v>
      </c>
      <c r="J109" s="11">
        <f>IFERROR(VLOOKUP(B109,'Apr 26'!B:G,6,FALSE),0)</f>
        <v>0</v>
      </c>
      <c r="K109" s="11">
        <v>0</v>
      </c>
      <c r="L109" s="11">
        <f>G109-J109</f>
        <v>19409.04</v>
      </c>
    </row>
    <row r="110" spans="1:12" ht="16.5" thickTop="1" thickBot="1" x14ac:dyDescent="0.3">
      <c r="A110" s="5" t="s">
        <v>675</v>
      </c>
      <c r="B110" s="6">
        <v>90809</v>
      </c>
      <c r="C110" s="7" t="s">
        <v>21</v>
      </c>
      <c r="D110" s="39">
        <v>46162</v>
      </c>
      <c r="E110" s="39" t="s">
        <v>13</v>
      </c>
      <c r="F110" s="39" t="s">
        <v>13</v>
      </c>
      <c r="G110" s="9">
        <v>44300</v>
      </c>
      <c r="H110" s="10">
        <f>I110-G110</f>
        <v>44290.17</v>
      </c>
      <c r="I110" s="11">
        <v>88590.17</v>
      </c>
      <c r="J110" s="11"/>
      <c r="K110" s="11"/>
      <c r="L110" s="11">
        <f>G110-J110</f>
        <v>44300</v>
      </c>
    </row>
    <row r="111" spans="1:12" ht="16.5" thickTop="1" thickBot="1" x14ac:dyDescent="0.3">
      <c r="A111" s="5" t="s">
        <v>690</v>
      </c>
      <c r="B111" s="6">
        <v>90987</v>
      </c>
      <c r="C111" s="7" t="s">
        <v>21</v>
      </c>
      <c r="D111" s="39">
        <v>46170</v>
      </c>
      <c r="E111" s="39" t="s">
        <v>13</v>
      </c>
      <c r="F111" s="39" t="s">
        <v>13</v>
      </c>
      <c r="G111" s="9">
        <v>28000</v>
      </c>
      <c r="H111" s="10">
        <f>I111-G111</f>
        <v>26666.36</v>
      </c>
      <c r="I111" s="11">
        <v>54666.36</v>
      </c>
      <c r="J111" s="11"/>
      <c r="K111" s="11"/>
      <c r="L111" s="11">
        <f>G111-J111</f>
        <v>28000</v>
      </c>
    </row>
    <row r="112" spans="1:12" ht="16.5" thickTop="1" thickBot="1" x14ac:dyDescent="0.3">
      <c r="A112" s="5" t="s">
        <v>499</v>
      </c>
      <c r="B112" s="6">
        <v>88931</v>
      </c>
      <c r="C112" s="7" t="s">
        <v>21</v>
      </c>
      <c r="D112" s="39">
        <v>46099</v>
      </c>
      <c r="E112" s="39">
        <v>46139</v>
      </c>
      <c r="F112" s="39">
        <v>46161</v>
      </c>
      <c r="G112" s="45">
        <v>0</v>
      </c>
      <c r="H112" s="10"/>
      <c r="I112" s="11"/>
      <c r="J112" s="11">
        <f>IFERROR(VLOOKUP(B112,'Apr 26'!B:G,6,FALSE),0)</f>
        <v>5000</v>
      </c>
      <c r="K112" s="11">
        <f>J112-G112</f>
        <v>5000</v>
      </c>
      <c r="L112" s="11" t="s">
        <v>613</v>
      </c>
    </row>
    <row r="113" spans="1:12" ht="16.5" thickTop="1" thickBot="1" x14ac:dyDescent="0.3">
      <c r="A113" s="5" t="s">
        <v>595</v>
      </c>
      <c r="B113" s="6">
        <v>89722</v>
      </c>
      <c r="C113" s="7" t="s">
        <v>39</v>
      </c>
      <c r="D113" s="39">
        <v>46120</v>
      </c>
      <c r="E113" s="39" t="s">
        <v>13</v>
      </c>
      <c r="F113" s="39" t="s">
        <v>13</v>
      </c>
      <c r="G113" s="9">
        <v>3826</v>
      </c>
      <c r="H113" s="10">
        <f>I113-G113</f>
        <v>3826.5600000000004</v>
      </c>
      <c r="I113" s="11">
        <v>7652.56</v>
      </c>
      <c r="J113" s="11">
        <f>IFERROR(VLOOKUP(B113,'Apr 26'!B:G,6,FALSE),0)</f>
        <v>3826</v>
      </c>
      <c r="K113" s="11">
        <v>0</v>
      </c>
      <c r="L113" s="11">
        <f t="shared" ref="L113:L121" si="9">G113-J113</f>
        <v>0</v>
      </c>
    </row>
    <row r="114" spans="1:12" ht="16.5" thickTop="1" thickBot="1" x14ac:dyDescent="0.3">
      <c r="A114" s="5" t="s">
        <v>596</v>
      </c>
      <c r="B114" s="6">
        <v>86092</v>
      </c>
      <c r="C114" s="7" t="s">
        <v>23</v>
      </c>
      <c r="D114" s="39">
        <v>46120</v>
      </c>
      <c r="E114" s="39" t="s">
        <v>13</v>
      </c>
      <c r="F114" s="39" t="s">
        <v>13</v>
      </c>
      <c r="G114" s="9">
        <v>9201</v>
      </c>
      <c r="H114" s="10">
        <f>I114-G114</f>
        <v>9201.52</v>
      </c>
      <c r="I114" s="11">
        <v>18402.52</v>
      </c>
      <c r="J114" s="11">
        <f>IFERROR(VLOOKUP(B114,'Apr 26'!B:G,6,FALSE),0)</f>
        <v>9201</v>
      </c>
      <c r="K114" s="11">
        <v>0</v>
      </c>
      <c r="L114" s="11">
        <f t="shared" si="9"/>
        <v>0</v>
      </c>
    </row>
    <row r="115" spans="1:12" ht="16.5" thickTop="1" thickBot="1" x14ac:dyDescent="0.3">
      <c r="A115" s="12" t="s">
        <v>682</v>
      </c>
      <c r="B115" s="13">
        <v>90271</v>
      </c>
      <c r="C115" s="14" t="s">
        <v>57</v>
      </c>
      <c r="D115" s="40">
        <v>46164</v>
      </c>
      <c r="E115" s="40" t="s">
        <v>13</v>
      </c>
      <c r="F115" s="40" t="s">
        <v>13</v>
      </c>
      <c r="G115" s="16">
        <v>7216.29</v>
      </c>
      <c r="H115" s="17">
        <f>I115-G115</f>
        <v>0</v>
      </c>
      <c r="I115" s="18">
        <v>7216.29</v>
      </c>
      <c r="J115" s="18"/>
      <c r="K115" s="18"/>
      <c r="L115" s="18">
        <f t="shared" si="9"/>
        <v>7216.29</v>
      </c>
    </row>
    <row r="116" spans="1:12" ht="16.5" thickTop="1" thickBot="1" x14ac:dyDescent="0.3">
      <c r="A116" s="5" t="s">
        <v>93</v>
      </c>
      <c r="B116" s="6">
        <v>78503</v>
      </c>
      <c r="C116" s="7" t="s">
        <v>28</v>
      </c>
      <c r="D116" s="39">
        <v>45825</v>
      </c>
      <c r="E116" s="39" t="s">
        <v>13</v>
      </c>
      <c r="F116" s="39" t="s">
        <v>13</v>
      </c>
      <c r="G116" s="9">
        <v>15815</v>
      </c>
      <c r="H116" s="10">
        <v>15814</v>
      </c>
      <c r="I116" s="11">
        <v>31629</v>
      </c>
      <c r="J116" s="11">
        <f>IFERROR(VLOOKUP(B116,'Apr 26'!B:G,6,FALSE),0)</f>
        <v>15815</v>
      </c>
      <c r="K116" s="11">
        <v>0</v>
      </c>
      <c r="L116" s="11">
        <f t="shared" si="9"/>
        <v>0</v>
      </c>
    </row>
    <row r="117" spans="1:12" ht="16.5" thickTop="1" thickBot="1" x14ac:dyDescent="0.3">
      <c r="A117" s="5" t="s">
        <v>653</v>
      </c>
      <c r="B117" s="6">
        <v>90032</v>
      </c>
      <c r="C117" s="7" t="s">
        <v>655</v>
      </c>
      <c r="D117" s="39">
        <v>46150</v>
      </c>
      <c r="E117" s="39" t="s">
        <v>13</v>
      </c>
      <c r="F117" s="39" t="s">
        <v>13</v>
      </c>
      <c r="G117" s="9">
        <v>9955</v>
      </c>
      <c r="H117" s="10">
        <f>I117-G117</f>
        <v>10598.619999999999</v>
      </c>
      <c r="I117" s="11">
        <v>20553.62</v>
      </c>
      <c r="J117" s="11">
        <f>IFERROR(VLOOKUP(B117,'Apr 26'!B:G,6,FALSE),0)</f>
        <v>0</v>
      </c>
      <c r="K117" s="11">
        <v>0</v>
      </c>
      <c r="L117" s="11">
        <f t="shared" si="9"/>
        <v>9955</v>
      </c>
    </row>
    <row r="118" spans="1:12" ht="16.5" thickTop="1" thickBot="1" x14ac:dyDescent="0.3">
      <c r="A118" s="5" t="s">
        <v>266</v>
      </c>
      <c r="B118" s="6">
        <v>87077</v>
      </c>
      <c r="C118" s="7" t="s">
        <v>40</v>
      </c>
      <c r="D118" s="39">
        <v>46052</v>
      </c>
      <c r="E118" s="39">
        <v>46093</v>
      </c>
      <c r="F118" s="39" t="s">
        <v>577</v>
      </c>
      <c r="G118" s="9">
        <v>11448</v>
      </c>
      <c r="H118" s="10">
        <v>3238</v>
      </c>
      <c r="I118" s="11">
        <v>14686</v>
      </c>
      <c r="J118" s="11">
        <f>IFERROR(VLOOKUP(B118,'Apr 26'!B:G,6,FALSE),0)</f>
        <v>11448</v>
      </c>
      <c r="K118" s="11">
        <v>0</v>
      </c>
      <c r="L118" s="11">
        <f t="shared" si="9"/>
        <v>0</v>
      </c>
    </row>
    <row r="119" spans="1:12" ht="16.5" thickTop="1" thickBot="1" x14ac:dyDescent="0.3">
      <c r="A119" s="5" t="s">
        <v>631</v>
      </c>
      <c r="B119" s="6">
        <v>89293</v>
      </c>
      <c r="C119" s="7" t="s">
        <v>19</v>
      </c>
      <c r="D119" s="39">
        <v>46139</v>
      </c>
      <c r="E119" s="39" t="s">
        <v>13</v>
      </c>
      <c r="F119" s="39" t="s">
        <v>13</v>
      </c>
      <c r="G119" s="9">
        <v>15723</v>
      </c>
      <c r="H119" s="10">
        <f>I119-G119</f>
        <v>15722</v>
      </c>
      <c r="I119" s="11">
        <v>31445</v>
      </c>
      <c r="J119" s="11">
        <f>IFERROR(VLOOKUP(B119,'Apr 26'!B:G,6,FALSE),0)</f>
        <v>15723</v>
      </c>
      <c r="K119" s="11">
        <f>IF(G119=0,J119-G119,0)</f>
        <v>0</v>
      </c>
      <c r="L119" s="11">
        <f t="shared" si="9"/>
        <v>0</v>
      </c>
    </row>
    <row r="120" spans="1:12" ht="16.5" thickTop="1" thickBot="1" x14ac:dyDescent="0.3">
      <c r="A120" s="5" t="s">
        <v>241</v>
      </c>
      <c r="B120" s="6">
        <v>87242</v>
      </c>
      <c r="C120" s="7" t="s">
        <v>14</v>
      </c>
      <c r="D120" s="39">
        <v>46045</v>
      </c>
      <c r="E120" s="39">
        <v>46107</v>
      </c>
      <c r="F120" s="39" t="s">
        <v>577</v>
      </c>
      <c r="G120" s="9">
        <v>44650</v>
      </c>
      <c r="H120" s="10">
        <v>45536</v>
      </c>
      <c r="I120" s="11">
        <v>90186</v>
      </c>
      <c r="J120" s="11">
        <f>IFERROR(VLOOKUP(B120,'Apr 26'!B:G,6,FALSE),0)</f>
        <v>44650</v>
      </c>
      <c r="K120" s="11">
        <v>0</v>
      </c>
      <c r="L120" s="11">
        <f t="shared" si="9"/>
        <v>0</v>
      </c>
    </row>
    <row r="121" spans="1:12" ht="16.5" thickTop="1" thickBot="1" x14ac:dyDescent="0.3">
      <c r="A121" s="5" t="s">
        <v>106</v>
      </c>
      <c r="B121" s="6">
        <v>85604</v>
      </c>
      <c r="C121" s="7" t="s">
        <v>17</v>
      </c>
      <c r="D121" s="39">
        <v>45881</v>
      </c>
      <c r="E121" s="39" t="s">
        <v>13</v>
      </c>
      <c r="F121" s="39" t="s">
        <v>13</v>
      </c>
      <c r="G121" s="19">
        <v>80676.28</v>
      </c>
      <c r="H121" s="10">
        <v>-4388.2799999999988</v>
      </c>
      <c r="I121" s="11">
        <v>76288</v>
      </c>
      <c r="J121" s="11">
        <f>IFERROR(VLOOKUP(B121,'Apr 26'!B:G,6,FALSE),0)</f>
        <v>80676.28</v>
      </c>
      <c r="K121" s="11">
        <v>0</v>
      </c>
      <c r="L121" s="11">
        <f t="shared" si="9"/>
        <v>0</v>
      </c>
    </row>
    <row r="122" spans="1:12" ht="16.5" thickTop="1" thickBot="1" x14ac:dyDescent="0.3">
      <c r="A122" s="5" t="s">
        <v>212</v>
      </c>
      <c r="B122" s="6">
        <v>87641</v>
      </c>
      <c r="C122" s="7" t="s">
        <v>14</v>
      </c>
      <c r="D122" s="39">
        <v>46013</v>
      </c>
      <c r="E122" s="39">
        <v>46085</v>
      </c>
      <c r="F122" s="39">
        <v>46147</v>
      </c>
      <c r="G122" s="45">
        <v>0</v>
      </c>
      <c r="H122" s="10"/>
      <c r="I122" s="11"/>
      <c r="J122" s="11">
        <f>IFERROR(VLOOKUP(B122,'Apr 26'!B:G,6,FALSE),0)</f>
        <v>13019</v>
      </c>
      <c r="K122" s="11">
        <f>J122-G122</f>
        <v>13019</v>
      </c>
      <c r="L122" s="11" t="s">
        <v>613</v>
      </c>
    </row>
    <row r="123" spans="1:12" ht="16.5" thickTop="1" thickBot="1" x14ac:dyDescent="0.3">
      <c r="A123" s="5" t="s">
        <v>597</v>
      </c>
      <c r="B123" s="6">
        <v>89658</v>
      </c>
      <c r="C123" s="7" t="s">
        <v>21</v>
      </c>
      <c r="D123" s="39">
        <v>46115</v>
      </c>
      <c r="E123" s="39">
        <v>46139</v>
      </c>
      <c r="F123" s="39">
        <v>46156</v>
      </c>
      <c r="G123" s="45">
        <v>0</v>
      </c>
      <c r="H123" s="10"/>
      <c r="I123" s="11"/>
      <c r="J123" s="11">
        <f>IFERROR(VLOOKUP(B123,'Apr 26'!B:G,6,FALSE),0)</f>
        <v>2800</v>
      </c>
      <c r="K123" s="11">
        <f>J123-G123</f>
        <v>2800</v>
      </c>
      <c r="L123" s="11" t="s">
        <v>613</v>
      </c>
    </row>
    <row r="124" spans="1:12" ht="16.5" thickTop="1" thickBot="1" x14ac:dyDescent="0.3">
      <c r="A124" s="5" t="s">
        <v>43</v>
      </c>
      <c r="B124" s="6">
        <v>80858</v>
      </c>
      <c r="C124" s="7" t="s">
        <v>44</v>
      </c>
      <c r="D124" s="39">
        <v>45987</v>
      </c>
      <c r="E124" s="39" t="s">
        <v>13</v>
      </c>
      <c r="F124" s="39" t="s">
        <v>13</v>
      </c>
      <c r="G124" s="9">
        <v>6843</v>
      </c>
      <c r="H124" s="10">
        <v>6843</v>
      </c>
      <c r="I124" s="11">
        <v>13686</v>
      </c>
      <c r="J124" s="11">
        <f>IFERROR(VLOOKUP(B124,'Apr 26'!B:G,6,FALSE),0)</f>
        <v>6843</v>
      </c>
      <c r="K124" s="11">
        <v>0</v>
      </c>
      <c r="L124" s="11">
        <f>G124-J124</f>
        <v>0</v>
      </c>
    </row>
    <row r="125" spans="1:12" ht="16.5" thickTop="1" thickBot="1" x14ac:dyDescent="0.3">
      <c r="A125" s="5" t="s">
        <v>629</v>
      </c>
      <c r="B125" s="6">
        <v>90374</v>
      </c>
      <c r="C125" s="7" t="s">
        <v>27</v>
      </c>
      <c r="D125" s="39">
        <v>46136</v>
      </c>
      <c r="E125" s="39" t="s">
        <v>13</v>
      </c>
      <c r="F125" s="39">
        <v>46171</v>
      </c>
      <c r="G125" s="45">
        <v>0</v>
      </c>
      <c r="H125" s="10"/>
      <c r="I125" s="11"/>
      <c r="J125" s="11">
        <f>IFERROR(VLOOKUP(B125,'Apr 26'!B:G,6,FALSE),0)</f>
        <v>3689</v>
      </c>
      <c r="K125" s="11">
        <f>IF(G125=0,J125-G125,0)</f>
        <v>3689</v>
      </c>
      <c r="L125" s="11" t="s">
        <v>613</v>
      </c>
    </row>
    <row r="126" spans="1:12" ht="16.5" thickTop="1" thickBot="1" x14ac:dyDescent="0.3">
      <c r="A126" s="5" t="s">
        <v>598</v>
      </c>
      <c r="B126" s="6">
        <v>89481</v>
      </c>
      <c r="C126" s="7" t="s">
        <v>11</v>
      </c>
      <c r="D126" s="39">
        <v>46115</v>
      </c>
      <c r="E126" s="39">
        <v>46125</v>
      </c>
      <c r="F126" s="39">
        <v>46150</v>
      </c>
      <c r="G126" s="45">
        <v>0</v>
      </c>
      <c r="H126" s="10"/>
      <c r="I126" s="11"/>
      <c r="J126" s="11">
        <f>IFERROR(VLOOKUP(B126,'Apr 26'!B:G,6,FALSE),0)</f>
        <v>9493</v>
      </c>
      <c r="K126" s="11">
        <f>J126-G126</f>
        <v>9493</v>
      </c>
      <c r="L126" s="11" t="s">
        <v>613</v>
      </c>
    </row>
    <row r="127" spans="1:12" ht="16.5" thickTop="1" thickBot="1" x14ac:dyDescent="0.3">
      <c r="A127" s="5" t="s">
        <v>506</v>
      </c>
      <c r="B127" s="6">
        <v>83550</v>
      </c>
      <c r="C127" s="7" t="s">
        <v>505</v>
      </c>
      <c r="D127" s="39">
        <v>46100</v>
      </c>
      <c r="E127" s="39" t="s">
        <v>13</v>
      </c>
      <c r="F127" s="39" t="s">
        <v>13</v>
      </c>
      <c r="G127" s="9">
        <v>17904</v>
      </c>
      <c r="H127" s="10">
        <v>17904</v>
      </c>
      <c r="I127" s="11">
        <v>35808</v>
      </c>
      <c r="J127" s="11">
        <f>IFERROR(VLOOKUP(B127,'Apr 26'!B:G,6,FALSE),0)</f>
        <v>17904</v>
      </c>
      <c r="K127" s="11">
        <v>0</v>
      </c>
      <c r="L127" s="11">
        <f>G127-J127</f>
        <v>0</v>
      </c>
    </row>
    <row r="128" spans="1:12" ht="16.5" thickTop="1" thickBot="1" x14ac:dyDescent="0.3">
      <c r="A128" s="5" t="s">
        <v>662</v>
      </c>
      <c r="B128" s="6">
        <v>90183</v>
      </c>
      <c r="C128" s="7" t="s">
        <v>78</v>
      </c>
      <c r="D128" s="39" t="s">
        <v>670</v>
      </c>
      <c r="E128" s="39" t="s">
        <v>13</v>
      </c>
      <c r="F128" s="39" t="s">
        <v>13</v>
      </c>
      <c r="G128" s="9">
        <v>18889</v>
      </c>
      <c r="H128" s="10">
        <f>I128-G128</f>
        <v>18889</v>
      </c>
      <c r="I128" s="11">
        <v>37778</v>
      </c>
      <c r="J128" s="11">
        <f>IFERROR(VLOOKUP(B128,'Apr 26'!B:G,6,FALSE),0)</f>
        <v>0</v>
      </c>
      <c r="K128" s="11">
        <v>0</v>
      </c>
      <c r="L128" s="11">
        <f>G128-J128</f>
        <v>18889</v>
      </c>
    </row>
    <row r="129" spans="1:12" ht="16.5" thickTop="1" thickBot="1" x14ac:dyDescent="0.3">
      <c r="A129" s="5" t="s">
        <v>599</v>
      </c>
      <c r="B129" s="6">
        <v>88754</v>
      </c>
      <c r="C129" s="7" t="s">
        <v>609</v>
      </c>
      <c r="D129" s="39">
        <v>46113</v>
      </c>
      <c r="E129" s="39" t="s">
        <v>13</v>
      </c>
      <c r="F129" s="39" t="s">
        <v>13</v>
      </c>
      <c r="G129" s="9">
        <v>21095</v>
      </c>
      <c r="H129" s="10">
        <f>I129-G129</f>
        <v>21095</v>
      </c>
      <c r="I129" s="11">
        <v>42190</v>
      </c>
      <c r="J129" s="11">
        <f>IFERROR(VLOOKUP(B129,'Apr 26'!B:G,6,FALSE),0)</f>
        <v>21095</v>
      </c>
      <c r="K129" s="11">
        <v>0</v>
      </c>
      <c r="L129" s="11">
        <f>G129-J129</f>
        <v>0</v>
      </c>
    </row>
    <row r="130" spans="1:12" ht="16.5" thickTop="1" thickBot="1" x14ac:dyDescent="0.3">
      <c r="A130" s="12" t="s">
        <v>618</v>
      </c>
      <c r="B130" s="13">
        <v>90089</v>
      </c>
      <c r="C130" s="14" t="s">
        <v>619</v>
      </c>
      <c r="D130" s="40">
        <v>46133</v>
      </c>
      <c r="E130" s="40" t="s">
        <v>13</v>
      </c>
      <c r="F130" s="40" t="s">
        <v>13</v>
      </c>
      <c r="G130" s="16">
        <v>36368.01</v>
      </c>
      <c r="H130" s="17">
        <f>I130-G130</f>
        <v>0</v>
      </c>
      <c r="I130" s="18">
        <v>36368.01</v>
      </c>
      <c r="J130" s="18">
        <f>IFERROR(VLOOKUP(B130,'Apr 26'!B:G,6,FALSE),0)</f>
        <v>36368.01</v>
      </c>
      <c r="K130" s="18">
        <f>IF(G130=0,J130-G130,0)</f>
        <v>0</v>
      </c>
      <c r="L130" s="18">
        <f>G130-J130</f>
        <v>0</v>
      </c>
    </row>
    <row r="131" spans="1:12" ht="16.5" thickTop="1" thickBot="1" x14ac:dyDescent="0.3">
      <c r="A131" s="5" t="s">
        <v>321</v>
      </c>
      <c r="B131" s="6">
        <v>86134</v>
      </c>
      <c r="C131" s="7" t="s">
        <v>21</v>
      </c>
      <c r="D131" s="39">
        <v>46070</v>
      </c>
      <c r="E131" s="39">
        <v>46121</v>
      </c>
      <c r="F131" s="39">
        <v>46148</v>
      </c>
      <c r="G131" s="45">
        <v>0</v>
      </c>
      <c r="H131" s="10"/>
      <c r="I131" s="11"/>
      <c r="J131" s="11">
        <f>IFERROR(VLOOKUP(B131,'Apr 26'!B:G,6,FALSE),0)</f>
        <v>8494</v>
      </c>
      <c r="K131" s="11">
        <f>J131-G131</f>
        <v>8494</v>
      </c>
      <c r="L131" s="11" t="s">
        <v>613</v>
      </c>
    </row>
    <row r="132" spans="1:12" ht="16.5" thickTop="1" thickBot="1" x14ac:dyDescent="0.3">
      <c r="A132" s="5" t="s">
        <v>338</v>
      </c>
      <c r="B132" s="6">
        <v>87824</v>
      </c>
      <c r="C132" s="7" t="s">
        <v>20</v>
      </c>
      <c r="D132" s="39">
        <v>46079</v>
      </c>
      <c r="E132" s="39" t="s">
        <v>13</v>
      </c>
      <c r="F132" s="39" t="s">
        <v>13</v>
      </c>
      <c r="G132" s="9">
        <f>109880+4826.5</f>
        <v>114706.5</v>
      </c>
      <c r="H132" s="10">
        <v>109880</v>
      </c>
      <c r="I132" s="11">
        <v>219760</v>
      </c>
      <c r="J132" s="11">
        <f>IFERROR(VLOOKUP(B132,'Apr 26'!B:G,6,FALSE),0)</f>
        <v>109880</v>
      </c>
      <c r="K132" s="11">
        <v>0</v>
      </c>
      <c r="L132" s="11">
        <f>G132-J132</f>
        <v>4826.5</v>
      </c>
    </row>
    <row r="133" spans="1:12" ht="16.5" thickTop="1" thickBot="1" x14ac:dyDescent="0.3">
      <c r="A133" s="5" t="s">
        <v>645</v>
      </c>
      <c r="B133" s="6">
        <v>86208</v>
      </c>
      <c r="C133" s="7" t="s">
        <v>38</v>
      </c>
      <c r="D133" s="39">
        <v>46143</v>
      </c>
      <c r="E133" s="39" t="s">
        <v>13</v>
      </c>
      <c r="F133" s="39" t="s">
        <v>13</v>
      </c>
      <c r="G133" s="9">
        <v>22287</v>
      </c>
      <c r="H133" s="10">
        <f>I133-G133</f>
        <v>22286</v>
      </c>
      <c r="I133" s="11">
        <v>44573</v>
      </c>
      <c r="J133" s="11">
        <f>IFERROR(VLOOKUP(B133,'Apr 26'!B:G,6,FALSE),0)</f>
        <v>0</v>
      </c>
      <c r="K133" s="11">
        <v>0</v>
      </c>
      <c r="L133" s="11">
        <f>G133-J133</f>
        <v>22287</v>
      </c>
    </row>
    <row r="134" spans="1:12" ht="16.5" thickTop="1" thickBot="1" x14ac:dyDescent="0.3">
      <c r="A134" s="5" t="s">
        <v>600</v>
      </c>
      <c r="B134" s="6">
        <v>89295</v>
      </c>
      <c r="C134" s="7" t="s">
        <v>21</v>
      </c>
      <c r="D134" s="39">
        <v>46127</v>
      </c>
      <c r="E134" s="39" t="s">
        <v>13</v>
      </c>
      <c r="F134" s="39" t="s">
        <v>13</v>
      </c>
      <c r="G134" s="9">
        <v>26512</v>
      </c>
      <c r="H134" s="10">
        <f>I134-G134</f>
        <v>26512</v>
      </c>
      <c r="I134" s="11">
        <v>53024</v>
      </c>
      <c r="J134" s="11">
        <f>IFERROR(VLOOKUP(B134,'Apr 26'!B:G,6,FALSE),0)</f>
        <v>26512</v>
      </c>
      <c r="K134" s="11">
        <v>0</v>
      </c>
      <c r="L134" s="11">
        <f>G134-J134</f>
        <v>0</v>
      </c>
    </row>
    <row r="135" spans="1:12" ht="16.5" thickTop="1" thickBot="1" x14ac:dyDescent="0.3">
      <c r="A135" s="5" t="s">
        <v>337</v>
      </c>
      <c r="B135" s="6">
        <v>88771</v>
      </c>
      <c r="C135" s="7" t="s">
        <v>21</v>
      </c>
      <c r="D135" s="39">
        <v>46079</v>
      </c>
      <c r="E135" s="39">
        <v>46122</v>
      </c>
      <c r="F135" s="39">
        <v>46150</v>
      </c>
      <c r="G135" s="45">
        <v>0</v>
      </c>
      <c r="H135" s="10"/>
      <c r="I135" s="11"/>
      <c r="J135" s="11">
        <f>IFERROR(VLOOKUP(B135,'Apr 26'!B:G,6,FALSE),0)</f>
        <v>1781</v>
      </c>
      <c r="K135" s="11">
        <f>J135-G135</f>
        <v>1781</v>
      </c>
      <c r="L135" s="11" t="s">
        <v>613</v>
      </c>
    </row>
    <row r="136" spans="1:12" ht="16.5" thickTop="1" thickBot="1" x14ac:dyDescent="0.3">
      <c r="A136" s="5" t="s">
        <v>290</v>
      </c>
      <c r="B136" s="6">
        <v>88927</v>
      </c>
      <c r="C136" s="7" t="s">
        <v>296</v>
      </c>
      <c r="D136" s="39">
        <v>46066</v>
      </c>
      <c r="E136" s="39">
        <v>46097</v>
      </c>
      <c r="F136" s="39" t="s">
        <v>577</v>
      </c>
      <c r="G136" s="9">
        <v>7884</v>
      </c>
      <c r="H136" s="10">
        <v>7884</v>
      </c>
      <c r="I136" s="11">
        <v>15768</v>
      </c>
      <c r="J136" s="11">
        <f>IFERROR(VLOOKUP(B136,'Apr 26'!B:G,6,FALSE),0)</f>
        <v>7884</v>
      </c>
      <c r="K136" s="11">
        <v>0</v>
      </c>
      <c r="L136" s="11">
        <f>G136-J136</f>
        <v>0</v>
      </c>
    </row>
    <row r="137" spans="1:12" ht="16.5" thickTop="1" thickBot="1" x14ac:dyDescent="0.3">
      <c r="A137" s="5" t="s">
        <v>680</v>
      </c>
      <c r="B137" s="6">
        <v>90873</v>
      </c>
      <c r="C137" s="7" t="s">
        <v>11</v>
      </c>
      <c r="D137" s="39">
        <v>46164</v>
      </c>
      <c r="E137" s="39" t="s">
        <v>13</v>
      </c>
      <c r="F137" s="39" t="s">
        <v>13</v>
      </c>
      <c r="G137" s="9">
        <v>49937.82</v>
      </c>
      <c r="H137" s="10">
        <f>I137-G137</f>
        <v>49937.82</v>
      </c>
      <c r="I137" s="11">
        <v>99875.64</v>
      </c>
      <c r="J137" s="11"/>
      <c r="K137" s="11"/>
      <c r="L137" s="11">
        <f>G137-J137</f>
        <v>49937.82</v>
      </c>
    </row>
    <row r="138" spans="1:12" ht="16.5" thickTop="1" thickBot="1" x14ac:dyDescent="0.3">
      <c r="A138" s="5" t="s">
        <v>239</v>
      </c>
      <c r="B138" s="6">
        <v>86537</v>
      </c>
      <c r="C138" s="7" t="s">
        <v>256</v>
      </c>
      <c r="D138" s="39">
        <v>46044</v>
      </c>
      <c r="E138" s="39">
        <v>46125</v>
      </c>
      <c r="F138" s="39">
        <v>46171</v>
      </c>
      <c r="G138" s="45">
        <v>0</v>
      </c>
      <c r="H138" s="10"/>
      <c r="I138" s="11"/>
      <c r="J138" s="11">
        <f>IFERROR(VLOOKUP(B138,'Apr 26'!B:G,6,FALSE),0)</f>
        <v>10013</v>
      </c>
      <c r="K138" s="11">
        <f>IF(G138=0,J138-G138,0)</f>
        <v>10013</v>
      </c>
      <c r="L138" s="11" t="s">
        <v>613</v>
      </c>
    </row>
    <row r="139" spans="1:12" ht="16.5" thickTop="1" thickBot="1" x14ac:dyDescent="0.3">
      <c r="A139" s="5" t="s">
        <v>617</v>
      </c>
      <c r="B139" s="6">
        <v>90012</v>
      </c>
      <c r="C139" s="7" t="s">
        <v>87</v>
      </c>
      <c r="D139" s="39">
        <v>46132</v>
      </c>
      <c r="E139" s="39" t="s">
        <v>13</v>
      </c>
      <c r="F139" s="39" t="s">
        <v>13</v>
      </c>
      <c r="G139" s="9">
        <v>5254</v>
      </c>
      <c r="H139" s="10">
        <f>I139-G139</f>
        <v>5254.3099999999995</v>
      </c>
      <c r="I139" s="11">
        <v>10508.31</v>
      </c>
      <c r="J139" s="11">
        <f>IFERROR(VLOOKUP(B139,'Apr 26'!B:G,6,FALSE),0)</f>
        <v>5254</v>
      </c>
      <c r="K139" s="11">
        <f>IF(G139=0,J139-G139,0)</f>
        <v>0</v>
      </c>
      <c r="L139" s="11">
        <f>G139-J139</f>
        <v>0</v>
      </c>
    </row>
    <row r="140" spans="1:12" ht="16.5" thickTop="1" thickBot="1" x14ac:dyDescent="0.3">
      <c r="A140" s="5" t="s">
        <v>605</v>
      </c>
      <c r="B140" s="6">
        <v>89678</v>
      </c>
      <c r="C140" s="7" t="s">
        <v>37</v>
      </c>
      <c r="D140" s="39">
        <v>46114</v>
      </c>
      <c r="E140" s="39">
        <v>46134</v>
      </c>
      <c r="F140" s="39">
        <v>46156</v>
      </c>
      <c r="G140" s="45">
        <v>0</v>
      </c>
      <c r="H140" s="10"/>
      <c r="I140" s="11"/>
      <c r="J140" s="11">
        <f>IFERROR(VLOOKUP(B140,'Apr 26'!B:G,6,FALSE),0)</f>
        <v>7777</v>
      </c>
      <c r="K140" s="11">
        <f>J140-G140</f>
        <v>7777</v>
      </c>
      <c r="L140" s="11" t="s">
        <v>613</v>
      </c>
    </row>
    <row r="141" spans="1:12" ht="16.5" thickTop="1" thickBot="1" x14ac:dyDescent="0.3">
      <c r="A141" s="5" t="s">
        <v>606</v>
      </c>
      <c r="B141" s="6">
        <v>88850</v>
      </c>
      <c r="C141" s="7" t="s">
        <v>14</v>
      </c>
      <c r="D141" s="39">
        <v>46115</v>
      </c>
      <c r="E141" s="39" t="s">
        <v>13</v>
      </c>
      <c r="F141" s="39" t="s">
        <v>13</v>
      </c>
      <c r="G141" s="9">
        <v>49392</v>
      </c>
      <c r="H141" s="10">
        <f>I141-G141</f>
        <v>49391</v>
      </c>
      <c r="I141" s="11">
        <v>98783</v>
      </c>
      <c r="J141" s="11">
        <f>IFERROR(VLOOKUP(B141,'Apr 26'!B:G,6,FALSE),0)</f>
        <v>49392</v>
      </c>
      <c r="K141" s="11">
        <v>0</v>
      </c>
      <c r="L141" s="11">
        <f>G141-J141</f>
        <v>0</v>
      </c>
    </row>
    <row r="142" spans="1:12" ht="16.5" thickTop="1" thickBot="1" x14ac:dyDescent="0.3">
      <c r="A142" s="5" t="s">
        <v>648</v>
      </c>
      <c r="B142" s="6">
        <v>90101</v>
      </c>
      <c r="C142" s="7" t="s">
        <v>654</v>
      </c>
      <c r="D142" s="39">
        <v>46148</v>
      </c>
      <c r="E142" s="39" t="s">
        <v>13</v>
      </c>
      <c r="F142" s="39" t="s">
        <v>13</v>
      </c>
      <c r="G142" s="9">
        <v>18412</v>
      </c>
      <c r="H142" s="10">
        <f>I142-G142</f>
        <v>18411</v>
      </c>
      <c r="I142" s="11">
        <v>36823</v>
      </c>
      <c r="J142" s="11">
        <f>IFERROR(VLOOKUP(B142,'Apr 26'!B:G,6,FALSE),0)</f>
        <v>0</v>
      </c>
      <c r="K142" s="11">
        <v>0</v>
      </c>
      <c r="L142" s="11">
        <f>G142-J142</f>
        <v>18412</v>
      </c>
    </row>
    <row r="143" spans="1:12" ht="16.5" thickTop="1" thickBot="1" x14ac:dyDescent="0.3">
      <c r="A143" s="5" t="s">
        <v>574</v>
      </c>
      <c r="B143" s="6">
        <v>89520</v>
      </c>
      <c r="C143" s="7" t="s">
        <v>254</v>
      </c>
      <c r="D143" s="39">
        <v>46112</v>
      </c>
      <c r="E143" s="39">
        <v>46140</v>
      </c>
      <c r="F143" s="39" t="s">
        <v>353</v>
      </c>
      <c r="G143" s="9">
        <v>8091.5</v>
      </c>
      <c r="H143" s="10">
        <v>8091.5</v>
      </c>
      <c r="I143" s="11">
        <v>16183</v>
      </c>
      <c r="J143" s="11">
        <f>IFERROR(VLOOKUP(B143,'Apr 26'!B:G,6,FALSE),0)</f>
        <v>8091.5</v>
      </c>
      <c r="K143" s="11">
        <v>0</v>
      </c>
      <c r="L143" s="11">
        <f>G143-J143</f>
        <v>0</v>
      </c>
    </row>
    <row r="144" spans="1:12" ht="16.5" thickTop="1" thickBot="1" x14ac:dyDescent="0.3">
      <c r="A144" s="5" t="s">
        <v>625</v>
      </c>
      <c r="B144" s="6">
        <v>85309</v>
      </c>
      <c r="C144" s="7" t="s">
        <v>634</v>
      </c>
      <c r="D144" s="39">
        <v>46135</v>
      </c>
      <c r="E144" s="39" t="s">
        <v>13</v>
      </c>
      <c r="F144" s="39" t="s">
        <v>13</v>
      </c>
      <c r="G144" s="9">
        <v>14942</v>
      </c>
      <c r="H144" s="10">
        <f>I144-G144</f>
        <v>14942</v>
      </c>
      <c r="I144" s="11">
        <v>29884</v>
      </c>
      <c r="J144" s="11">
        <f>IFERROR(VLOOKUP(B144,'Apr 26'!B:G,6,FALSE),0)</f>
        <v>14942</v>
      </c>
      <c r="K144" s="11">
        <f>IF(G144=0,J144-G144,0)</f>
        <v>0</v>
      </c>
      <c r="L144" s="11">
        <f>G144-J144</f>
        <v>0</v>
      </c>
    </row>
    <row r="145" spans="1:12" ht="16.5" thickTop="1" thickBot="1" x14ac:dyDescent="0.3">
      <c r="A145" s="5" t="s">
        <v>132</v>
      </c>
      <c r="B145" s="6">
        <v>86090</v>
      </c>
      <c r="C145" s="7" t="s">
        <v>39</v>
      </c>
      <c r="D145" s="39">
        <v>45936</v>
      </c>
      <c r="E145" s="39">
        <v>45975</v>
      </c>
      <c r="F145" s="39">
        <v>46171</v>
      </c>
      <c r="G145" s="45">
        <v>0</v>
      </c>
      <c r="H145" s="10"/>
      <c r="I145" s="11"/>
      <c r="J145" s="11">
        <f>IFERROR(VLOOKUP(B145,'Apr 26'!B:G,6,FALSE),0)</f>
        <v>50633.5</v>
      </c>
      <c r="K145" s="11">
        <f>IF(G145=0,J145-G145,0)</f>
        <v>50633.5</v>
      </c>
      <c r="L145" s="11" t="s">
        <v>613</v>
      </c>
    </row>
    <row r="146" spans="1:12" ht="16.5" thickTop="1" thickBot="1" x14ac:dyDescent="0.3">
      <c r="A146" s="5" t="s">
        <v>628</v>
      </c>
      <c r="B146" s="6">
        <v>89429</v>
      </c>
      <c r="C146" s="7" t="s">
        <v>14</v>
      </c>
      <c r="D146" s="39">
        <v>46136</v>
      </c>
      <c r="E146" s="39" t="s">
        <v>13</v>
      </c>
      <c r="F146" s="39" t="s">
        <v>13</v>
      </c>
      <c r="G146" s="9">
        <v>24032</v>
      </c>
      <c r="H146" s="10">
        <f>I146-G146</f>
        <v>24032</v>
      </c>
      <c r="I146" s="11">
        <v>48064</v>
      </c>
      <c r="J146" s="11">
        <f>IFERROR(VLOOKUP(B146,'Apr 26'!B:G,6,FALSE),0)</f>
        <v>24032</v>
      </c>
      <c r="K146" s="11">
        <f>IF(G146=0,J146-G146,0)</f>
        <v>0</v>
      </c>
      <c r="L146" s="11">
        <f t="shared" ref="L146:L153" si="10">G146-J146</f>
        <v>0</v>
      </c>
    </row>
    <row r="147" spans="1:12" ht="16.5" thickTop="1" thickBot="1" x14ac:dyDescent="0.3">
      <c r="A147" s="5" t="s">
        <v>638</v>
      </c>
      <c r="B147" s="6">
        <v>89336</v>
      </c>
      <c r="C147" s="6" t="s">
        <v>40</v>
      </c>
      <c r="D147" s="39">
        <v>46141</v>
      </c>
      <c r="E147" s="39" t="s">
        <v>13</v>
      </c>
      <c r="F147" s="39" t="s">
        <v>13</v>
      </c>
      <c r="G147" s="9">
        <v>11647.83</v>
      </c>
      <c r="H147" s="10">
        <f>I147-G147</f>
        <v>11647.83</v>
      </c>
      <c r="I147" s="11">
        <v>23295.66</v>
      </c>
      <c r="J147" s="11">
        <f>IFERROR(VLOOKUP(B147,'Apr 26'!B:G,6,FALSE),0)</f>
        <v>11647.83</v>
      </c>
      <c r="K147" s="11">
        <f>IF(G147=0,J147-G147,0)</f>
        <v>0</v>
      </c>
      <c r="L147" s="11">
        <f t="shared" si="10"/>
        <v>0</v>
      </c>
    </row>
    <row r="148" spans="1:12" ht="16.5" thickTop="1" thickBot="1" x14ac:dyDescent="0.3">
      <c r="A148" s="5" t="s">
        <v>496</v>
      </c>
      <c r="B148" s="6">
        <v>88920</v>
      </c>
      <c r="C148" s="7" t="s">
        <v>40</v>
      </c>
      <c r="D148" s="39">
        <v>46098</v>
      </c>
      <c r="E148" s="39" t="s">
        <v>13</v>
      </c>
      <c r="F148" s="39" t="s">
        <v>13</v>
      </c>
      <c r="G148" s="9">
        <v>6961</v>
      </c>
      <c r="H148" s="10">
        <v>6961</v>
      </c>
      <c r="I148" s="11">
        <v>13922</v>
      </c>
      <c r="J148" s="11">
        <f>IFERROR(VLOOKUP(B148,'Apr 26'!B:G,6,FALSE),0)</f>
        <v>6961</v>
      </c>
      <c r="K148" s="11">
        <v>0</v>
      </c>
      <c r="L148" s="11">
        <f t="shared" si="10"/>
        <v>0</v>
      </c>
    </row>
    <row r="149" spans="1:12" ht="16.5" thickTop="1" thickBot="1" x14ac:dyDescent="0.3">
      <c r="A149" s="5" t="s">
        <v>639</v>
      </c>
      <c r="B149" s="6">
        <v>89485</v>
      </c>
      <c r="C149" s="6" t="s">
        <v>40</v>
      </c>
      <c r="D149" s="39">
        <v>46141</v>
      </c>
      <c r="E149" s="39" t="s">
        <v>13</v>
      </c>
      <c r="F149" s="39" t="s">
        <v>13</v>
      </c>
      <c r="G149" s="9">
        <v>4915</v>
      </c>
      <c r="H149" s="10">
        <f>I149-G149</f>
        <v>4914</v>
      </c>
      <c r="I149" s="11">
        <v>9829</v>
      </c>
      <c r="J149" s="11">
        <f>IFERROR(VLOOKUP(B149,'Apr 26'!B:G,6,FALSE),0)</f>
        <v>4915</v>
      </c>
      <c r="K149" s="11">
        <f>IF(G149=0,J149-G149,0)</f>
        <v>0</v>
      </c>
      <c r="L149" s="11">
        <f t="shared" si="10"/>
        <v>0</v>
      </c>
    </row>
    <row r="150" spans="1:12" ht="16.5" thickTop="1" thickBot="1" x14ac:dyDescent="0.3">
      <c r="A150" s="5" t="s">
        <v>601</v>
      </c>
      <c r="B150" s="6">
        <v>86011</v>
      </c>
      <c r="C150" s="7" t="s">
        <v>40</v>
      </c>
      <c r="D150" s="39">
        <v>46126</v>
      </c>
      <c r="E150" s="39" t="s">
        <v>13</v>
      </c>
      <c r="F150" s="39" t="s">
        <v>13</v>
      </c>
      <c r="G150" s="9">
        <v>9490</v>
      </c>
      <c r="H150" s="10">
        <f>I150-G150</f>
        <v>9489</v>
      </c>
      <c r="I150" s="11">
        <v>18979</v>
      </c>
      <c r="J150" s="11">
        <f>IFERROR(VLOOKUP(B150,'Apr 26'!B:G,6,FALSE),0)</f>
        <v>9490</v>
      </c>
      <c r="K150" s="11">
        <v>0</v>
      </c>
      <c r="L150" s="11">
        <f t="shared" si="10"/>
        <v>0</v>
      </c>
    </row>
    <row r="151" spans="1:12" ht="16.5" thickTop="1" thickBot="1" x14ac:dyDescent="0.3">
      <c r="A151" s="5" t="s">
        <v>127</v>
      </c>
      <c r="B151" s="6">
        <v>86087</v>
      </c>
      <c r="C151" s="7" t="s">
        <v>78</v>
      </c>
      <c r="D151" s="39">
        <v>45930</v>
      </c>
      <c r="E151" s="39">
        <v>46119</v>
      </c>
      <c r="F151" s="39" t="s">
        <v>350</v>
      </c>
      <c r="G151" s="9">
        <f>16786+4260</f>
        <v>21046</v>
      </c>
      <c r="H151" s="10">
        <f>I151-G151</f>
        <v>12526</v>
      </c>
      <c r="I151" s="11">
        <v>33572</v>
      </c>
      <c r="J151" s="11">
        <f>IFERROR(VLOOKUP(B151,'Apr 26'!B:G,6,FALSE),0)</f>
        <v>21046</v>
      </c>
      <c r="K151" s="11">
        <v>0</v>
      </c>
      <c r="L151" s="11">
        <f t="shared" si="10"/>
        <v>0</v>
      </c>
    </row>
    <row r="152" spans="1:12" ht="16.5" thickTop="1" thickBot="1" x14ac:dyDescent="0.3">
      <c r="A152" s="5" t="s">
        <v>692</v>
      </c>
      <c r="B152" s="6">
        <v>90429</v>
      </c>
      <c r="C152" s="7" t="s">
        <v>23</v>
      </c>
      <c r="D152" s="39">
        <v>46170</v>
      </c>
      <c r="E152" s="39" t="s">
        <v>13</v>
      </c>
      <c r="F152" s="39" t="s">
        <v>13</v>
      </c>
      <c r="G152" s="9">
        <v>17956.509999999998</v>
      </c>
      <c r="H152" s="10">
        <f>I152-G152</f>
        <v>17956.500000000004</v>
      </c>
      <c r="I152" s="11">
        <v>35913.01</v>
      </c>
      <c r="J152" s="11"/>
      <c r="K152" s="11"/>
      <c r="L152" s="11">
        <f t="shared" si="10"/>
        <v>17956.509999999998</v>
      </c>
    </row>
    <row r="153" spans="1:12" ht="16.5" thickTop="1" thickBot="1" x14ac:dyDescent="0.3">
      <c r="A153" s="5" t="s">
        <v>688</v>
      </c>
      <c r="B153" s="6">
        <v>90882</v>
      </c>
      <c r="C153" s="7" t="s">
        <v>23</v>
      </c>
      <c r="D153" s="39">
        <v>46169</v>
      </c>
      <c r="E153" s="39" t="s">
        <v>13</v>
      </c>
      <c r="F153" s="39" t="s">
        <v>13</v>
      </c>
      <c r="G153" s="9">
        <v>6981.39</v>
      </c>
      <c r="H153" s="10">
        <f>I153-G153</f>
        <v>6981.38</v>
      </c>
      <c r="I153" s="11">
        <v>13962.77</v>
      </c>
      <c r="J153" s="11"/>
      <c r="K153" s="11"/>
      <c r="L153" s="11">
        <f t="shared" si="10"/>
        <v>6981.39</v>
      </c>
    </row>
    <row r="154" spans="1:12" ht="16.5" thickTop="1" thickBot="1" x14ac:dyDescent="0.3">
      <c r="A154" s="5" t="s">
        <v>501</v>
      </c>
      <c r="B154" s="6">
        <v>89555</v>
      </c>
      <c r="C154" s="7" t="s">
        <v>14</v>
      </c>
      <c r="D154" s="39">
        <v>46099</v>
      </c>
      <c r="E154" s="39">
        <v>46134</v>
      </c>
      <c r="F154" s="39">
        <v>46157</v>
      </c>
      <c r="G154" s="45">
        <v>0</v>
      </c>
      <c r="H154" s="10"/>
      <c r="I154" s="11"/>
      <c r="J154" s="11">
        <f>IFERROR(VLOOKUP(B154,'Apr 26'!B:G,6,FALSE),0)</f>
        <v>10888</v>
      </c>
      <c r="K154" s="11">
        <f>J154-G154</f>
        <v>10888</v>
      </c>
      <c r="L154" s="11" t="s">
        <v>613</v>
      </c>
    </row>
    <row r="155" spans="1:12" ht="16.5" thickTop="1" thickBot="1" x14ac:dyDescent="0.3">
      <c r="A155" s="5" t="s">
        <v>259</v>
      </c>
      <c r="B155" s="6">
        <v>88810</v>
      </c>
      <c r="C155" s="7" t="s">
        <v>14</v>
      </c>
      <c r="D155" s="39">
        <v>46050</v>
      </c>
      <c r="E155" s="39">
        <v>46090</v>
      </c>
      <c r="F155" s="39" t="s">
        <v>350</v>
      </c>
      <c r="G155" s="9">
        <v>22507</v>
      </c>
      <c r="H155" s="10">
        <v>22506</v>
      </c>
      <c r="I155" s="11">
        <v>45013</v>
      </c>
      <c r="J155" s="11">
        <f>IFERROR(VLOOKUP(B155,'Apr 26'!B:G,6,FALSE),0)</f>
        <v>22507</v>
      </c>
      <c r="K155" s="11">
        <v>0</v>
      </c>
      <c r="L155" s="11">
        <f t="shared" ref="L155:L175" si="11">G155-J155</f>
        <v>0</v>
      </c>
    </row>
    <row r="156" spans="1:12" ht="16.5" thickTop="1" thickBot="1" x14ac:dyDescent="0.3">
      <c r="A156" s="5" t="s">
        <v>99</v>
      </c>
      <c r="B156" s="6">
        <v>81910</v>
      </c>
      <c r="C156" s="7" t="s">
        <v>14</v>
      </c>
      <c r="D156" s="39">
        <v>45859</v>
      </c>
      <c r="E156" s="39">
        <v>46139</v>
      </c>
      <c r="F156" s="39" t="s">
        <v>353</v>
      </c>
      <c r="G156" s="9">
        <v>13876</v>
      </c>
      <c r="H156" s="10">
        <v>13875</v>
      </c>
      <c r="I156" s="11">
        <v>27751</v>
      </c>
      <c r="J156" s="11">
        <f>IFERROR(VLOOKUP(B156,'Apr 26'!B:G,6,FALSE),0)</f>
        <v>13876</v>
      </c>
      <c r="K156" s="11">
        <v>0</v>
      </c>
      <c r="L156" s="11">
        <f t="shared" si="11"/>
        <v>0</v>
      </c>
    </row>
    <row r="157" spans="1:12" ht="16.5" thickTop="1" thickBot="1" x14ac:dyDescent="0.3">
      <c r="A157" s="5" t="s">
        <v>624</v>
      </c>
      <c r="B157" s="6">
        <v>90268</v>
      </c>
      <c r="C157" s="7" t="s">
        <v>21</v>
      </c>
      <c r="D157" s="39">
        <v>46134</v>
      </c>
      <c r="E157" s="39" t="s">
        <v>13</v>
      </c>
      <c r="F157" s="39" t="s">
        <v>13</v>
      </c>
      <c r="G157" s="9">
        <v>13185</v>
      </c>
      <c r="H157" s="10">
        <f>I157-G157</f>
        <v>13185.64</v>
      </c>
      <c r="I157" s="11">
        <v>26370.639999999999</v>
      </c>
      <c r="J157" s="11">
        <f>IFERROR(VLOOKUP(B157,'Apr 26'!B:G,6,FALSE),0)</f>
        <v>13185</v>
      </c>
      <c r="K157" s="11">
        <f>IF(G157=0,J157-G157,0)</f>
        <v>0</v>
      </c>
      <c r="L157" s="11">
        <f t="shared" si="11"/>
        <v>0</v>
      </c>
    </row>
    <row r="158" spans="1:12" ht="16.5" thickTop="1" thickBot="1" x14ac:dyDescent="0.3">
      <c r="A158" s="5" t="s">
        <v>602</v>
      </c>
      <c r="B158" s="6">
        <v>90062</v>
      </c>
      <c r="C158" s="7" t="s">
        <v>21</v>
      </c>
      <c r="D158" s="39">
        <v>46125</v>
      </c>
      <c r="E158" s="39" t="s">
        <v>13</v>
      </c>
      <c r="F158" s="39" t="s">
        <v>13</v>
      </c>
      <c r="G158" s="9">
        <v>9484</v>
      </c>
      <c r="H158" s="10">
        <f>I158-G158</f>
        <v>9483.59</v>
      </c>
      <c r="I158" s="11">
        <v>18967.59</v>
      </c>
      <c r="J158" s="11">
        <f>IFERROR(VLOOKUP(B158,'Apr 26'!B:G,6,FALSE),0)</f>
        <v>9484</v>
      </c>
      <c r="K158" s="11">
        <v>0</v>
      </c>
      <c r="L158" s="11">
        <f t="shared" si="11"/>
        <v>0</v>
      </c>
    </row>
    <row r="159" spans="1:12" ht="16.5" thickTop="1" thickBot="1" x14ac:dyDescent="0.3">
      <c r="A159" s="5" t="s">
        <v>630</v>
      </c>
      <c r="B159" s="6">
        <v>90348</v>
      </c>
      <c r="C159" s="7" t="s">
        <v>255</v>
      </c>
      <c r="D159" s="39">
        <v>46136</v>
      </c>
      <c r="E159" s="39" t="s">
        <v>13</v>
      </c>
      <c r="F159" s="39" t="s">
        <v>13</v>
      </c>
      <c r="G159" s="9">
        <v>10078</v>
      </c>
      <c r="H159" s="10">
        <f>I159-G159</f>
        <v>10078.740000000002</v>
      </c>
      <c r="I159" s="11">
        <v>20156.740000000002</v>
      </c>
      <c r="J159" s="11">
        <f>IFERROR(VLOOKUP(B159,'Apr 26'!B:G,6,FALSE),0)</f>
        <v>10078</v>
      </c>
      <c r="K159" s="11">
        <f>IF(G159=0,J159-G159,0)</f>
        <v>0</v>
      </c>
      <c r="L159" s="11">
        <f t="shared" si="11"/>
        <v>0</v>
      </c>
    </row>
    <row r="160" spans="1:12" ht="16.5" thickTop="1" thickBot="1" x14ac:dyDescent="0.3">
      <c r="A160" s="5" t="s">
        <v>672</v>
      </c>
      <c r="B160" s="6">
        <v>90293</v>
      </c>
      <c r="C160" s="7" t="s">
        <v>44</v>
      </c>
      <c r="D160" s="39">
        <v>46160</v>
      </c>
      <c r="E160" s="39" t="s">
        <v>13</v>
      </c>
      <c r="F160" s="39" t="s">
        <v>13</v>
      </c>
      <c r="G160" s="9">
        <v>17650.97</v>
      </c>
      <c r="H160" s="10">
        <f>I160-G160</f>
        <v>17650.96</v>
      </c>
      <c r="I160" s="11">
        <v>35301.93</v>
      </c>
      <c r="J160" s="11"/>
      <c r="K160" s="11"/>
      <c r="L160" s="11">
        <f t="shared" si="11"/>
        <v>17650.97</v>
      </c>
    </row>
    <row r="161" spans="1:12" ht="16.5" thickTop="1" thickBot="1" x14ac:dyDescent="0.3">
      <c r="A161" s="5" t="s">
        <v>644</v>
      </c>
      <c r="B161" s="6">
        <v>90446</v>
      </c>
      <c r="C161" s="7" t="s">
        <v>28</v>
      </c>
      <c r="D161" s="39">
        <v>46143</v>
      </c>
      <c r="E161" s="39" t="s">
        <v>13</v>
      </c>
      <c r="F161" s="39" t="s">
        <v>13</v>
      </c>
      <c r="G161" s="9">
        <v>24255</v>
      </c>
      <c r="H161" s="10">
        <f>I161-G161</f>
        <v>24255.379999999997</v>
      </c>
      <c r="I161" s="11">
        <v>48510.38</v>
      </c>
      <c r="J161" s="11">
        <f>IFERROR(VLOOKUP(B161,'Apr 26'!B:G,6,FALSE),0)</f>
        <v>0</v>
      </c>
      <c r="K161" s="11">
        <v>0</v>
      </c>
      <c r="L161" s="11">
        <f t="shared" si="11"/>
        <v>24255</v>
      </c>
    </row>
    <row r="162" spans="1:12" ht="16.5" thickTop="1" thickBot="1" x14ac:dyDescent="0.3">
      <c r="A162" s="5" t="s">
        <v>573</v>
      </c>
      <c r="B162" s="6">
        <v>88415</v>
      </c>
      <c r="C162" s="7" t="s">
        <v>62</v>
      </c>
      <c r="D162" s="39">
        <v>46112</v>
      </c>
      <c r="E162" s="39" t="s">
        <v>13</v>
      </c>
      <c r="F162" s="39" t="s">
        <v>13</v>
      </c>
      <c r="G162" s="9">
        <v>64984</v>
      </c>
      <c r="H162" s="10">
        <v>64984</v>
      </c>
      <c r="I162" s="11">
        <v>129968</v>
      </c>
      <c r="J162" s="11">
        <f>IFERROR(VLOOKUP(B162,'Apr 26'!B:G,6,FALSE),0)</f>
        <v>64984</v>
      </c>
      <c r="K162" s="11">
        <v>0</v>
      </c>
      <c r="L162" s="11">
        <f t="shared" si="11"/>
        <v>0</v>
      </c>
    </row>
    <row r="163" spans="1:12" ht="16.5" thickTop="1" thickBot="1" x14ac:dyDescent="0.3">
      <c r="A163" s="5" t="s">
        <v>500</v>
      </c>
      <c r="B163" s="6">
        <v>88490</v>
      </c>
      <c r="C163" s="7" t="s">
        <v>19</v>
      </c>
      <c r="D163" s="39">
        <v>46099</v>
      </c>
      <c r="E163" s="39" t="s">
        <v>13</v>
      </c>
      <c r="F163" s="39" t="s">
        <v>13</v>
      </c>
      <c r="G163" s="9">
        <v>21569</v>
      </c>
      <c r="H163" s="10">
        <v>21569</v>
      </c>
      <c r="I163" s="11">
        <v>43138</v>
      </c>
      <c r="J163" s="11">
        <f>IFERROR(VLOOKUP(B163,'Apr 26'!B:G,6,FALSE),0)</f>
        <v>21569</v>
      </c>
      <c r="K163" s="11">
        <v>0</v>
      </c>
      <c r="L163" s="11">
        <f t="shared" si="11"/>
        <v>0</v>
      </c>
    </row>
    <row r="164" spans="1:12" ht="16.5" thickTop="1" thickBot="1" x14ac:dyDescent="0.3">
      <c r="A164" s="5" t="s">
        <v>149</v>
      </c>
      <c r="B164" s="6">
        <v>87713</v>
      </c>
      <c r="C164" s="7" t="s">
        <v>31</v>
      </c>
      <c r="D164" s="39">
        <v>45960</v>
      </c>
      <c r="E164" s="39" t="s">
        <v>13</v>
      </c>
      <c r="F164" s="39" t="s">
        <v>13</v>
      </c>
      <c r="G164" s="9">
        <v>192821</v>
      </c>
      <c r="H164" s="10">
        <v>192821</v>
      </c>
      <c r="I164" s="11">
        <v>385642</v>
      </c>
      <c r="J164" s="11">
        <f>IFERROR(VLOOKUP(B164,'Apr 26'!B:G,6,FALSE),0)</f>
        <v>192821</v>
      </c>
      <c r="K164" s="11">
        <v>0</v>
      </c>
      <c r="L164" s="11">
        <f t="shared" si="11"/>
        <v>0</v>
      </c>
    </row>
    <row r="165" spans="1:12" ht="16.5" thickTop="1" thickBot="1" x14ac:dyDescent="0.3">
      <c r="A165" s="5" t="s">
        <v>150</v>
      </c>
      <c r="B165" s="6">
        <v>87716</v>
      </c>
      <c r="C165" s="7" t="s">
        <v>31</v>
      </c>
      <c r="D165" s="39">
        <v>45960</v>
      </c>
      <c r="E165" s="39" t="s">
        <v>13</v>
      </c>
      <c r="F165" s="39" t="s">
        <v>13</v>
      </c>
      <c r="G165" s="9">
        <v>94522</v>
      </c>
      <c r="H165" s="10">
        <v>94521</v>
      </c>
      <c r="I165" s="11">
        <v>189043</v>
      </c>
      <c r="J165" s="11">
        <f>IFERROR(VLOOKUP(B165,'Apr 26'!B:G,6,FALSE),0)</f>
        <v>94522</v>
      </c>
      <c r="K165" s="11">
        <v>0</v>
      </c>
      <c r="L165" s="11">
        <f t="shared" si="11"/>
        <v>0</v>
      </c>
    </row>
    <row r="166" spans="1:12" ht="16.5" thickTop="1" thickBot="1" x14ac:dyDescent="0.3">
      <c r="A166" s="5" t="s">
        <v>377</v>
      </c>
      <c r="B166" s="6">
        <v>88750</v>
      </c>
      <c r="C166" s="7" t="s">
        <v>62</v>
      </c>
      <c r="D166" s="39">
        <v>46093</v>
      </c>
      <c r="E166" s="39" t="s">
        <v>13</v>
      </c>
      <c r="F166" s="39" t="s">
        <v>13</v>
      </c>
      <c r="G166" s="9">
        <v>44798</v>
      </c>
      <c r="H166" s="10">
        <v>48405</v>
      </c>
      <c r="I166" s="11">
        <v>93203</v>
      </c>
      <c r="J166" s="11">
        <f>IFERROR(VLOOKUP(B166,'Apr 26'!B:G,6,FALSE),0)</f>
        <v>44798</v>
      </c>
      <c r="K166" s="11">
        <v>0</v>
      </c>
      <c r="L166" s="11">
        <f t="shared" si="11"/>
        <v>0</v>
      </c>
    </row>
    <row r="167" spans="1:12" ht="16.5" thickTop="1" thickBot="1" x14ac:dyDescent="0.3">
      <c r="A167" s="5" t="s">
        <v>571</v>
      </c>
      <c r="B167" s="6">
        <v>89472</v>
      </c>
      <c r="C167" s="7" t="s">
        <v>572</v>
      </c>
      <c r="D167" s="39">
        <v>46111</v>
      </c>
      <c r="E167" s="39" t="s">
        <v>13</v>
      </c>
      <c r="F167" s="39" t="s">
        <v>13</v>
      </c>
      <c r="G167" s="9">
        <v>58315.5</v>
      </c>
      <c r="H167" s="10">
        <f>I167-G167</f>
        <v>58315.5</v>
      </c>
      <c r="I167" s="11">
        <v>116631</v>
      </c>
      <c r="J167" s="11">
        <f>IFERROR(VLOOKUP(B167,'Apr 26'!B:G,6,FALSE),0)</f>
        <v>58315.5</v>
      </c>
      <c r="K167" s="11">
        <v>0</v>
      </c>
      <c r="L167" s="11">
        <f t="shared" si="11"/>
        <v>0</v>
      </c>
    </row>
    <row r="168" spans="1:12" ht="16.5" thickTop="1" thickBot="1" x14ac:dyDescent="0.3">
      <c r="A168" s="5" t="s">
        <v>171</v>
      </c>
      <c r="B168" s="6">
        <v>87145</v>
      </c>
      <c r="C168" s="7" t="s">
        <v>23</v>
      </c>
      <c r="D168" s="39">
        <v>45982</v>
      </c>
      <c r="E168" s="39" t="s">
        <v>13</v>
      </c>
      <c r="F168" s="39" t="s">
        <v>13</v>
      </c>
      <c r="G168" s="9">
        <v>100990</v>
      </c>
      <c r="H168" s="10">
        <v>100990</v>
      </c>
      <c r="I168" s="11">
        <v>201980</v>
      </c>
      <c r="J168" s="11">
        <f>IFERROR(VLOOKUP(B168,'Apr 26'!B:G,6,FALSE),0)</f>
        <v>100990</v>
      </c>
      <c r="K168" s="11">
        <v>0</v>
      </c>
      <c r="L168" s="11">
        <f t="shared" si="11"/>
        <v>0</v>
      </c>
    </row>
    <row r="169" spans="1:12" ht="16.5" thickTop="1" thickBot="1" x14ac:dyDescent="0.3">
      <c r="A169" s="5" t="s">
        <v>376</v>
      </c>
      <c r="B169" s="6">
        <v>87907</v>
      </c>
      <c r="C169" s="7" t="s">
        <v>20</v>
      </c>
      <c r="D169" s="39">
        <v>46093</v>
      </c>
      <c r="E169" s="39" t="s">
        <v>13</v>
      </c>
      <c r="F169" s="39" t="s">
        <v>13</v>
      </c>
      <c r="G169" s="9">
        <v>10418</v>
      </c>
      <c r="H169" s="10">
        <v>10418</v>
      </c>
      <c r="I169" s="11">
        <v>20836</v>
      </c>
      <c r="J169" s="11">
        <f>IFERROR(VLOOKUP(B169,'Apr 26'!B:G,6,FALSE),0)</f>
        <v>10418</v>
      </c>
      <c r="K169" s="11">
        <v>0</v>
      </c>
      <c r="L169" s="11">
        <f t="shared" si="11"/>
        <v>0</v>
      </c>
    </row>
    <row r="170" spans="1:12" ht="16.5" thickTop="1" thickBot="1" x14ac:dyDescent="0.3">
      <c r="A170" s="5" t="s">
        <v>124</v>
      </c>
      <c r="B170" s="6">
        <v>87412</v>
      </c>
      <c r="C170" s="7" t="s">
        <v>23</v>
      </c>
      <c r="D170" s="39">
        <v>45926</v>
      </c>
      <c r="E170" s="39">
        <v>46070</v>
      </c>
      <c r="F170" s="39" t="s">
        <v>577</v>
      </c>
      <c r="G170" s="9">
        <v>56417.91</v>
      </c>
      <c r="H170" s="10">
        <v>56668.09</v>
      </c>
      <c r="I170" s="11">
        <v>113086</v>
      </c>
      <c r="J170" s="11">
        <f>IFERROR(VLOOKUP(B170,'Apr 26'!B:G,6,FALSE),0)</f>
        <v>56417.91</v>
      </c>
      <c r="K170" s="11">
        <v>0</v>
      </c>
      <c r="L170" s="11">
        <f t="shared" si="11"/>
        <v>0</v>
      </c>
    </row>
    <row r="171" spans="1:12" ht="16.5" thickTop="1" thickBot="1" x14ac:dyDescent="0.3">
      <c r="A171" s="5" t="s">
        <v>357</v>
      </c>
      <c r="B171" s="6">
        <v>88948</v>
      </c>
      <c r="C171" s="7" t="s">
        <v>23</v>
      </c>
      <c r="D171" s="39">
        <v>46084</v>
      </c>
      <c r="E171" s="39" t="s">
        <v>13</v>
      </c>
      <c r="F171" s="39" t="s">
        <v>13</v>
      </c>
      <c r="G171" s="9">
        <v>55860.75</v>
      </c>
      <c r="H171" s="10">
        <v>56989.25</v>
      </c>
      <c r="I171" s="11">
        <v>112850</v>
      </c>
      <c r="J171" s="11">
        <f>IFERROR(VLOOKUP(B171,'Apr 26'!B:G,6,FALSE),0)</f>
        <v>55860.75</v>
      </c>
      <c r="K171" s="11">
        <v>0</v>
      </c>
      <c r="L171" s="11">
        <f t="shared" si="11"/>
        <v>0</v>
      </c>
    </row>
    <row r="172" spans="1:12" ht="16.5" thickTop="1" thickBot="1" x14ac:dyDescent="0.3">
      <c r="A172" s="5" t="s">
        <v>689</v>
      </c>
      <c r="B172" s="6">
        <v>88063</v>
      </c>
      <c r="C172" s="7" t="s">
        <v>23</v>
      </c>
      <c r="D172" s="39">
        <v>46169</v>
      </c>
      <c r="E172" s="39" t="s">
        <v>13</v>
      </c>
      <c r="F172" s="39" t="s">
        <v>13</v>
      </c>
      <c r="G172" s="9">
        <v>11338.47</v>
      </c>
      <c r="H172" s="10">
        <f>I172-G172</f>
        <v>11567.53</v>
      </c>
      <c r="I172" s="11">
        <v>22906</v>
      </c>
      <c r="J172" s="11"/>
      <c r="K172" s="11"/>
      <c r="L172" s="11">
        <f t="shared" si="11"/>
        <v>11338.47</v>
      </c>
    </row>
    <row r="173" spans="1:12" ht="16.5" thickTop="1" thickBot="1" x14ac:dyDescent="0.3">
      <c r="A173" s="5" t="s">
        <v>621</v>
      </c>
      <c r="B173" s="6">
        <v>90227</v>
      </c>
      <c r="C173" s="7" t="s">
        <v>23</v>
      </c>
      <c r="D173" s="39">
        <v>46139</v>
      </c>
      <c r="E173" s="39" t="s">
        <v>13</v>
      </c>
      <c r="F173" s="39" t="s">
        <v>13</v>
      </c>
      <c r="G173" s="9">
        <v>9372.7000000000007</v>
      </c>
      <c r="H173" s="10">
        <f>I173-G173</f>
        <v>9753.739999999998</v>
      </c>
      <c r="I173" s="11">
        <v>19126.439999999999</v>
      </c>
      <c r="J173" s="11">
        <f>IFERROR(VLOOKUP(B173,'Apr 26'!B:G,6,FALSE),0)</f>
        <v>9372.7000000000007</v>
      </c>
      <c r="K173" s="11">
        <f>IF(G173=0,J173-G173,0)</f>
        <v>0</v>
      </c>
      <c r="L173" s="11">
        <f t="shared" si="11"/>
        <v>0</v>
      </c>
    </row>
    <row r="174" spans="1:12" ht="16.5" thickTop="1" thickBot="1" x14ac:dyDescent="0.3">
      <c r="A174" s="5" t="s">
        <v>677</v>
      </c>
      <c r="B174" s="6">
        <v>90742</v>
      </c>
      <c r="C174" s="7" t="s">
        <v>23</v>
      </c>
      <c r="D174" s="39">
        <v>46163</v>
      </c>
      <c r="E174" s="39" t="s">
        <v>13</v>
      </c>
      <c r="F174" s="39" t="s">
        <v>13</v>
      </c>
      <c r="G174" s="9">
        <v>4275.6099999999997</v>
      </c>
      <c r="H174" s="10">
        <f>I174-G174</f>
        <v>4275.6099999999997</v>
      </c>
      <c r="I174" s="11">
        <v>8551.2199999999993</v>
      </c>
      <c r="J174" s="11"/>
      <c r="K174" s="11"/>
      <c r="L174" s="11">
        <f t="shared" si="11"/>
        <v>4275.6099999999997</v>
      </c>
    </row>
    <row r="175" spans="1:12" ht="16.5" thickTop="1" thickBot="1" x14ac:dyDescent="0.3">
      <c r="A175" s="5" t="s">
        <v>683</v>
      </c>
      <c r="B175" s="6">
        <v>90741</v>
      </c>
      <c r="C175" s="7" t="s">
        <v>23</v>
      </c>
      <c r="D175" s="39">
        <v>46168</v>
      </c>
      <c r="E175" s="39" t="s">
        <v>13</v>
      </c>
      <c r="F175" s="39" t="s">
        <v>13</v>
      </c>
      <c r="G175" s="9">
        <v>15437.15</v>
      </c>
      <c r="H175" s="10">
        <f>I175-G175</f>
        <v>15749.000000000002</v>
      </c>
      <c r="I175" s="11">
        <v>31186.15</v>
      </c>
      <c r="J175" s="11"/>
      <c r="K175" s="11"/>
      <c r="L175" s="11">
        <f t="shared" si="11"/>
        <v>15437.15</v>
      </c>
    </row>
    <row r="176" spans="1:12" ht="16.5" thickTop="1" thickBot="1" x14ac:dyDescent="0.3">
      <c r="A176" s="5" t="s">
        <v>498</v>
      </c>
      <c r="B176" s="6">
        <v>89372</v>
      </c>
      <c r="C176" s="7" t="s">
        <v>57</v>
      </c>
      <c r="D176" s="39">
        <v>46099</v>
      </c>
      <c r="E176" s="39">
        <v>46120</v>
      </c>
      <c r="F176" s="39">
        <v>46148</v>
      </c>
      <c r="G176" s="45">
        <v>0</v>
      </c>
      <c r="H176" s="10"/>
      <c r="I176" s="11"/>
      <c r="J176" s="11">
        <f>IFERROR(VLOOKUP(B176,'Apr 26'!B:G,6,FALSE),0)</f>
        <v>14007</v>
      </c>
      <c r="K176" s="11">
        <f>J176-G176</f>
        <v>14007</v>
      </c>
      <c r="L176" s="11" t="s">
        <v>613</v>
      </c>
    </row>
    <row r="177" spans="1:12" ht="16.5" thickTop="1" thickBot="1" x14ac:dyDescent="0.3">
      <c r="A177" s="5" t="s">
        <v>607</v>
      </c>
      <c r="B177" s="6">
        <v>89641</v>
      </c>
      <c r="C177" s="7" t="s">
        <v>57</v>
      </c>
      <c r="D177" s="39">
        <v>46113</v>
      </c>
      <c r="E177" s="39" t="s">
        <v>13</v>
      </c>
      <c r="F177" s="39" t="s">
        <v>13</v>
      </c>
      <c r="G177" s="9">
        <v>15548</v>
      </c>
      <c r="H177" s="10">
        <f>I177-G177</f>
        <v>15547</v>
      </c>
      <c r="I177" s="11">
        <v>31095</v>
      </c>
      <c r="J177" s="11">
        <f>IFERROR(VLOOKUP(B177,'Apr 26'!B:G,6,FALSE),0)</f>
        <v>15548</v>
      </c>
      <c r="K177" s="11">
        <v>0</v>
      </c>
      <c r="L177" s="11">
        <f>G177-J177</f>
        <v>0</v>
      </c>
    </row>
    <row r="178" spans="1:12" ht="16.5" thickTop="1" thickBot="1" x14ac:dyDescent="0.3">
      <c r="A178" s="5" t="s">
        <v>331</v>
      </c>
      <c r="B178" s="6">
        <v>89367</v>
      </c>
      <c r="C178" s="7" t="s">
        <v>57</v>
      </c>
      <c r="D178" s="39">
        <v>46076</v>
      </c>
      <c r="E178" s="39" t="s">
        <v>13</v>
      </c>
      <c r="F178" s="39" t="s">
        <v>13</v>
      </c>
      <c r="G178" s="9">
        <v>105339.96</v>
      </c>
      <c r="H178" s="10">
        <v>107468.04</v>
      </c>
      <c r="I178" s="11">
        <v>212808</v>
      </c>
      <c r="J178" s="11">
        <f>IFERROR(VLOOKUP(B178,'Apr 26'!B:G,6,FALSE),0)</f>
        <v>105339.96</v>
      </c>
      <c r="K178" s="11">
        <v>0</v>
      </c>
      <c r="L178" s="11">
        <f>G178-J178</f>
        <v>0</v>
      </c>
    </row>
    <row r="179" spans="1:12" ht="16.5" thickTop="1" thickBot="1" x14ac:dyDescent="0.3">
      <c r="A179" s="5" t="s">
        <v>366</v>
      </c>
      <c r="B179" s="6">
        <v>89414</v>
      </c>
      <c r="C179" s="7" t="s">
        <v>57</v>
      </c>
      <c r="D179" s="39">
        <v>46090</v>
      </c>
      <c r="E179" s="39">
        <v>46134</v>
      </c>
      <c r="F179" s="39">
        <v>46171</v>
      </c>
      <c r="G179" s="45">
        <v>0</v>
      </c>
      <c r="H179" s="10"/>
      <c r="I179" s="11"/>
      <c r="J179" s="11">
        <f>IFERROR(VLOOKUP(B179,'Apr 26'!B:G,6,FALSE),0)</f>
        <v>7799.22</v>
      </c>
      <c r="K179" s="11">
        <f>IF(G179=0,J179-G179,0)</f>
        <v>7799.22</v>
      </c>
      <c r="L179" s="11" t="s">
        <v>613</v>
      </c>
    </row>
    <row r="180" spans="1:12" ht="16.5" thickTop="1" thickBot="1" x14ac:dyDescent="0.3">
      <c r="A180" s="5" t="s">
        <v>109</v>
      </c>
      <c r="B180" s="6">
        <v>86334</v>
      </c>
      <c r="C180" s="7" t="s">
        <v>23</v>
      </c>
      <c r="D180" s="39">
        <v>45890</v>
      </c>
      <c r="E180" s="39" t="s">
        <v>13</v>
      </c>
      <c r="F180" s="39" t="s">
        <v>13</v>
      </c>
      <c r="G180" s="9">
        <v>5093.55</v>
      </c>
      <c r="H180" s="10">
        <v>5195.45</v>
      </c>
      <c r="I180" s="11">
        <v>10289</v>
      </c>
      <c r="J180" s="11">
        <f>IFERROR(VLOOKUP(B180,'Apr 26'!B:G,6,FALSE),0)</f>
        <v>5093.55</v>
      </c>
      <c r="K180" s="11">
        <v>0</v>
      </c>
      <c r="L180" s="11">
        <f t="shared" ref="L180:L189" si="12">G180-J180</f>
        <v>0</v>
      </c>
    </row>
    <row r="181" spans="1:12" ht="16.5" thickTop="1" thickBot="1" x14ac:dyDescent="0.3">
      <c r="A181" s="5" t="s">
        <v>474</v>
      </c>
      <c r="B181" s="6">
        <v>89609</v>
      </c>
      <c r="C181" s="7" t="s">
        <v>20</v>
      </c>
      <c r="D181" s="39">
        <v>46094</v>
      </c>
      <c r="E181" s="39">
        <v>46114</v>
      </c>
      <c r="F181" s="39" t="s">
        <v>351</v>
      </c>
      <c r="G181" s="9">
        <v>6258.05</v>
      </c>
      <c r="H181" s="10">
        <v>6258.04</v>
      </c>
      <c r="I181" s="11">
        <v>12516.09</v>
      </c>
      <c r="J181" s="11">
        <f>IFERROR(VLOOKUP(B181,'Apr 26'!B:G,6,FALSE),0)</f>
        <v>6258.05</v>
      </c>
      <c r="K181" s="11">
        <v>0</v>
      </c>
      <c r="L181" s="11">
        <f t="shared" si="12"/>
        <v>0</v>
      </c>
    </row>
    <row r="182" spans="1:12" ht="16.5" thickTop="1" thickBot="1" x14ac:dyDescent="0.3">
      <c r="A182" s="5" t="s">
        <v>341</v>
      </c>
      <c r="B182" s="6">
        <v>87599</v>
      </c>
      <c r="C182" s="7" t="s">
        <v>27</v>
      </c>
      <c r="D182" s="39">
        <v>46080</v>
      </c>
      <c r="E182" s="39" t="s">
        <v>13</v>
      </c>
      <c r="F182" s="39" t="s">
        <v>13</v>
      </c>
      <c r="G182" s="9">
        <v>51424.45</v>
      </c>
      <c r="H182" s="10">
        <v>73834.55</v>
      </c>
      <c r="I182" s="11">
        <v>125259</v>
      </c>
      <c r="J182" s="11">
        <f>IFERROR(VLOOKUP(B182,'Apr 26'!B:G,6,FALSE),0)</f>
        <v>51424.45</v>
      </c>
      <c r="K182" s="11">
        <v>0</v>
      </c>
      <c r="L182" s="11">
        <f t="shared" si="12"/>
        <v>0</v>
      </c>
    </row>
    <row r="183" spans="1:12" ht="16.5" thickTop="1" thickBot="1" x14ac:dyDescent="0.3">
      <c r="A183" s="5" t="s">
        <v>110</v>
      </c>
      <c r="B183" s="6">
        <v>84075</v>
      </c>
      <c r="C183" s="7" t="s">
        <v>14</v>
      </c>
      <c r="D183" s="39">
        <v>45894</v>
      </c>
      <c r="E183" s="39" t="s">
        <v>13</v>
      </c>
      <c r="F183" s="39" t="s">
        <v>13</v>
      </c>
      <c r="G183" s="9">
        <v>13567</v>
      </c>
      <c r="H183" s="10">
        <v>13566</v>
      </c>
      <c r="I183" s="11">
        <v>27133</v>
      </c>
      <c r="J183" s="11">
        <f>IFERROR(VLOOKUP(B183,'Apr 26'!B:G,6,FALSE),0)</f>
        <v>13567</v>
      </c>
      <c r="K183" s="11">
        <v>0</v>
      </c>
      <c r="L183" s="11">
        <f t="shared" si="12"/>
        <v>0</v>
      </c>
    </row>
    <row r="184" spans="1:12" ht="16.5" thickTop="1" thickBot="1" x14ac:dyDescent="0.3">
      <c r="A184" s="5" t="s">
        <v>97</v>
      </c>
      <c r="B184" s="6">
        <v>84726</v>
      </c>
      <c r="C184" s="7" t="s">
        <v>14</v>
      </c>
      <c r="D184" s="39">
        <v>45845</v>
      </c>
      <c r="E184" s="39">
        <v>46141</v>
      </c>
      <c r="F184" s="39" t="s">
        <v>353</v>
      </c>
      <c r="G184" s="9">
        <v>231351</v>
      </c>
      <c r="H184" s="10">
        <v>231350</v>
      </c>
      <c r="I184" s="11">
        <v>462701</v>
      </c>
      <c r="J184" s="11">
        <f>IFERROR(VLOOKUP(B184,'Apr 26'!B:G,6,FALSE),0)</f>
        <v>231351</v>
      </c>
      <c r="K184" s="11">
        <v>0</v>
      </c>
      <c r="L184" s="11">
        <f t="shared" si="12"/>
        <v>0</v>
      </c>
    </row>
    <row r="185" spans="1:12" ht="16.5" thickTop="1" thickBot="1" x14ac:dyDescent="0.3">
      <c r="A185" s="5" t="s">
        <v>96</v>
      </c>
      <c r="B185" s="6">
        <v>84719</v>
      </c>
      <c r="C185" s="7" t="s">
        <v>14</v>
      </c>
      <c r="D185" s="39">
        <v>45845</v>
      </c>
      <c r="E185" s="39">
        <v>46133</v>
      </c>
      <c r="F185" s="39" t="s">
        <v>353</v>
      </c>
      <c r="G185" s="9">
        <v>416603</v>
      </c>
      <c r="H185" s="10">
        <v>416602</v>
      </c>
      <c r="I185" s="11">
        <v>833205</v>
      </c>
      <c r="J185" s="11">
        <f>IFERROR(VLOOKUP(B185,'Apr 26'!B:G,6,FALSE),0)</f>
        <v>416603</v>
      </c>
      <c r="K185" s="11">
        <v>0</v>
      </c>
      <c r="L185" s="11">
        <f t="shared" si="12"/>
        <v>0</v>
      </c>
    </row>
    <row r="186" spans="1:12" ht="16.5" thickTop="1" thickBot="1" x14ac:dyDescent="0.3">
      <c r="A186" s="5" t="s">
        <v>659</v>
      </c>
      <c r="B186" s="6">
        <v>88243</v>
      </c>
      <c r="C186" s="7" t="s">
        <v>27</v>
      </c>
      <c r="D186" s="39" t="s">
        <v>668</v>
      </c>
      <c r="E186" s="39" t="s">
        <v>13</v>
      </c>
      <c r="F186" s="39" t="s">
        <v>13</v>
      </c>
      <c r="G186" s="9">
        <v>11197</v>
      </c>
      <c r="H186" s="10">
        <f>I186-G186</f>
        <v>11196</v>
      </c>
      <c r="I186" s="11">
        <v>22393</v>
      </c>
      <c r="J186" s="11">
        <f>IFERROR(VLOOKUP(B186,'Apr 26'!B:G,6,FALSE),0)</f>
        <v>0</v>
      </c>
      <c r="K186" s="11">
        <v>0</v>
      </c>
      <c r="L186" s="11">
        <f t="shared" si="12"/>
        <v>11197</v>
      </c>
    </row>
    <row r="187" spans="1:12" ht="16.5" thickTop="1" thickBot="1" x14ac:dyDescent="0.3">
      <c r="A187" s="5" t="s">
        <v>694</v>
      </c>
      <c r="B187" s="6">
        <v>88512</v>
      </c>
      <c r="C187" s="7" t="s">
        <v>14</v>
      </c>
      <c r="D187" s="39">
        <v>46171</v>
      </c>
      <c r="E187" s="39" t="s">
        <v>13</v>
      </c>
      <c r="F187" s="39" t="s">
        <v>13</v>
      </c>
      <c r="G187" s="9">
        <v>33240</v>
      </c>
      <c r="H187" s="10">
        <f>I187-G187</f>
        <v>33240</v>
      </c>
      <c r="I187" s="11">
        <v>66480</v>
      </c>
      <c r="J187" s="11"/>
      <c r="K187" s="11"/>
      <c r="L187" s="11">
        <f t="shared" si="12"/>
        <v>33240</v>
      </c>
    </row>
    <row r="188" spans="1:12" ht="16.5" thickTop="1" thickBot="1" x14ac:dyDescent="0.3">
      <c r="A188" s="5" t="s">
        <v>261</v>
      </c>
      <c r="B188" s="6">
        <v>88206</v>
      </c>
      <c r="C188" s="7" t="s">
        <v>14</v>
      </c>
      <c r="D188" s="39">
        <v>46050</v>
      </c>
      <c r="E188" s="39" t="s">
        <v>13</v>
      </c>
      <c r="F188" s="39" t="s">
        <v>13</v>
      </c>
      <c r="G188" s="9">
        <v>42008</v>
      </c>
      <c r="H188" s="10">
        <v>42008</v>
      </c>
      <c r="I188" s="11">
        <v>84016</v>
      </c>
      <c r="J188" s="11">
        <f>IFERROR(VLOOKUP(B188,'Apr 26'!B:G,6,FALSE),0)</f>
        <v>42008</v>
      </c>
      <c r="K188" s="11">
        <v>0</v>
      </c>
      <c r="L188" s="11">
        <f t="shared" si="12"/>
        <v>0</v>
      </c>
    </row>
    <row r="189" spans="1:12" ht="16.5" thickTop="1" thickBot="1" x14ac:dyDescent="0.3">
      <c r="A189" s="12" t="s">
        <v>608</v>
      </c>
      <c r="B189" s="13">
        <v>89471</v>
      </c>
      <c r="C189" s="14" t="s">
        <v>32</v>
      </c>
      <c r="D189" s="40">
        <v>46118</v>
      </c>
      <c r="E189" s="40" t="s">
        <v>13</v>
      </c>
      <c r="F189" s="40" t="s">
        <v>13</v>
      </c>
      <c r="G189" s="16">
        <v>22066</v>
      </c>
      <c r="H189" s="17">
        <f>I189-G189</f>
        <v>0</v>
      </c>
      <c r="I189" s="18">
        <v>22066</v>
      </c>
      <c r="J189" s="18">
        <f>IFERROR(VLOOKUP(B189,'Apr 26'!B:G,6,FALSE),0)</f>
        <v>22066</v>
      </c>
      <c r="K189" s="18">
        <v>0</v>
      </c>
      <c r="L189" s="18">
        <f t="shared" si="12"/>
        <v>0</v>
      </c>
    </row>
    <row r="190" spans="1:12" ht="16.5" thickTop="1" thickBot="1" x14ac:dyDescent="0.3">
      <c r="A190" s="12" t="s">
        <v>603</v>
      </c>
      <c r="B190" s="13">
        <v>89987</v>
      </c>
      <c r="C190" s="14" t="s">
        <v>32</v>
      </c>
      <c r="D190" s="40">
        <v>46115</v>
      </c>
      <c r="E190" s="40">
        <v>46134</v>
      </c>
      <c r="F190" s="40">
        <v>46163</v>
      </c>
      <c r="G190" s="45">
        <v>0</v>
      </c>
      <c r="H190" s="17"/>
      <c r="I190" s="18"/>
      <c r="J190" s="18">
        <f>IFERROR(VLOOKUP(B190,'Apr 26'!B:G,6,FALSE),0)</f>
        <v>10075.18</v>
      </c>
      <c r="K190" s="18">
        <f>J190-G190</f>
        <v>10075.18</v>
      </c>
      <c r="L190" s="18" t="s">
        <v>613</v>
      </c>
    </row>
    <row r="191" spans="1:12" ht="16.5" thickTop="1" thickBot="1" x14ac:dyDescent="0.3">
      <c r="A191" s="5" t="s">
        <v>277</v>
      </c>
      <c r="B191" s="6">
        <v>89065</v>
      </c>
      <c r="C191" s="7" t="s">
        <v>32</v>
      </c>
      <c r="D191" s="39">
        <v>46062</v>
      </c>
      <c r="E191" s="39">
        <v>46098</v>
      </c>
      <c r="F191" s="39">
        <v>46143</v>
      </c>
      <c r="G191" s="45">
        <v>0</v>
      </c>
      <c r="H191" s="10"/>
      <c r="I191" s="11"/>
      <c r="J191" s="11">
        <f>IFERROR(VLOOKUP(B191,'Apr 26'!B:G,6,FALSE),0)</f>
        <v>33289</v>
      </c>
      <c r="K191" s="11">
        <f>J191-G191</f>
        <v>33289</v>
      </c>
      <c r="L191" s="11" t="s">
        <v>613</v>
      </c>
    </row>
    <row r="192" spans="1:12" ht="16.5" thickTop="1" thickBot="1" x14ac:dyDescent="0.3">
      <c r="A192" s="5" t="s">
        <v>240</v>
      </c>
      <c r="B192" s="6">
        <v>86373</v>
      </c>
      <c r="C192" s="7" t="s">
        <v>39</v>
      </c>
      <c r="D192" s="39">
        <v>46045</v>
      </c>
      <c r="E192" s="39">
        <v>46125</v>
      </c>
      <c r="F192" s="39">
        <v>46161</v>
      </c>
      <c r="G192" s="45">
        <v>0</v>
      </c>
      <c r="H192" s="10"/>
      <c r="I192" s="11"/>
      <c r="J192" s="11">
        <f>IFERROR(VLOOKUP(B192,'Apr 26'!B:G,6,FALSE),0)</f>
        <v>24250</v>
      </c>
      <c r="K192" s="11">
        <f>J192-G192</f>
        <v>24250</v>
      </c>
      <c r="L192" s="11" t="s">
        <v>613</v>
      </c>
    </row>
    <row r="193" spans="1:12" ht="16.5" thickTop="1" thickBot="1" x14ac:dyDescent="0.3">
      <c r="A193" s="5" t="s">
        <v>656</v>
      </c>
      <c r="B193" s="6">
        <v>90634</v>
      </c>
      <c r="C193" s="7" t="s">
        <v>23</v>
      </c>
      <c r="D193" s="39" t="s">
        <v>667</v>
      </c>
      <c r="E193" s="39" t="s">
        <v>13</v>
      </c>
      <c r="F193" s="39" t="s">
        <v>13</v>
      </c>
      <c r="G193" s="9">
        <v>49603</v>
      </c>
      <c r="H193" s="10">
        <f>I193-G193</f>
        <v>49603</v>
      </c>
      <c r="I193" s="11">
        <v>99206</v>
      </c>
      <c r="J193" s="11">
        <f>IFERROR(VLOOKUP(B193,'Apr 26'!B:G,6,FALSE),0)</f>
        <v>0</v>
      </c>
      <c r="K193" s="11">
        <v>0</v>
      </c>
      <c r="L193" s="11">
        <f t="shared" ref="L193:L199" si="13">G193-J193</f>
        <v>49603</v>
      </c>
    </row>
    <row r="194" spans="1:12" ht="16.5" thickTop="1" thickBot="1" x14ac:dyDescent="0.3">
      <c r="A194" s="5" t="s">
        <v>513</v>
      </c>
      <c r="B194" s="6">
        <v>86157</v>
      </c>
      <c r="C194" s="7" t="s">
        <v>23</v>
      </c>
      <c r="D194" s="39">
        <v>46101</v>
      </c>
      <c r="E194" s="39" t="s">
        <v>13</v>
      </c>
      <c r="F194" s="39" t="s">
        <v>13</v>
      </c>
      <c r="G194" s="9">
        <v>255026</v>
      </c>
      <c r="H194" s="10">
        <v>255025</v>
      </c>
      <c r="I194" s="11">
        <v>510051</v>
      </c>
      <c r="J194" s="11">
        <f>IFERROR(VLOOKUP(B194,'Apr 26'!B:G,6,FALSE),0)</f>
        <v>255026</v>
      </c>
      <c r="K194" s="11">
        <v>0</v>
      </c>
      <c r="L194" s="11">
        <f t="shared" si="13"/>
        <v>0</v>
      </c>
    </row>
    <row r="195" spans="1:12" ht="16.5" thickTop="1" thickBot="1" x14ac:dyDescent="0.3">
      <c r="A195" s="5" t="s">
        <v>233</v>
      </c>
      <c r="B195" s="6">
        <v>86089</v>
      </c>
      <c r="C195" s="7" t="s">
        <v>23</v>
      </c>
      <c r="D195" s="39">
        <v>46038</v>
      </c>
      <c r="E195" s="39" t="s">
        <v>13</v>
      </c>
      <c r="F195" s="39" t="s">
        <v>13</v>
      </c>
      <c r="G195" s="9">
        <v>416889.25</v>
      </c>
      <c r="H195" s="10">
        <v>412013.75</v>
      </c>
      <c r="I195" s="11">
        <v>828903</v>
      </c>
      <c r="J195" s="11">
        <f>IFERROR(VLOOKUP(B195,'Apr 26'!B:G,6,FALSE),0)</f>
        <v>416889.25</v>
      </c>
      <c r="K195" s="11">
        <v>0</v>
      </c>
      <c r="L195" s="11">
        <f t="shared" si="13"/>
        <v>0</v>
      </c>
    </row>
    <row r="196" spans="1:12" ht="16.5" thickTop="1" thickBot="1" x14ac:dyDescent="0.3">
      <c r="A196" s="5" t="s">
        <v>289</v>
      </c>
      <c r="B196" s="6">
        <v>87805</v>
      </c>
      <c r="C196" s="7" t="s">
        <v>33</v>
      </c>
      <c r="D196" s="39">
        <v>46065</v>
      </c>
      <c r="E196" s="39" t="s">
        <v>13</v>
      </c>
      <c r="F196" s="39" t="s">
        <v>13</v>
      </c>
      <c r="G196" s="9">
        <v>3646</v>
      </c>
      <c r="H196" s="56">
        <v>13048</v>
      </c>
      <c r="I196" s="11">
        <v>16694</v>
      </c>
      <c r="J196" s="11">
        <f>IFERROR(VLOOKUP(B196,'Apr 26'!B:G,6,FALSE),0)</f>
        <v>3646</v>
      </c>
      <c r="K196" s="11">
        <v>0</v>
      </c>
      <c r="L196" s="11">
        <f t="shared" si="13"/>
        <v>0</v>
      </c>
    </row>
    <row r="197" spans="1:12" ht="16.5" thickTop="1" thickBot="1" x14ac:dyDescent="0.3">
      <c r="A197" s="5" t="s">
        <v>665</v>
      </c>
      <c r="B197" s="6">
        <v>90372</v>
      </c>
      <c r="C197" s="7" t="s">
        <v>23</v>
      </c>
      <c r="D197" s="39" t="s">
        <v>670</v>
      </c>
      <c r="E197" s="39" t="s">
        <v>13</v>
      </c>
      <c r="F197" s="39" t="s">
        <v>13</v>
      </c>
      <c r="G197" s="9">
        <v>24466.02</v>
      </c>
      <c r="H197" s="10">
        <f>I197-G197</f>
        <v>24466.01</v>
      </c>
      <c r="I197" s="11">
        <v>48932.03</v>
      </c>
      <c r="J197" s="11">
        <f>IFERROR(VLOOKUP(B197,'Apr 26'!B:G,6,FALSE),0)</f>
        <v>0</v>
      </c>
      <c r="K197" s="11">
        <v>0</v>
      </c>
      <c r="L197" s="11">
        <f t="shared" si="13"/>
        <v>24466.02</v>
      </c>
    </row>
    <row r="198" spans="1:12" ht="16.5" thickTop="1" thickBot="1" x14ac:dyDescent="0.3">
      <c r="A198" s="5" t="s">
        <v>379</v>
      </c>
      <c r="B198" s="6">
        <v>89201</v>
      </c>
      <c r="C198" s="7" t="s">
        <v>57</v>
      </c>
      <c r="D198" s="39">
        <v>46093</v>
      </c>
      <c r="E198" s="39">
        <v>46141</v>
      </c>
      <c r="F198" s="39" t="s">
        <v>353</v>
      </c>
      <c r="G198" s="9">
        <v>29243</v>
      </c>
      <c r="H198" s="10">
        <v>41380</v>
      </c>
      <c r="I198" s="11">
        <v>70623</v>
      </c>
      <c r="J198" s="11">
        <f>IFERROR(VLOOKUP(B198,'Apr 26'!B:G,6,FALSE),0)</f>
        <v>29243</v>
      </c>
      <c r="K198" s="11">
        <v>0</v>
      </c>
      <c r="L198" s="11">
        <f t="shared" si="13"/>
        <v>0</v>
      </c>
    </row>
    <row r="199" spans="1:12" ht="16.5" thickTop="1" thickBot="1" x14ac:dyDescent="0.3">
      <c r="A199" s="5" t="s">
        <v>279</v>
      </c>
      <c r="B199" s="6">
        <v>88322</v>
      </c>
      <c r="C199" s="7" t="s">
        <v>32</v>
      </c>
      <c r="D199" s="39">
        <v>46062</v>
      </c>
      <c r="E199" s="39" t="s">
        <v>13</v>
      </c>
      <c r="F199" s="39" t="s">
        <v>13</v>
      </c>
      <c r="G199" s="9">
        <v>11708</v>
      </c>
      <c r="H199" s="10">
        <v>11707</v>
      </c>
      <c r="I199" s="11">
        <v>23415</v>
      </c>
      <c r="J199" s="11">
        <f>IFERROR(VLOOKUP(B199,'Apr 26'!B:G,6,FALSE),0)</f>
        <v>11708</v>
      </c>
      <c r="K199" s="11">
        <v>0</v>
      </c>
      <c r="L199" s="11">
        <f t="shared" si="13"/>
        <v>0</v>
      </c>
    </row>
    <row r="200" spans="1:12" ht="16.5" thickTop="1" thickBot="1" x14ac:dyDescent="0.3">
      <c r="A200" s="5" t="s">
        <v>236</v>
      </c>
      <c r="B200" s="6">
        <v>88403</v>
      </c>
      <c r="C200" s="7" t="s">
        <v>255</v>
      </c>
      <c r="D200" s="39">
        <v>46042</v>
      </c>
      <c r="E200" s="39">
        <v>46066</v>
      </c>
      <c r="F200" s="39">
        <v>46171</v>
      </c>
      <c r="G200" s="45">
        <v>0</v>
      </c>
      <c r="H200" s="10"/>
      <c r="I200" s="11"/>
      <c r="J200" s="11">
        <f>IFERROR(VLOOKUP(B200,'Apr 26'!B:G,6,FALSE),0)</f>
        <v>8650</v>
      </c>
      <c r="K200" s="11">
        <f>IF(G200=0,J200-G200,0)</f>
        <v>8650</v>
      </c>
      <c r="L200" s="11" t="s">
        <v>613</v>
      </c>
    </row>
    <row r="201" spans="1:12" ht="16.5" thickTop="1" thickBot="1" x14ac:dyDescent="0.3">
      <c r="A201" s="5" t="s">
        <v>94</v>
      </c>
      <c r="B201" s="6">
        <v>85860</v>
      </c>
      <c r="C201" s="7" t="s">
        <v>38</v>
      </c>
      <c r="D201" s="39">
        <v>45826</v>
      </c>
      <c r="E201" s="39" t="s">
        <v>13</v>
      </c>
      <c r="F201" s="39" t="s">
        <v>13</v>
      </c>
      <c r="G201" s="9">
        <v>68221</v>
      </c>
      <c r="H201" s="10">
        <v>75946</v>
      </c>
      <c r="I201" s="11">
        <v>144167</v>
      </c>
      <c r="J201" s="11">
        <f>IFERROR(VLOOKUP(B201,'Apr 26'!B:G,6,FALSE),0)</f>
        <v>68221</v>
      </c>
      <c r="K201" s="11">
        <v>0</v>
      </c>
      <c r="L201" s="11">
        <f t="shared" ref="L201:L213" si="14">G201-J201</f>
        <v>0</v>
      </c>
    </row>
    <row r="202" spans="1:12" ht="16.5" thickTop="1" thickBot="1" x14ac:dyDescent="0.3">
      <c r="A202" s="5" t="s">
        <v>604</v>
      </c>
      <c r="B202" s="6">
        <v>88832</v>
      </c>
      <c r="C202" s="7" t="s">
        <v>40</v>
      </c>
      <c r="D202" s="39">
        <v>46126</v>
      </c>
      <c r="E202" s="39" t="s">
        <v>13</v>
      </c>
      <c r="F202" s="39" t="s">
        <v>13</v>
      </c>
      <c r="G202" s="9">
        <v>5556</v>
      </c>
      <c r="H202" s="10">
        <f>I202-G202</f>
        <v>5556</v>
      </c>
      <c r="I202" s="11">
        <v>11112</v>
      </c>
      <c r="J202" s="11">
        <f>IFERROR(VLOOKUP(B202,'Apr 26'!B:G,6,FALSE),0)</f>
        <v>5556</v>
      </c>
      <c r="K202" s="11">
        <f>IF(G202=0,J202-G202,0)</f>
        <v>0</v>
      </c>
      <c r="L202" s="11">
        <f t="shared" si="14"/>
        <v>0</v>
      </c>
    </row>
    <row r="203" spans="1:12" ht="16.5" thickTop="1" thickBot="1" x14ac:dyDescent="0.3">
      <c r="A203" s="5" t="s">
        <v>681</v>
      </c>
      <c r="B203" s="6">
        <v>90840</v>
      </c>
      <c r="C203" s="7" t="s">
        <v>40</v>
      </c>
      <c r="D203" s="39">
        <v>46164</v>
      </c>
      <c r="E203" s="39" t="s">
        <v>13</v>
      </c>
      <c r="F203" s="39" t="s">
        <v>13</v>
      </c>
      <c r="G203" s="9">
        <v>728.02</v>
      </c>
      <c r="H203" s="10">
        <f>I203-G203</f>
        <v>728.01</v>
      </c>
      <c r="I203" s="11">
        <v>1456.03</v>
      </c>
      <c r="J203" s="11"/>
      <c r="K203" s="11"/>
      <c r="L203" s="11">
        <f t="shared" si="14"/>
        <v>728.02</v>
      </c>
    </row>
    <row r="204" spans="1:12" ht="16.5" thickTop="1" thickBot="1" x14ac:dyDescent="0.3">
      <c r="A204" s="5" t="s">
        <v>276</v>
      </c>
      <c r="B204" s="6">
        <v>88397</v>
      </c>
      <c r="C204" s="7" t="s">
        <v>19</v>
      </c>
      <c r="D204" s="39">
        <v>46062</v>
      </c>
      <c r="E204" s="39" t="s">
        <v>13</v>
      </c>
      <c r="F204" s="39" t="s">
        <v>13</v>
      </c>
      <c r="G204" s="9">
        <v>59154.25</v>
      </c>
      <c r="H204" s="10">
        <v>181512.75</v>
      </c>
      <c r="I204" s="11">
        <v>240667</v>
      </c>
      <c r="J204" s="11">
        <f>IFERROR(VLOOKUP(B204,'Apr 26'!B:G,6,FALSE),0)</f>
        <v>59154.25</v>
      </c>
      <c r="K204" s="11">
        <v>0</v>
      </c>
      <c r="L204" s="11">
        <f t="shared" si="14"/>
        <v>0</v>
      </c>
    </row>
    <row r="205" spans="1:12" ht="16.5" thickTop="1" thickBot="1" x14ac:dyDescent="0.3">
      <c r="A205" s="5" t="s">
        <v>661</v>
      </c>
      <c r="B205" s="6">
        <v>90359</v>
      </c>
      <c r="C205" s="7" t="s">
        <v>21</v>
      </c>
      <c r="D205" s="39" t="s">
        <v>670</v>
      </c>
      <c r="E205" s="39" t="s">
        <v>13</v>
      </c>
      <c r="F205" s="39" t="s">
        <v>13</v>
      </c>
      <c r="G205" s="9">
        <v>6614</v>
      </c>
      <c r="H205" s="10">
        <f>I205-G205</f>
        <v>6613.75</v>
      </c>
      <c r="I205" s="11">
        <v>13227.75</v>
      </c>
      <c r="J205" s="11">
        <f>IFERROR(VLOOKUP(B205,'Apr 26'!B:G,6,FALSE),0)</f>
        <v>0</v>
      </c>
      <c r="K205" s="11">
        <v>0</v>
      </c>
      <c r="L205" s="11">
        <f t="shared" si="14"/>
        <v>6614</v>
      </c>
    </row>
    <row r="206" spans="1:12" ht="16.5" thickTop="1" thickBot="1" x14ac:dyDescent="0.3">
      <c r="A206" s="5" t="s">
        <v>190</v>
      </c>
      <c r="B206" s="6">
        <v>84246</v>
      </c>
      <c r="C206" s="7" t="s">
        <v>21</v>
      </c>
      <c r="D206" s="39">
        <v>45995</v>
      </c>
      <c r="E206" s="39" t="s">
        <v>13</v>
      </c>
      <c r="F206" s="39" t="s">
        <v>13</v>
      </c>
      <c r="G206" s="9">
        <v>17115</v>
      </c>
      <c r="H206" s="10">
        <v>17115</v>
      </c>
      <c r="I206" s="11">
        <v>34230</v>
      </c>
      <c r="J206" s="11">
        <f>IFERROR(VLOOKUP(B206,'Apr 26'!B:G,6,FALSE),0)</f>
        <v>17115</v>
      </c>
      <c r="K206" s="11">
        <v>0</v>
      </c>
      <c r="L206" s="11">
        <f t="shared" si="14"/>
        <v>0</v>
      </c>
    </row>
    <row r="207" spans="1:12" ht="16.5" thickTop="1" thickBot="1" x14ac:dyDescent="0.3">
      <c r="A207" s="5" t="s">
        <v>676</v>
      </c>
      <c r="B207" s="6">
        <v>90686</v>
      </c>
      <c r="C207" s="7" t="s">
        <v>11</v>
      </c>
      <c r="D207" s="39">
        <v>46162</v>
      </c>
      <c r="E207" s="39" t="s">
        <v>13</v>
      </c>
      <c r="F207" s="39" t="s">
        <v>13</v>
      </c>
      <c r="G207" s="9">
        <v>10685.52</v>
      </c>
      <c r="H207" s="10">
        <f>I207-G207</f>
        <v>10685.52</v>
      </c>
      <c r="I207" s="11">
        <v>21371.040000000001</v>
      </c>
      <c r="J207" s="11"/>
      <c r="K207" s="11"/>
      <c r="L207" s="11">
        <f t="shared" si="14"/>
        <v>10685.52</v>
      </c>
    </row>
    <row r="208" spans="1:12" ht="16.5" thickTop="1" thickBot="1" x14ac:dyDescent="0.3">
      <c r="A208" s="5" t="s">
        <v>633</v>
      </c>
      <c r="B208" s="6">
        <v>90484</v>
      </c>
      <c r="C208" s="7" t="s">
        <v>21</v>
      </c>
      <c r="D208" s="39">
        <v>46139</v>
      </c>
      <c r="E208" s="39" t="s">
        <v>13</v>
      </c>
      <c r="F208" s="39" t="s">
        <v>13</v>
      </c>
      <c r="G208" s="9">
        <v>15984</v>
      </c>
      <c r="H208" s="10">
        <f>I208-G208</f>
        <v>15983</v>
      </c>
      <c r="I208" s="11">
        <v>31967</v>
      </c>
      <c r="J208" s="11">
        <f>IFERROR(VLOOKUP(B208,'Apr 26'!B:G,6,FALSE),0)</f>
        <v>15984</v>
      </c>
      <c r="K208" s="11">
        <f>IF(G208=0,J208-G208,0)</f>
        <v>0</v>
      </c>
      <c r="L208" s="11">
        <f t="shared" si="14"/>
        <v>0</v>
      </c>
    </row>
    <row r="209" spans="1:12" ht="16.5" thickTop="1" thickBot="1" x14ac:dyDescent="0.3">
      <c r="A209" s="5" t="s">
        <v>100</v>
      </c>
      <c r="B209" s="6">
        <v>84221</v>
      </c>
      <c r="C209" s="7" t="s">
        <v>58</v>
      </c>
      <c r="D209" s="39">
        <v>45863</v>
      </c>
      <c r="E209" s="39" t="s">
        <v>13</v>
      </c>
      <c r="F209" s="39" t="s">
        <v>13</v>
      </c>
      <c r="G209" s="9">
        <f>68175+64154</f>
        <v>132329</v>
      </c>
      <c r="H209" s="10">
        <v>196483</v>
      </c>
      <c r="I209" s="11">
        <v>264658</v>
      </c>
      <c r="J209" s="11">
        <f>IFERROR(VLOOKUP(B209,'Apr 26'!B:G,6,FALSE),0)</f>
        <v>132329</v>
      </c>
      <c r="K209" s="11">
        <v>0</v>
      </c>
      <c r="L209" s="11">
        <f t="shared" si="14"/>
        <v>0</v>
      </c>
    </row>
    <row r="210" spans="1:12" ht="16.5" thickTop="1" thickBot="1" x14ac:dyDescent="0.3">
      <c r="A210" s="5" t="s">
        <v>325</v>
      </c>
      <c r="B210" s="6">
        <v>87450</v>
      </c>
      <c r="C210" s="7" t="s">
        <v>327</v>
      </c>
      <c r="D210" s="39">
        <v>46073</v>
      </c>
      <c r="E210" s="39" t="s">
        <v>13</v>
      </c>
      <c r="F210" s="39" t="s">
        <v>13</v>
      </c>
      <c r="G210" s="9">
        <v>9898</v>
      </c>
      <c r="H210" s="10">
        <v>29693</v>
      </c>
      <c r="I210" s="11">
        <v>39591</v>
      </c>
      <c r="J210" s="11">
        <f>IFERROR(VLOOKUP(B210,'Apr 26'!B:G,6,FALSE),0)</f>
        <v>9898</v>
      </c>
      <c r="K210" s="11">
        <v>0</v>
      </c>
      <c r="L210" s="11">
        <f t="shared" si="14"/>
        <v>0</v>
      </c>
    </row>
    <row r="211" spans="1:12" ht="16.5" thickTop="1" thickBot="1" x14ac:dyDescent="0.3">
      <c r="A211" s="5" t="s">
        <v>695</v>
      </c>
      <c r="B211" s="6">
        <v>89137</v>
      </c>
      <c r="C211" s="7" t="s">
        <v>697</v>
      </c>
      <c r="D211" s="39">
        <v>46171</v>
      </c>
      <c r="E211" s="39" t="s">
        <v>13</v>
      </c>
      <c r="F211" s="39" t="s">
        <v>13</v>
      </c>
      <c r="G211" s="9">
        <v>17698</v>
      </c>
      <c r="H211" s="10">
        <f>I211-G211</f>
        <v>17698</v>
      </c>
      <c r="I211" s="11">
        <v>35396</v>
      </c>
      <c r="J211" s="11"/>
      <c r="K211" s="11"/>
      <c r="L211" s="11">
        <f t="shared" si="14"/>
        <v>17698</v>
      </c>
    </row>
    <row r="212" spans="1:12" ht="16.5" thickTop="1" thickBot="1" x14ac:dyDescent="0.3">
      <c r="A212" s="5" t="s">
        <v>691</v>
      </c>
      <c r="B212" s="6">
        <v>90031</v>
      </c>
      <c r="C212" s="7" t="s">
        <v>14</v>
      </c>
      <c r="D212" s="39">
        <v>46170</v>
      </c>
      <c r="E212" s="39" t="s">
        <v>13</v>
      </c>
      <c r="F212" s="39" t="s">
        <v>13</v>
      </c>
      <c r="G212" s="9">
        <v>80668</v>
      </c>
      <c r="H212" s="10">
        <f>I212-G212</f>
        <v>80667</v>
      </c>
      <c r="I212" s="11">
        <v>161335</v>
      </c>
      <c r="J212" s="11"/>
      <c r="K212" s="11"/>
      <c r="L212" s="11">
        <f t="shared" si="14"/>
        <v>80668</v>
      </c>
    </row>
    <row r="213" spans="1:12" ht="16.5" thickTop="1" thickBot="1" x14ac:dyDescent="0.3">
      <c r="A213" s="5" t="s">
        <v>333</v>
      </c>
      <c r="B213" s="6">
        <v>86704</v>
      </c>
      <c r="C213" s="7" t="s">
        <v>33</v>
      </c>
      <c r="D213" s="39">
        <v>46076</v>
      </c>
      <c r="E213" s="39" t="s">
        <v>13</v>
      </c>
      <c r="F213" s="39" t="s">
        <v>13</v>
      </c>
      <c r="G213" s="9">
        <v>90025</v>
      </c>
      <c r="H213" s="10">
        <v>90024</v>
      </c>
      <c r="I213" s="11">
        <v>180049</v>
      </c>
      <c r="J213" s="11">
        <f>IFERROR(VLOOKUP(B213,'Apr 26'!B:G,6,FALSE),0)</f>
        <v>90025</v>
      </c>
      <c r="K213" s="11">
        <v>0</v>
      </c>
      <c r="L213" s="11">
        <f t="shared" si="14"/>
        <v>0</v>
      </c>
    </row>
    <row r="214" spans="1:12" ht="16.5" thickTop="1" thickBot="1" x14ac:dyDescent="0.3">
      <c r="A214" s="5" t="s">
        <v>228</v>
      </c>
      <c r="B214" s="6">
        <v>83501</v>
      </c>
      <c r="C214" s="7" t="s">
        <v>27</v>
      </c>
      <c r="D214" s="39">
        <v>46030</v>
      </c>
      <c r="E214" s="39">
        <v>46122</v>
      </c>
      <c r="F214" s="39">
        <v>46150</v>
      </c>
      <c r="G214" s="45">
        <v>0</v>
      </c>
      <c r="H214" s="10"/>
      <c r="I214" s="11"/>
      <c r="J214" s="11">
        <f>IFERROR(VLOOKUP(B214,'Apr 26'!B:G,6,FALSE),0)</f>
        <v>17221</v>
      </c>
      <c r="K214" s="11">
        <f>J214-G214</f>
        <v>17221</v>
      </c>
      <c r="L214" s="11" t="s">
        <v>613</v>
      </c>
    </row>
    <row r="215" spans="1:12" ht="16.5" thickTop="1" thickBot="1" x14ac:dyDescent="0.3">
      <c r="A215" s="5" t="s">
        <v>111</v>
      </c>
      <c r="B215" s="6">
        <v>82413</v>
      </c>
      <c r="C215" s="7" t="s">
        <v>27</v>
      </c>
      <c r="D215" s="39">
        <v>45895</v>
      </c>
      <c r="E215" s="39">
        <v>46134</v>
      </c>
      <c r="F215" s="39" t="s">
        <v>353</v>
      </c>
      <c r="G215" s="9">
        <v>16601</v>
      </c>
      <c r="H215" s="10">
        <v>19381.68</v>
      </c>
      <c r="I215" s="11">
        <v>35982.68</v>
      </c>
      <c r="J215" s="11">
        <f>IFERROR(VLOOKUP(B215,'Apr 26'!B:G,6,FALSE),0)</f>
        <v>16601</v>
      </c>
      <c r="K215" s="11">
        <v>0</v>
      </c>
      <c r="L215" s="11">
        <f>G215-J215</f>
        <v>0</v>
      </c>
    </row>
    <row r="216" spans="1:12" ht="16.5" thickTop="1" thickBot="1" x14ac:dyDescent="0.3">
      <c r="A216" s="5" t="s">
        <v>125</v>
      </c>
      <c r="B216" s="6">
        <v>86988</v>
      </c>
      <c r="C216" s="7" t="s">
        <v>32</v>
      </c>
      <c r="D216" s="39">
        <v>45929</v>
      </c>
      <c r="E216" s="39" t="s">
        <v>13</v>
      </c>
      <c r="F216" s="39" t="s">
        <v>13</v>
      </c>
      <c r="G216" s="9">
        <v>61093</v>
      </c>
      <c r="H216" s="10">
        <v>61093</v>
      </c>
      <c r="I216" s="11">
        <v>122186</v>
      </c>
      <c r="J216" s="11">
        <f>IFERROR(VLOOKUP(B216,'Apr 26'!B:G,6,FALSE),0)</f>
        <v>61093</v>
      </c>
      <c r="K216" s="11">
        <v>0</v>
      </c>
      <c r="L216" s="11">
        <f>G216-J216</f>
        <v>0</v>
      </c>
    </row>
    <row r="217" spans="1:12" ht="16.5" thickTop="1" thickBot="1" x14ac:dyDescent="0.3">
      <c r="A217" s="5" t="s">
        <v>651</v>
      </c>
      <c r="B217" s="6">
        <v>90237</v>
      </c>
      <c r="C217" s="7" t="s">
        <v>32</v>
      </c>
      <c r="D217" s="39">
        <v>46149</v>
      </c>
      <c r="E217" s="39" t="s">
        <v>13</v>
      </c>
      <c r="F217" s="39" t="s">
        <v>13</v>
      </c>
      <c r="G217" s="9">
        <v>12222.57</v>
      </c>
      <c r="H217" s="10">
        <f>I217-G217</f>
        <v>12222.560000000001</v>
      </c>
      <c r="I217" s="11">
        <v>24445.13</v>
      </c>
      <c r="J217" s="11">
        <f>IFERROR(VLOOKUP(B217,'Apr 26'!B:G,6,FALSE),0)</f>
        <v>0</v>
      </c>
      <c r="K217" s="11">
        <v>0</v>
      </c>
      <c r="L217" s="11">
        <f>G217-J217</f>
        <v>12222.57</v>
      </c>
    </row>
    <row r="218" spans="1:12" ht="16.5" thickTop="1" thickBot="1" x14ac:dyDescent="0.3">
      <c r="A218" s="5"/>
      <c r="B218" s="6"/>
      <c r="C218" s="7"/>
      <c r="D218" s="39"/>
      <c r="E218" s="39"/>
      <c r="F218" s="39"/>
      <c r="G218" s="9"/>
      <c r="H218" s="10"/>
      <c r="I218" s="11"/>
      <c r="J218" s="11"/>
      <c r="K218" s="11"/>
      <c r="L218" s="11"/>
    </row>
    <row r="219" spans="1:12" ht="16.5" thickTop="1" thickBot="1" x14ac:dyDescent="0.3">
      <c r="A219" s="22" t="s">
        <v>671</v>
      </c>
      <c r="B219" s="23"/>
      <c r="C219" s="24" t="s">
        <v>115</v>
      </c>
      <c r="D219" s="25" t="s">
        <v>53</v>
      </c>
      <c r="E219" s="26"/>
      <c r="F219" s="27"/>
      <c r="G219" s="28">
        <f t="shared" ref="G219:L219" si="15">SUM(G2:G218)</f>
        <v>7723438.4299999988</v>
      </c>
      <c r="H219" s="28">
        <f t="shared" si="15"/>
        <v>7884041.8899999987</v>
      </c>
      <c r="I219" s="28">
        <f t="shared" si="15"/>
        <v>15529180.82</v>
      </c>
      <c r="J219" s="28">
        <f t="shared" si="15"/>
        <v>7232196.0199999996</v>
      </c>
      <c r="K219" s="28">
        <f t="shared" si="15"/>
        <v>757696.91</v>
      </c>
      <c r="L219" s="28">
        <f t="shared" si="15"/>
        <v>1248939.32</v>
      </c>
    </row>
    <row r="220" spans="1:12" ht="15.75" thickTop="1" x14ac:dyDescent="0.25">
      <c r="J220" s="33">
        <f>J219-'Apr 26'!G216</f>
        <v>0</v>
      </c>
      <c r="L220" s="33">
        <f>L219-K219-G224</f>
        <v>8.149072527885437E-10</v>
      </c>
    </row>
    <row r="221" spans="1:12" x14ac:dyDescent="0.25">
      <c r="L221" s="33"/>
    </row>
    <row r="222" spans="1:12" x14ac:dyDescent="0.25">
      <c r="A222" t="s">
        <v>63</v>
      </c>
      <c r="D222" s="30" t="s">
        <v>63</v>
      </c>
      <c r="F222" s="35" t="s">
        <v>9</v>
      </c>
      <c r="G222" s="36">
        <f>J219</f>
        <v>7232196.0199999996</v>
      </c>
      <c r="J222" s="33"/>
      <c r="L222" s="33"/>
    </row>
    <row r="223" spans="1:12" x14ac:dyDescent="0.25">
      <c r="F223" s="31" t="s">
        <v>492</v>
      </c>
      <c r="G223" s="32">
        <f>G219</f>
        <v>7723438.4299999988</v>
      </c>
    </row>
    <row r="224" spans="1:12" x14ac:dyDescent="0.25">
      <c r="F224" s="35" t="s">
        <v>493</v>
      </c>
      <c r="G224" s="36">
        <f>G219-G222</f>
        <v>491242.40999999922</v>
      </c>
      <c r="H224" s="33"/>
      <c r="I224" s="38">
        <f>G219</f>
        <v>7723438.4299999988</v>
      </c>
    </row>
    <row r="225" spans="1:12" x14ac:dyDescent="0.25">
      <c r="I225" s="38">
        <v>-7723438.4299999997</v>
      </c>
      <c r="J225" t="s">
        <v>55</v>
      </c>
      <c r="K225" s="34" t="s">
        <v>85</v>
      </c>
    </row>
    <row r="226" spans="1:12" x14ac:dyDescent="0.25">
      <c r="F226" s="31" t="s">
        <v>56</v>
      </c>
      <c r="G226" s="32">
        <f>G223+I225</f>
        <v>0</v>
      </c>
    </row>
    <row r="227" spans="1:12" s="34" customFormat="1" x14ac:dyDescent="0.25">
      <c r="A227"/>
      <c r="B227" s="29"/>
      <c r="C227"/>
      <c r="D227" s="30"/>
      <c r="E227"/>
      <c r="F227" s="31"/>
      <c r="G227" s="32"/>
      <c r="H227"/>
      <c r="I227" s="37">
        <f>I224++I225</f>
        <v>0</v>
      </c>
      <c r="J227" t="s">
        <v>696</v>
      </c>
      <c r="L227"/>
    </row>
  </sheetData>
  <autoFilter ref="A1:L204" xr:uid="{23169491-6558-4A66-83E2-8E32A889370A}">
    <sortState xmlns:xlrd2="http://schemas.microsoft.com/office/spreadsheetml/2017/richdata2" ref="A2:L172">
      <sortCondition ref="A1:A172"/>
    </sortState>
  </autoFilter>
  <sortState xmlns:xlrd2="http://schemas.microsoft.com/office/spreadsheetml/2017/richdata2" ref="A2:L217">
    <sortCondition ref="A2:A217"/>
  </sortState>
  <conditionalFormatting sqref="A45:A152">
    <cfRule type="duplicateValues" dxfId="20" priority="57"/>
  </conditionalFormatting>
  <conditionalFormatting sqref="A221:A228">
    <cfRule type="duplicateValues" dxfId="19" priority="1"/>
  </conditionalFormatting>
  <conditionalFormatting sqref="A229:A1048576 A1:A44 A153:A220">
    <cfRule type="duplicateValues" dxfId="18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0DEE-2FDA-42F8-AA49-FF9FB96C7B45}">
  <dimension ref="A1:N229"/>
  <sheetViews>
    <sheetView zoomScaleNormal="100" workbookViewId="0">
      <pane ySplit="1" topLeftCell="A197" activePane="bottomLeft" state="frozen"/>
      <selection pane="bottomLeft" activeCell="H222" sqref="H222"/>
    </sheetView>
  </sheetViews>
  <sheetFormatPr defaultRowHeight="15" x14ac:dyDescent="0.25"/>
  <cols>
    <col min="1" max="1" width="72.140625" customWidth="1"/>
    <col min="2" max="2" width="13.28515625" style="29" customWidth="1"/>
    <col min="3" max="3" width="11.28515625" customWidth="1"/>
    <col min="4" max="4" width="13.42578125" style="30" customWidth="1"/>
    <col min="5" max="5" width="19.140625" customWidth="1"/>
    <col min="6" max="6" width="32.85546875" style="31" customWidth="1"/>
    <col min="7" max="7" width="16" style="32" customWidth="1"/>
    <col min="8" max="8" width="17.42578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4" max="14" width="9.7109375" style="79" bestFit="1" customWidth="1"/>
  </cols>
  <sheetData>
    <row r="1" spans="1:14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4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 t="s">
        <v>13</v>
      </c>
      <c r="F2" s="39" t="s">
        <v>13</v>
      </c>
      <c r="G2" s="19">
        <v>51110.14</v>
      </c>
      <c r="H2" s="10">
        <v>0</v>
      </c>
      <c r="I2" s="11">
        <v>51110.14</v>
      </c>
      <c r="J2" s="11">
        <f>IFERROR(VLOOKUP(B2,'May 26'!B:G,6,FALSE),0)</f>
        <v>51110.14</v>
      </c>
      <c r="K2" s="11">
        <v>0</v>
      </c>
      <c r="L2" s="11">
        <f>G2-J2</f>
        <v>0</v>
      </c>
      <c r="N2" s="79" t="str">
        <f>VLOOKUP(B2,[3]invoicing!$C:$AI,33,FALSE)</f>
        <v/>
      </c>
    </row>
    <row r="3" spans="1:14" ht="16.5" thickTop="1" thickBot="1" x14ac:dyDescent="0.3">
      <c r="A3" s="5" t="s">
        <v>362</v>
      </c>
      <c r="B3" s="81">
        <v>88556</v>
      </c>
      <c r="C3" s="82" t="s">
        <v>327</v>
      </c>
      <c r="D3" s="49">
        <v>46086</v>
      </c>
      <c r="E3" s="49">
        <v>46150</v>
      </c>
      <c r="F3" s="49">
        <v>46202</v>
      </c>
      <c r="G3" s="45">
        <v>0</v>
      </c>
      <c r="H3" s="10"/>
      <c r="I3" s="11"/>
      <c r="J3" s="11">
        <f>IFERROR(VLOOKUP(B3,'May 26'!B:G,6,FALSE),0)</f>
        <v>11662</v>
      </c>
      <c r="K3" s="11">
        <f>J3-G3</f>
        <v>11662</v>
      </c>
      <c r="L3" s="11" t="s">
        <v>613</v>
      </c>
    </row>
    <row r="4" spans="1:14" ht="16.5" thickTop="1" thickBot="1" x14ac:dyDescent="0.3">
      <c r="A4" s="60" t="s">
        <v>730</v>
      </c>
      <c r="B4" s="6">
        <v>88164</v>
      </c>
      <c r="C4" s="7" t="s">
        <v>14</v>
      </c>
      <c r="D4" s="39">
        <v>46195</v>
      </c>
      <c r="E4" s="39" t="s">
        <v>13</v>
      </c>
      <c r="F4" s="39" t="s">
        <v>13</v>
      </c>
      <c r="G4" s="9">
        <v>22283</v>
      </c>
      <c r="H4" s="10">
        <f>I4-G4</f>
        <v>22282</v>
      </c>
      <c r="I4" s="11">
        <v>44565</v>
      </c>
      <c r="J4" s="11">
        <f>IFERROR(VLOOKUP(B4,'May 26'!B:G,6,FALSE),0)</f>
        <v>0</v>
      </c>
      <c r="K4" s="11">
        <v>0</v>
      </c>
      <c r="L4" s="11">
        <f>G4-J4</f>
        <v>22283</v>
      </c>
    </row>
    <row r="5" spans="1:14" ht="16.5" thickTop="1" thickBot="1" x14ac:dyDescent="0.3">
      <c r="A5" s="5" t="s">
        <v>318</v>
      </c>
      <c r="B5" s="6">
        <v>87616</v>
      </c>
      <c r="C5" s="7" t="s">
        <v>15</v>
      </c>
      <c r="D5" s="39">
        <v>46069</v>
      </c>
      <c r="E5" s="39" t="s">
        <v>13</v>
      </c>
      <c r="F5" s="39" t="s">
        <v>13</v>
      </c>
      <c r="G5" s="9">
        <v>35586</v>
      </c>
      <c r="H5" s="10">
        <v>9375</v>
      </c>
      <c r="I5" s="11">
        <v>44961</v>
      </c>
      <c r="J5" s="11">
        <f>IFERROR(VLOOKUP(B5,'May 26'!B:G,6,FALSE),0)</f>
        <v>35586</v>
      </c>
      <c r="K5" s="11">
        <v>0</v>
      </c>
      <c r="L5" s="11">
        <f>G5-J5</f>
        <v>0</v>
      </c>
    </row>
    <row r="6" spans="1:14" ht="16.5" thickTop="1" thickBot="1" x14ac:dyDescent="0.3">
      <c r="A6" s="5" t="s">
        <v>581</v>
      </c>
      <c r="B6" s="81">
        <v>87676</v>
      </c>
      <c r="C6" s="82" t="s">
        <v>21</v>
      </c>
      <c r="D6" s="49">
        <v>46125</v>
      </c>
      <c r="E6" s="49">
        <v>46153</v>
      </c>
      <c r="F6" s="49">
        <v>46185</v>
      </c>
      <c r="G6" s="45">
        <v>0</v>
      </c>
      <c r="H6" s="10"/>
      <c r="I6" s="11"/>
      <c r="J6" s="11">
        <f>IFERROR(VLOOKUP(B6,'May 26'!B:G,6,FALSE),0)</f>
        <v>2400.25</v>
      </c>
      <c r="K6" s="11">
        <f>J6-G6</f>
        <v>2400.25</v>
      </c>
      <c r="L6" s="11" t="s">
        <v>613</v>
      </c>
      <c r="N6" s="79" t="str">
        <f>VLOOKUP(B6,[3]invoicing!$C:$AI,33,FALSE)</f>
        <v/>
      </c>
    </row>
    <row r="7" spans="1:14" ht="16.5" thickTop="1" thickBot="1" x14ac:dyDescent="0.3">
      <c r="A7" s="5" t="s">
        <v>189</v>
      </c>
      <c r="B7" s="6">
        <v>87185</v>
      </c>
      <c r="C7" s="7" t="s">
        <v>21</v>
      </c>
      <c r="D7" s="39">
        <v>45995</v>
      </c>
      <c r="E7" s="39" t="s">
        <v>13</v>
      </c>
      <c r="F7" s="39" t="s">
        <v>13</v>
      </c>
      <c r="G7" s="9">
        <v>31515</v>
      </c>
      <c r="H7" s="10">
        <v>31514</v>
      </c>
      <c r="I7" s="11">
        <v>63029</v>
      </c>
      <c r="J7" s="11">
        <f>IFERROR(VLOOKUP(B7,'May 26'!B:G,6,FALSE),0)</f>
        <v>31515</v>
      </c>
      <c r="K7" s="11">
        <v>0</v>
      </c>
      <c r="L7" s="11">
        <f>G7-J7</f>
        <v>0</v>
      </c>
      <c r="N7" s="79" t="str">
        <f>VLOOKUP(B7,[3]invoicing!$C:$AI,33,FALSE)</f>
        <v/>
      </c>
    </row>
    <row r="8" spans="1:14" ht="16.5" thickTop="1" thickBot="1" x14ac:dyDescent="0.3">
      <c r="A8" s="5" t="s">
        <v>364</v>
      </c>
      <c r="B8" s="81">
        <v>89424</v>
      </c>
      <c r="C8" s="82" t="s">
        <v>23</v>
      </c>
      <c r="D8" s="49">
        <v>46090</v>
      </c>
      <c r="E8" s="49">
        <v>46141</v>
      </c>
      <c r="F8" s="49">
        <v>46185</v>
      </c>
      <c r="G8" s="45">
        <v>0</v>
      </c>
      <c r="H8" s="10"/>
      <c r="I8" s="11"/>
      <c r="J8" s="11">
        <f>IFERROR(VLOOKUP(B8,'May 26'!B:G,6,FALSE),0)</f>
        <v>16906.509999999998</v>
      </c>
      <c r="K8" s="11">
        <f>J8-G8</f>
        <v>16906.509999999998</v>
      </c>
      <c r="L8" s="11" t="s">
        <v>613</v>
      </c>
      <c r="N8" s="79" t="str">
        <f>VLOOKUP(B8,[3]invoicing!$C:$AI,33,FALSE)</f>
        <v/>
      </c>
    </row>
    <row r="9" spans="1:14" ht="16.5" thickTop="1" thickBot="1" x14ac:dyDescent="0.3">
      <c r="A9" s="5" t="s">
        <v>497</v>
      </c>
      <c r="B9" s="6">
        <v>87836</v>
      </c>
      <c r="C9" s="7" t="s">
        <v>17</v>
      </c>
      <c r="D9" s="39">
        <v>46098</v>
      </c>
      <c r="E9" s="39">
        <v>46191</v>
      </c>
      <c r="F9" s="39" t="s">
        <v>643</v>
      </c>
      <c r="G9" s="9">
        <v>18709</v>
      </c>
      <c r="H9" s="10">
        <v>18709</v>
      </c>
      <c r="I9" s="11">
        <v>37418</v>
      </c>
      <c r="J9" s="11">
        <f>IFERROR(VLOOKUP(B9,'May 26'!B:G,6,FALSE),0)</f>
        <v>18709</v>
      </c>
      <c r="K9" s="11">
        <v>0</v>
      </c>
      <c r="L9" s="11">
        <f>G9-J9</f>
        <v>0</v>
      </c>
      <c r="N9" s="79" t="str">
        <f>VLOOKUP(B9,[3]invoicing!$C:$AI,33,FALSE)</f>
        <v/>
      </c>
    </row>
    <row r="10" spans="1:14" ht="16.5" thickTop="1" thickBot="1" x14ac:dyDescent="0.3">
      <c r="A10" s="5" t="s">
        <v>649</v>
      </c>
      <c r="B10" s="6">
        <v>88159</v>
      </c>
      <c r="C10" s="7" t="s">
        <v>14</v>
      </c>
      <c r="D10" s="39">
        <v>46148</v>
      </c>
      <c r="E10" s="39" t="s">
        <v>13</v>
      </c>
      <c r="F10" s="39" t="s">
        <v>13</v>
      </c>
      <c r="G10" s="9">
        <v>8819</v>
      </c>
      <c r="H10" s="10">
        <f>I10-G10</f>
        <v>8818</v>
      </c>
      <c r="I10" s="11">
        <v>17637</v>
      </c>
      <c r="J10" s="11">
        <f>IFERROR(VLOOKUP(B10,'May 26'!B:G,6,FALSE),0)</f>
        <v>8819</v>
      </c>
      <c r="K10" s="11">
        <v>0</v>
      </c>
      <c r="L10" s="11">
        <f>G10-J10</f>
        <v>0</v>
      </c>
      <c r="N10" s="79" t="str">
        <f>VLOOKUP(B10,[3]invoicing!$C:$AI,33,FALSE)</f>
        <v/>
      </c>
    </row>
    <row r="11" spans="1:14" ht="16.5" thickTop="1" thickBot="1" x14ac:dyDescent="0.3">
      <c r="A11" s="5" t="s">
        <v>614</v>
      </c>
      <c r="B11" s="81">
        <v>90057</v>
      </c>
      <c r="C11" s="82" t="s">
        <v>11</v>
      </c>
      <c r="D11" s="49">
        <v>46128</v>
      </c>
      <c r="E11" s="49">
        <v>46160</v>
      </c>
      <c r="F11" s="49">
        <v>46202</v>
      </c>
      <c r="G11" s="45">
        <v>0</v>
      </c>
      <c r="H11" s="10"/>
      <c r="I11" s="11"/>
      <c r="J11" s="11">
        <f>IFERROR(VLOOKUP(B11,'May 26'!B:G,6,FALSE),0)</f>
        <v>9211</v>
      </c>
      <c r="K11" s="11">
        <f>J11-G11</f>
        <v>9211</v>
      </c>
      <c r="L11" s="11" t="s">
        <v>613</v>
      </c>
      <c r="N11" s="79" t="str">
        <f>VLOOKUP(B11,[3]invoicing!$C:$AI,33,FALSE)</f>
        <v/>
      </c>
    </row>
    <row r="12" spans="1:14" ht="16.5" thickTop="1" thickBot="1" x14ac:dyDescent="0.3">
      <c r="A12" s="5" t="s">
        <v>709</v>
      </c>
      <c r="B12" s="6">
        <v>89869</v>
      </c>
      <c r="C12" s="7" t="s">
        <v>21</v>
      </c>
      <c r="D12" s="39">
        <v>46181</v>
      </c>
      <c r="E12" s="39" t="s">
        <v>13</v>
      </c>
      <c r="F12" s="39" t="s">
        <v>13</v>
      </c>
      <c r="G12" s="9">
        <v>6204</v>
      </c>
      <c r="H12" s="10">
        <f>I12-G12</f>
        <v>6204.6200000000008</v>
      </c>
      <c r="I12" s="11">
        <v>12408.62</v>
      </c>
      <c r="J12" s="11">
        <f>IFERROR(VLOOKUP(B12,'May 26'!B:G,6,FALSE),0)</f>
        <v>0</v>
      </c>
      <c r="K12" s="11">
        <v>0</v>
      </c>
      <c r="L12" s="11">
        <f t="shared" ref="L12:L17" si="0">G12-J12</f>
        <v>6204</v>
      </c>
      <c r="N12" s="79" t="str">
        <f>VLOOKUP(B12,[3]invoicing!$C:$AI,33,FALSE)</f>
        <v/>
      </c>
    </row>
    <row r="13" spans="1:14" ht="16.5" thickTop="1" thickBot="1" x14ac:dyDescent="0.3">
      <c r="A13" s="5" t="s">
        <v>169</v>
      </c>
      <c r="B13" s="6">
        <v>87022</v>
      </c>
      <c r="C13" s="7" t="s">
        <v>14</v>
      </c>
      <c r="D13" s="39">
        <v>45981</v>
      </c>
      <c r="E13" s="39" t="s">
        <v>13</v>
      </c>
      <c r="F13" s="39" t="s">
        <v>13</v>
      </c>
      <c r="G13" s="9">
        <v>60823</v>
      </c>
      <c r="H13" s="10">
        <v>60822</v>
      </c>
      <c r="I13" s="11">
        <v>121645</v>
      </c>
      <c r="J13" s="11">
        <f>IFERROR(VLOOKUP(B13,'May 26'!B:G,6,FALSE),0)</f>
        <v>60823</v>
      </c>
      <c r="K13" s="11">
        <v>0</v>
      </c>
      <c r="L13" s="11">
        <f t="shared" si="0"/>
        <v>0</v>
      </c>
      <c r="N13" s="79" t="str">
        <f>VLOOKUP(B13,[3]invoicing!$C:$AI,33,FALSE)</f>
        <v/>
      </c>
    </row>
    <row r="14" spans="1:14" ht="16.5" thickTop="1" thickBot="1" x14ac:dyDescent="0.3">
      <c r="A14" s="5" t="s">
        <v>718</v>
      </c>
      <c r="B14" s="6">
        <v>89319</v>
      </c>
      <c r="C14" s="7" t="s">
        <v>634</v>
      </c>
      <c r="D14" s="39">
        <v>46182</v>
      </c>
      <c r="E14" s="39" t="s">
        <v>13</v>
      </c>
      <c r="F14" s="39" t="s">
        <v>13</v>
      </c>
      <c r="G14" s="9">
        <v>35841</v>
      </c>
      <c r="H14" s="10">
        <f>I14-G14</f>
        <v>28303</v>
      </c>
      <c r="I14" s="11">
        <v>64144</v>
      </c>
      <c r="J14" s="11">
        <f>IFERROR(VLOOKUP(B14,'May 26'!B:G,6,FALSE),0)</f>
        <v>0</v>
      </c>
      <c r="K14" s="11">
        <v>0</v>
      </c>
      <c r="L14" s="11">
        <f t="shared" si="0"/>
        <v>35841</v>
      </c>
      <c r="N14" s="79" t="str">
        <f>VLOOKUP(B14,[3]invoicing!$C:$AI,33,FALSE)</f>
        <v/>
      </c>
    </row>
    <row r="15" spans="1:14" ht="16.5" thickTop="1" thickBot="1" x14ac:dyDescent="0.3">
      <c r="A15" s="5" t="s">
        <v>636</v>
      </c>
      <c r="B15" s="6">
        <v>90185</v>
      </c>
      <c r="C15" s="6" t="s">
        <v>21</v>
      </c>
      <c r="D15" s="39">
        <v>46140</v>
      </c>
      <c r="E15" s="39">
        <v>46188</v>
      </c>
      <c r="F15" s="39" t="s">
        <v>353</v>
      </c>
      <c r="G15" s="9">
        <v>7191</v>
      </c>
      <c r="H15" s="10">
        <f>I15-G15</f>
        <v>7301.27</v>
      </c>
      <c r="I15" s="11">
        <v>14492.27</v>
      </c>
      <c r="J15" s="11">
        <f>IFERROR(VLOOKUP(B15,'May 26'!B:G,6,FALSE),0)</f>
        <v>7191</v>
      </c>
      <c r="K15" s="11">
        <f>IF(G15=0,J15-G15,0)</f>
        <v>0</v>
      </c>
      <c r="L15" s="11">
        <f t="shared" si="0"/>
        <v>0</v>
      </c>
      <c r="N15" s="79" t="str">
        <f>VLOOKUP(B15,[3]invoicing!$C:$AI,33,FALSE)</f>
        <v/>
      </c>
    </row>
    <row r="16" spans="1:14" ht="16.5" thickTop="1" thickBot="1" x14ac:dyDescent="0.3">
      <c r="A16" s="5" t="s">
        <v>733</v>
      </c>
      <c r="B16" s="6">
        <v>89197</v>
      </c>
      <c r="C16" s="7" t="s">
        <v>11</v>
      </c>
      <c r="D16" s="39">
        <v>46198</v>
      </c>
      <c r="E16" s="39" t="s">
        <v>13</v>
      </c>
      <c r="F16" s="39" t="s">
        <v>13</v>
      </c>
      <c r="G16" s="9">
        <v>19024</v>
      </c>
      <c r="H16" s="10">
        <f>I16-G16</f>
        <v>19022.129999999997</v>
      </c>
      <c r="I16" s="11">
        <v>38046.129999999997</v>
      </c>
      <c r="J16" s="11">
        <f>IFERROR(VLOOKUP(B16,'May 26'!B:G,6,FALSE),0)</f>
        <v>0</v>
      </c>
      <c r="K16" s="11">
        <v>0</v>
      </c>
      <c r="L16" s="11">
        <f t="shared" si="0"/>
        <v>19024</v>
      </c>
    </row>
    <row r="17" spans="1:14" ht="16.5" thickTop="1" thickBot="1" x14ac:dyDescent="0.3">
      <c r="A17" s="5" t="s">
        <v>647</v>
      </c>
      <c r="B17" s="6">
        <v>89731</v>
      </c>
      <c r="C17" s="7" t="s">
        <v>23</v>
      </c>
      <c r="D17" s="39">
        <v>46147</v>
      </c>
      <c r="E17" s="39" t="s">
        <v>13</v>
      </c>
      <c r="F17" s="39" t="s">
        <v>13</v>
      </c>
      <c r="G17" s="9">
        <v>13338.01</v>
      </c>
      <c r="H17" s="10">
        <f>I17-G17</f>
        <v>13336.99</v>
      </c>
      <c r="I17" s="11">
        <v>26675</v>
      </c>
      <c r="J17" s="11">
        <f>IFERROR(VLOOKUP(B17,'May 26'!B:G,6,FALSE),0)</f>
        <v>13338.01</v>
      </c>
      <c r="K17" s="11">
        <v>0</v>
      </c>
      <c r="L17" s="11">
        <f t="shared" si="0"/>
        <v>0</v>
      </c>
      <c r="N17" s="79" t="str">
        <f>VLOOKUP(B17,[3]invoicing!$C:$AI,33,FALSE)</f>
        <v/>
      </c>
    </row>
    <row r="18" spans="1:14" ht="16.5" thickTop="1" thickBot="1" x14ac:dyDescent="0.3">
      <c r="A18" s="5" t="s">
        <v>646</v>
      </c>
      <c r="B18" s="81">
        <v>90450</v>
      </c>
      <c r="C18" s="82" t="s">
        <v>23</v>
      </c>
      <c r="D18" s="49">
        <v>46146</v>
      </c>
      <c r="E18" s="49">
        <v>46168</v>
      </c>
      <c r="F18" s="49">
        <v>46199</v>
      </c>
      <c r="G18" s="45">
        <v>0</v>
      </c>
      <c r="H18" s="10"/>
      <c r="I18" s="11"/>
      <c r="J18" s="11">
        <f>IFERROR(VLOOKUP(B18,'May 26'!B:G,6,FALSE),0)</f>
        <v>7699</v>
      </c>
      <c r="K18" s="11">
        <f>J18-G18</f>
        <v>7699</v>
      </c>
      <c r="L18" s="11" t="s">
        <v>613</v>
      </c>
      <c r="N18" s="79" t="str">
        <f>VLOOKUP(B18,[3]invoicing!$C:$AI,33,FALSE)</f>
        <v/>
      </c>
    </row>
    <row r="19" spans="1:14" ht="16.5" thickTop="1" thickBot="1" x14ac:dyDescent="0.3">
      <c r="A19" s="5" t="s">
        <v>272</v>
      </c>
      <c r="B19" s="81">
        <v>87591</v>
      </c>
      <c r="C19" s="82" t="s">
        <v>281</v>
      </c>
      <c r="D19" s="49">
        <v>46058</v>
      </c>
      <c r="E19" s="49">
        <v>46125</v>
      </c>
      <c r="F19" s="49">
        <v>46177</v>
      </c>
      <c r="G19" s="45">
        <v>0</v>
      </c>
      <c r="H19" s="10"/>
      <c r="I19" s="11"/>
      <c r="J19" s="11">
        <f>IFERROR(VLOOKUP(B19,'Apr 26'!B:G,6,FALSE),0)</f>
        <v>25317</v>
      </c>
      <c r="K19" s="11">
        <f>J19-G19</f>
        <v>25317</v>
      </c>
      <c r="L19" s="11" t="s">
        <v>613</v>
      </c>
    </row>
    <row r="20" spans="1:14" ht="16.5" thickTop="1" thickBot="1" x14ac:dyDescent="0.3">
      <c r="A20" s="5" t="s">
        <v>270</v>
      </c>
      <c r="B20" s="6">
        <v>88674</v>
      </c>
      <c r="C20" s="7" t="s">
        <v>31</v>
      </c>
      <c r="D20" s="39">
        <v>46055</v>
      </c>
      <c r="E20" s="39">
        <v>46132</v>
      </c>
      <c r="F20" s="39" t="s">
        <v>577</v>
      </c>
      <c r="G20" s="9">
        <v>238760</v>
      </c>
      <c r="H20" s="10">
        <v>238759</v>
      </c>
      <c r="I20" s="11">
        <v>477519</v>
      </c>
      <c r="J20" s="11">
        <f>IFERROR(VLOOKUP(B20,'May 26'!B:G,6,FALSE),0)</f>
        <v>238760</v>
      </c>
      <c r="K20" s="11">
        <v>0</v>
      </c>
      <c r="L20" s="11">
        <f t="shared" ref="L20:L28" si="1">G20-J20</f>
        <v>0</v>
      </c>
      <c r="N20" s="79" t="str">
        <f>VLOOKUP(B20,[3]invoicing!$C:$AI,33,FALSE)</f>
        <v/>
      </c>
    </row>
    <row r="21" spans="1:14" ht="16.5" thickTop="1" thickBot="1" x14ac:dyDescent="0.3">
      <c r="A21" s="5" t="s">
        <v>144</v>
      </c>
      <c r="B21" s="6">
        <v>85791</v>
      </c>
      <c r="C21" s="7" t="s">
        <v>23</v>
      </c>
      <c r="D21" s="39">
        <v>45959</v>
      </c>
      <c r="E21" s="39" t="s">
        <v>13</v>
      </c>
      <c r="F21" s="39" t="s">
        <v>13</v>
      </c>
      <c r="G21" s="9">
        <v>50992</v>
      </c>
      <c r="H21" s="10">
        <f>I21-G21</f>
        <v>50992</v>
      </c>
      <c r="I21" s="11">
        <v>101984</v>
      </c>
      <c r="J21" s="11">
        <f>IFERROR(VLOOKUP(B21,'May 26'!B:G,6,FALSE),0)</f>
        <v>8977.7000000000007</v>
      </c>
      <c r="K21" s="11">
        <v>0</v>
      </c>
      <c r="L21" s="11">
        <f t="shared" si="1"/>
        <v>42014.3</v>
      </c>
    </row>
    <row r="22" spans="1:14" ht="16.5" thickTop="1" thickBot="1" x14ac:dyDescent="0.3">
      <c r="A22" s="5" t="s">
        <v>635</v>
      </c>
      <c r="B22" s="6">
        <v>89792</v>
      </c>
      <c r="C22" s="6" t="s">
        <v>23</v>
      </c>
      <c r="D22" s="39">
        <v>46140</v>
      </c>
      <c r="E22" s="39" t="s">
        <v>13</v>
      </c>
      <c r="F22" s="39" t="s">
        <v>13</v>
      </c>
      <c r="G22" s="9">
        <v>34278</v>
      </c>
      <c r="H22" s="10">
        <f>I22-G22</f>
        <v>34278</v>
      </c>
      <c r="I22" s="11">
        <v>68556</v>
      </c>
      <c r="J22" s="11">
        <f>IFERROR(VLOOKUP(B22,'May 26'!B:G,6,FALSE),0)</f>
        <v>34278</v>
      </c>
      <c r="K22" s="11">
        <f>IF(G22=0,J22-G22,0)</f>
        <v>0</v>
      </c>
      <c r="L22" s="11">
        <f t="shared" si="1"/>
        <v>0</v>
      </c>
      <c r="N22" s="79" t="str">
        <f>VLOOKUP(B22,[3]invoicing!$C:$AI,33,FALSE)</f>
        <v/>
      </c>
    </row>
    <row r="23" spans="1:14" ht="16.5" thickTop="1" thickBot="1" x14ac:dyDescent="0.3">
      <c r="A23" s="5" t="s">
        <v>660</v>
      </c>
      <c r="B23" s="6">
        <v>90329</v>
      </c>
      <c r="C23" s="7" t="s">
        <v>23</v>
      </c>
      <c r="D23" s="39" t="s">
        <v>669</v>
      </c>
      <c r="E23" s="39">
        <v>46191</v>
      </c>
      <c r="F23" s="39" t="s">
        <v>643</v>
      </c>
      <c r="G23" s="9">
        <v>8966.25</v>
      </c>
      <c r="H23" s="10">
        <f>I23-G23</f>
        <v>8966.2999999999993</v>
      </c>
      <c r="I23" s="11">
        <v>17932.55</v>
      </c>
      <c r="J23" s="11">
        <f>IFERROR(VLOOKUP(B23,'May 26'!B:G,6,FALSE),0)</f>
        <v>8966.25</v>
      </c>
      <c r="K23" s="11">
        <v>0</v>
      </c>
      <c r="L23" s="11">
        <f t="shared" si="1"/>
        <v>0</v>
      </c>
      <c r="N23" s="79" t="str">
        <f>VLOOKUP(B23,[3]invoicing!$C:$AI,33,FALSE)</f>
        <v/>
      </c>
    </row>
    <row r="24" spans="1:14" ht="16.5" thickTop="1" thickBot="1" x14ac:dyDescent="0.3">
      <c r="A24" s="5" t="s">
        <v>145</v>
      </c>
      <c r="B24" s="6">
        <v>83690</v>
      </c>
      <c r="C24" s="7" t="s">
        <v>23</v>
      </c>
      <c r="D24" s="39">
        <v>45959</v>
      </c>
      <c r="E24" s="39" t="s">
        <v>13</v>
      </c>
      <c r="F24" s="39" t="s">
        <v>13</v>
      </c>
      <c r="G24" s="9">
        <v>200341.5</v>
      </c>
      <c r="H24" s="10">
        <f>I24-G24</f>
        <v>205952.5</v>
      </c>
      <c r="I24" s="11">
        <v>406294</v>
      </c>
      <c r="J24" s="11">
        <f>IFERROR(VLOOKUP(B24,'May 26'!B:G,6,FALSE),0)</f>
        <v>41681.4</v>
      </c>
      <c r="K24" s="11">
        <v>0</v>
      </c>
      <c r="L24" s="11">
        <f t="shared" si="1"/>
        <v>158660.1</v>
      </c>
    </row>
    <row r="25" spans="1:14" ht="16.5" thickTop="1" thickBot="1" x14ac:dyDescent="0.3">
      <c r="A25" s="5" t="s">
        <v>227</v>
      </c>
      <c r="B25" s="6">
        <v>86318</v>
      </c>
      <c r="C25" s="7" t="s">
        <v>14</v>
      </c>
      <c r="D25" s="39">
        <v>46030</v>
      </c>
      <c r="E25" s="39">
        <v>46140</v>
      </c>
      <c r="F25" s="39" t="s">
        <v>577</v>
      </c>
      <c r="G25" s="9">
        <v>31398</v>
      </c>
      <c r="H25" s="10">
        <v>26483.5</v>
      </c>
      <c r="I25" s="11">
        <v>62796</v>
      </c>
      <c r="J25" s="11">
        <f>IFERROR(VLOOKUP(B25,'May 26'!B:G,6,FALSE),0)</f>
        <v>31398</v>
      </c>
      <c r="K25" s="11">
        <v>0</v>
      </c>
      <c r="L25" s="11">
        <f t="shared" si="1"/>
        <v>0</v>
      </c>
    </row>
    <row r="26" spans="1:14" ht="16.5" thickTop="1" thickBot="1" x14ac:dyDescent="0.3">
      <c r="A26" s="5" t="s">
        <v>708</v>
      </c>
      <c r="B26" s="6">
        <v>88510</v>
      </c>
      <c r="C26" s="7" t="s">
        <v>23</v>
      </c>
      <c r="D26" s="39">
        <v>46181</v>
      </c>
      <c r="E26" s="39" t="s">
        <v>13</v>
      </c>
      <c r="F26" s="39" t="s">
        <v>13</v>
      </c>
      <c r="G26" s="9">
        <v>15005</v>
      </c>
      <c r="H26" s="10">
        <f>I26-G26</f>
        <v>15004</v>
      </c>
      <c r="I26" s="11">
        <v>30009</v>
      </c>
      <c r="J26" s="11">
        <f>IFERROR(VLOOKUP(B26,'May 26'!B:G,6,FALSE),0)</f>
        <v>0</v>
      </c>
      <c r="K26" s="11">
        <v>0</v>
      </c>
      <c r="L26" s="11">
        <f t="shared" si="1"/>
        <v>15005</v>
      </c>
      <c r="N26" s="79" t="str">
        <f>VLOOKUP(B26,[3]invoicing!$C:$AI,33,FALSE)</f>
        <v/>
      </c>
    </row>
    <row r="27" spans="1:14" ht="16.5" thickTop="1" thickBot="1" x14ac:dyDescent="0.3">
      <c r="A27" s="5" t="s">
        <v>684</v>
      </c>
      <c r="B27" s="6">
        <v>89873</v>
      </c>
      <c r="C27" s="7" t="s">
        <v>23</v>
      </c>
      <c r="D27" s="39">
        <v>46168</v>
      </c>
      <c r="E27" s="39" t="s">
        <v>13</v>
      </c>
      <c r="F27" s="39" t="s">
        <v>13</v>
      </c>
      <c r="G27" s="9">
        <v>165000</v>
      </c>
      <c r="H27" s="10">
        <f>I27-G27</f>
        <v>165000</v>
      </c>
      <c r="I27" s="11">
        <v>330000</v>
      </c>
      <c r="J27" s="11">
        <f>IFERROR(VLOOKUP(B27,'May 26'!B:G,6,FALSE),0)</f>
        <v>165000</v>
      </c>
      <c r="K27" s="11"/>
      <c r="L27" s="11">
        <f t="shared" si="1"/>
        <v>0</v>
      </c>
      <c r="N27" s="79" t="str">
        <f>VLOOKUP(B27,[3]invoicing!$C:$AI,33,FALSE)</f>
        <v/>
      </c>
    </row>
    <row r="28" spans="1:14" ht="16.5" thickTop="1" thickBot="1" x14ac:dyDescent="0.3">
      <c r="A28" s="5" t="s">
        <v>685</v>
      </c>
      <c r="B28" s="6">
        <v>90207</v>
      </c>
      <c r="C28" s="7" t="s">
        <v>23</v>
      </c>
      <c r="D28" s="39">
        <v>46168</v>
      </c>
      <c r="E28" s="39" t="s">
        <v>13</v>
      </c>
      <c r="F28" s="39" t="s">
        <v>13</v>
      </c>
      <c r="G28" s="9">
        <v>7754</v>
      </c>
      <c r="H28" s="10">
        <f>I28-G28</f>
        <v>2185</v>
      </c>
      <c r="I28" s="11">
        <v>9939</v>
      </c>
      <c r="J28" s="11">
        <f>IFERROR(VLOOKUP(B28,'May 26'!B:G,6,FALSE),0)</f>
        <v>4969</v>
      </c>
      <c r="K28" s="11"/>
      <c r="L28" s="11">
        <f t="shared" si="1"/>
        <v>2785</v>
      </c>
      <c r="N28" s="79" t="str">
        <f>VLOOKUP(B28,[3]invoicing!$C:$AI,33,FALSE)</f>
        <v/>
      </c>
    </row>
    <row r="29" spans="1:14" ht="16.5" thickTop="1" thickBot="1" x14ac:dyDescent="0.3">
      <c r="A29" s="5" t="s">
        <v>583</v>
      </c>
      <c r="B29" s="81">
        <v>90093</v>
      </c>
      <c r="C29" s="82" t="s">
        <v>611</v>
      </c>
      <c r="D29" s="49">
        <v>46127</v>
      </c>
      <c r="E29" s="49">
        <v>46155</v>
      </c>
      <c r="F29" s="49">
        <v>46195</v>
      </c>
      <c r="G29" s="45">
        <v>0</v>
      </c>
      <c r="H29" s="10"/>
      <c r="I29" s="11"/>
      <c r="J29" s="11">
        <f>IFERROR(VLOOKUP(B29,'May 26'!B:G,6,FALSE),0)</f>
        <v>20789</v>
      </c>
      <c r="K29" s="11">
        <f>J29-G29</f>
        <v>20789</v>
      </c>
      <c r="L29" s="11" t="s">
        <v>613</v>
      </c>
    </row>
    <row r="30" spans="1:14" ht="16.5" thickTop="1" thickBot="1" x14ac:dyDescent="0.3">
      <c r="A30" s="5" t="s">
        <v>584</v>
      </c>
      <c r="B30" s="6">
        <v>89607</v>
      </c>
      <c r="C30" s="7" t="s">
        <v>27</v>
      </c>
      <c r="D30" s="39">
        <v>46126</v>
      </c>
      <c r="E30" s="39" t="s">
        <v>13</v>
      </c>
      <c r="F30" s="39" t="s">
        <v>13</v>
      </c>
      <c r="G30" s="9">
        <v>19335</v>
      </c>
      <c r="H30" s="10">
        <f>I30-G30</f>
        <v>19335</v>
      </c>
      <c r="I30" s="11">
        <v>38670</v>
      </c>
      <c r="J30" s="11">
        <f>IFERROR(VLOOKUP(B30,'May 26'!B:G,6,FALSE),0)</f>
        <v>19335</v>
      </c>
      <c r="K30" s="11">
        <v>0</v>
      </c>
      <c r="L30" s="11">
        <f>G30-J30</f>
        <v>0</v>
      </c>
      <c r="N30" s="79" t="str">
        <f>VLOOKUP(B30,[3]invoicing!$C:$AI,33,FALSE)</f>
        <v/>
      </c>
    </row>
    <row r="31" spans="1:14" ht="16.5" thickTop="1" thickBot="1" x14ac:dyDescent="0.3">
      <c r="A31" s="5" t="s">
        <v>512</v>
      </c>
      <c r="B31" s="81">
        <v>89649</v>
      </c>
      <c r="C31" s="82" t="s">
        <v>44</v>
      </c>
      <c r="D31" s="49">
        <v>46101</v>
      </c>
      <c r="E31" s="49">
        <v>46126</v>
      </c>
      <c r="F31" s="49">
        <v>46175</v>
      </c>
      <c r="G31" s="45">
        <v>0</v>
      </c>
      <c r="H31" s="10"/>
      <c r="I31" s="11"/>
      <c r="J31" s="11">
        <f>IFERROR(VLOOKUP(B31,'Apr 26'!B:G,6,FALSE),0)</f>
        <v>17176</v>
      </c>
      <c r="K31" s="11">
        <f>J31-G31</f>
        <v>17176</v>
      </c>
      <c r="L31" s="11" t="s">
        <v>613</v>
      </c>
      <c r="N31" s="79" t="str">
        <f>VLOOKUP(B31,[3]invoicing!$C:$AI,33,FALSE)</f>
        <v/>
      </c>
    </row>
    <row r="32" spans="1:14" ht="16.5" thickTop="1" thickBot="1" x14ac:dyDescent="0.3">
      <c r="A32" s="5" t="s">
        <v>615</v>
      </c>
      <c r="B32" s="6">
        <v>90005</v>
      </c>
      <c r="C32" s="7" t="s">
        <v>23</v>
      </c>
      <c r="D32" s="39">
        <v>46128</v>
      </c>
      <c r="E32" s="39">
        <v>46168</v>
      </c>
      <c r="F32" s="39" t="s">
        <v>577</v>
      </c>
      <c r="G32" s="9">
        <v>9786</v>
      </c>
      <c r="H32" s="10">
        <f>I32-G32</f>
        <v>9785.4399999999987</v>
      </c>
      <c r="I32" s="11">
        <v>19571.439999999999</v>
      </c>
      <c r="J32" s="11">
        <f>IFERROR(VLOOKUP(B32,'May 26'!B:G,6,FALSE),0)</f>
        <v>9786</v>
      </c>
      <c r="K32" s="11">
        <f>IF(G32=0,J32-G32,0)</f>
        <v>0</v>
      </c>
      <c r="L32" s="11">
        <f t="shared" ref="L32:L37" si="2">G32-J32</f>
        <v>0</v>
      </c>
      <c r="N32" s="79" t="str">
        <f>VLOOKUP(B32,[3]invoicing!$C:$AI,33,FALSE)</f>
        <v/>
      </c>
    </row>
    <row r="33" spans="1:14" ht="16.5" thickTop="1" thickBot="1" x14ac:dyDescent="0.3">
      <c r="A33" s="5" t="s">
        <v>215</v>
      </c>
      <c r="B33" s="6">
        <v>88227</v>
      </c>
      <c r="C33" s="7" t="s">
        <v>14</v>
      </c>
      <c r="D33" s="39">
        <v>46020</v>
      </c>
      <c r="E33" s="39">
        <v>46133</v>
      </c>
      <c r="F33" s="39" t="s">
        <v>643</v>
      </c>
      <c r="G33" s="9">
        <v>32005</v>
      </c>
      <c r="H33" s="10">
        <v>32005</v>
      </c>
      <c r="I33" s="11">
        <v>64010</v>
      </c>
      <c r="J33" s="11">
        <f>IFERROR(VLOOKUP(B33,'May 26'!B:G,6,FALSE),0)</f>
        <v>32005</v>
      </c>
      <c r="K33" s="11">
        <v>0</v>
      </c>
      <c r="L33" s="11">
        <f t="shared" si="2"/>
        <v>0</v>
      </c>
      <c r="N33" s="79" t="str">
        <f>VLOOKUP(B33,[3]invoicing!$C:$AI,33,FALSE)</f>
        <v/>
      </c>
    </row>
    <row r="34" spans="1:14" ht="16.5" thickTop="1" thickBot="1" x14ac:dyDescent="0.3">
      <c r="A34" s="5" t="s">
        <v>502</v>
      </c>
      <c r="B34" s="6">
        <v>84966</v>
      </c>
      <c r="C34" s="7" t="s">
        <v>14</v>
      </c>
      <c r="D34" s="39">
        <v>46099</v>
      </c>
      <c r="E34" s="39" t="s">
        <v>13</v>
      </c>
      <c r="F34" s="39" t="s">
        <v>13</v>
      </c>
      <c r="G34" s="9">
        <v>39804</v>
      </c>
      <c r="H34" s="10">
        <v>39803</v>
      </c>
      <c r="I34" s="11">
        <v>79607</v>
      </c>
      <c r="J34" s="11">
        <f>IFERROR(VLOOKUP(B34,'May 26'!B:G,6,FALSE),0)</f>
        <v>39804</v>
      </c>
      <c r="K34" s="11">
        <v>0</v>
      </c>
      <c r="L34" s="11">
        <f t="shared" si="2"/>
        <v>0</v>
      </c>
      <c r="N34" s="79" t="str">
        <f>VLOOKUP(B34,[3]invoicing!$C:$AI,33,FALSE)</f>
        <v/>
      </c>
    </row>
    <row r="35" spans="1:14" ht="16.5" thickTop="1" thickBot="1" x14ac:dyDescent="0.3">
      <c r="A35" s="5" t="s">
        <v>699</v>
      </c>
      <c r="B35" s="6">
        <v>91001</v>
      </c>
      <c r="C35" s="7" t="s">
        <v>57</v>
      </c>
      <c r="D35" s="39">
        <v>46175</v>
      </c>
      <c r="E35" s="39">
        <v>46198</v>
      </c>
      <c r="F35" s="39" t="s">
        <v>353</v>
      </c>
      <c r="G35" s="9">
        <v>14017.3</v>
      </c>
      <c r="H35" s="10">
        <f>I35-G35</f>
        <v>14017.29</v>
      </c>
      <c r="I35" s="11">
        <v>28034.59</v>
      </c>
      <c r="J35" s="11">
        <f>IFERROR(VLOOKUP(B35,'May 26'!B:G,6,FALSE),0)</f>
        <v>0</v>
      </c>
      <c r="K35" s="11">
        <v>0</v>
      </c>
      <c r="L35" s="11">
        <f t="shared" si="2"/>
        <v>14017.3</v>
      </c>
      <c r="N35" s="79" t="str">
        <f>VLOOKUP(B35,[3]invoicing!$C:$AI,33,FALSE)</f>
        <v/>
      </c>
    </row>
    <row r="36" spans="1:14" ht="16.5" thickTop="1" thickBot="1" x14ac:dyDescent="0.3">
      <c r="A36" s="20" t="s">
        <v>24</v>
      </c>
      <c r="B36" s="13" t="s">
        <v>89</v>
      </c>
      <c r="C36" s="14"/>
      <c r="D36" s="40">
        <v>44712</v>
      </c>
      <c r="E36" s="40" t="s">
        <v>13</v>
      </c>
      <c r="F36" s="40" t="s">
        <v>13</v>
      </c>
      <c r="G36" s="21">
        <v>4108</v>
      </c>
      <c r="H36" s="17">
        <v>0</v>
      </c>
      <c r="I36" s="18">
        <v>4108</v>
      </c>
      <c r="J36" s="18">
        <f>IFERROR(VLOOKUP(B36,'Apr 26'!B:G,6,FALSE),0)</f>
        <v>4108</v>
      </c>
      <c r="K36" s="18">
        <v>0</v>
      </c>
      <c r="L36" s="18">
        <f t="shared" si="2"/>
        <v>0</v>
      </c>
    </row>
    <row r="37" spans="1:14" ht="16.5" thickTop="1" thickBot="1" x14ac:dyDescent="0.3">
      <c r="A37" s="5" t="s">
        <v>674</v>
      </c>
      <c r="B37" s="6">
        <v>90923</v>
      </c>
      <c r="C37" s="7" t="s">
        <v>21</v>
      </c>
      <c r="D37" s="39">
        <v>46160</v>
      </c>
      <c r="E37" s="39" t="s">
        <v>13</v>
      </c>
      <c r="F37" s="39" t="s">
        <v>13</v>
      </c>
      <c r="G37" s="9">
        <v>7275.85</v>
      </c>
      <c r="H37" s="10">
        <f>I37-G37</f>
        <v>7275.84</v>
      </c>
      <c r="I37" s="11">
        <v>14551.69</v>
      </c>
      <c r="J37" s="11">
        <f>IFERROR(VLOOKUP(B37,'May 26'!B:G,6,FALSE),0)</f>
        <v>7275.85</v>
      </c>
      <c r="K37" s="11"/>
      <c r="L37" s="11">
        <f t="shared" si="2"/>
        <v>0</v>
      </c>
      <c r="N37" s="79" t="str">
        <f>VLOOKUP(B37,[3]invoicing!$C:$AI,33,FALSE)</f>
        <v/>
      </c>
    </row>
    <row r="38" spans="1:14" ht="16.5" thickTop="1" thickBot="1" x14ac:dyDescent="0.3">
      <c r="A38" s="5" t="s">
        <v>359</v>
      </c>
      <c r="B38" s="81">
        <v>88513</v>
      </c>
      <c r="C38" s="82" t="s">
        <v>21</v>
      </c>
      <c r="D38" s="49">
        <v>46085</v>
      </c>
      <c r="E38" s="49">
        <v>46147</v>
      </c>
      <c r="F38" s="49">
        <v>46191</v>
      </c>
      <c r="G38" s="45">
        <v>0</v>
      </c>
      <c r="H38" s="10">
        <v>0</v>
      </c>
      <c r="I38" s="11">
        <v>0</v>
      </c>
      <c r="J38" s="11">
        <f>IFERROR(VLOOKUP(B38,'May 26'!B:G,6,FALSE),0)</f>
        <v>11224</v>
      </c>
      <c r="K38" s="11">
        <f>J38-G38</f>
        <v>11224</v>
      </c>
      <c r="L38" s="11" t="s">
        <v>613</v>
      </c>
      <c r="N38" s="79" t="str">
        <f>VLOOKUP(B38,[3]invoicing!$C:$AI,33,FALSE)</f>
        <v/>
      </c>
    </row>
    <row r="39" spans="1:14" ht="16.5" thickTop="1" thickBot="1" x14ac:dyDescent="0.3">
      <c r="A39" s="5" t="s">
        <v>508</v>
      </c>
      <c r="B39" s="6">
        <v>89296</v>
      </c>
      <c r="C39" s="7" t="s">
        <v>509</v>
      </c>
      <c r="D39" s="39">
        <v>46100</v>
      </c>
      <c r="E39" s="39">
        <v>46162</v>
      </c>
      <c r="F39" s="39" t="s">
        <v>353</v>
      </c>
      <c r="G39" s="9">
        <v>109253</v>
      </c>
      <c r="H39" s="10">
        <v>109253</v>
      </c>
      <c r="I39" s="11">
        <v>224986</v>
      </c>
      <c r="J39" s="11">
        <f>IFERROR(VLOOKUP(B39,'May 26'!B:G,6,FALSE),0)</f>
        <v>109253</v>
      </c>
      <c r="K39" s="11">
        <v>0</v>
      </c>
      <c r="L39" s="11">
        <f t="shared" ref="L39:L46" si="3">G39-J39</f>
        <v>0</v>
      </c>
    </row>
    <row r="40" spans="1:14" ht="16.5" thickTop="1" thickBot="1" x14ac:dyDescent="0.3">
      <c r="A40" s="5" t="s">
        <v>274</v>
      </c>
      <c r="B40" s="6">
        <v>88868</v>
      </c>
      <c r="C40" s="7" t="s">
        <v>45</v>
      </c>
      <c r="D40" s="39">
        <v>46059</v>
      </c>
      <c r="E40" s="39">
        <v>46181</v>
      </c>
      <c r="F40" s="39" t="s">
        <v>643</v>
      </c>
      <c r="G40" s="9">
        <v>17321</v>
      </c>
      <c r="H40" s="10">
        <v>17321</v>
      </c>
      <c r="I40" s="11">
        <v>35424</v>
      </c>
      <c r="J40" s="11">
        <f>IFERROR(VLOOKUP(B40,'May 26'!B:G,6,FALSE),0)</f>
        <v>17321</v>
      </c>
      <c r="K40" s="11">
        <v>0</v>
      </c>
      <c r="L40" s="11">
        <f t="shared" si="3"/>
        <v>0</v>
      </c>
    </row>
    <row r="41" spans="1:14" ht="16.5" thickTop="1" thickBot="1" x14ac:dyDescent="0.3">
      <c r="A41" s="5" t="s">
        <v>586</v>
      </c>
      <c r="B41" s="6">
        <v>88845</v>
      </c>
      <c r="C41" s="7" t="s">
        <v>14</v>
      </c>
      <c r="D41" s="39">
        <v>46115</v>
      </c>
      <c r="E41" s="39" t="s">
        <v>13</v>
      </c>
      <c r="F41" s="39" t="s">
        <v>13</v>
      </c>
      <c r="G41" s="9">
        <v>51819</v>
      </c>
      <c r="H41" s="10">
        <f t="shared" ref="H41:H46" si="4">I41-G41</f>
        <v>51818</v>
      </c>
      <c r="I41" s="11">
        <v>103637</v>
      </c>
      <c r="J41" s="11">
        <f>IFERROR(VLOOKUP(B41,'May 26'!B:G,6,FALSE),0)</f>
        <v>51819</v>
      </c>
      <c r="K41" s="11">
        <v>0</v>
      </c>
      <c r="L41" s="11">
        <f t="shared" si="3"/>
        <v>0</v>
      </c>
      <c r="N41" s="79" t="str">
        <f>VLOOKUP(B41,[3]invoicing!$C:$AI,33,FALSE)</f>
        <v/>
      </c>
    </row>
    <row r="42" spans="1:14" ht="16.5" thickTop="1" thickBot="1" x14ac:dyDescent="0.3">
      <c r="A42" s="5" t="s">
        <v>622</v>
      </c>
      <c r="B42" s="6">
        <v>89829</v>
      </c>
      <c r="C42" s="7" t="s">
        <v>27</v>
      </c>
      <c r="D42" s="39">
        <v>46134</v>
      </c>
      <c r="E42" s="39">
        <v>46183</v>
      </c>
      <c r="F42" s="39" t="s">
        <v>350</v>
      </c>
      <c r="G42" s="9">
        <v>90746</v>
      </c>
      <c r="H42" s="10">
        <f t="shared" si="4"/>
        <v>90746</v>
      </c>
      <c r="I42" s="11">
        <v>181492</v>
      </c>
      <c r="J42" s="11">
        <f>IFERROR(VLOOKUP(B42,'May 26'!B:G,6,FALSE),0)</f>
        <v>90746</v>
      </c>
      <c r="K42" s="11">
        <f>IF(G42=0,J42-G42,0)</f>
        <v>0</v>
      </c>
      <c r="L42" s="11">
        <f t="shared" si="3"/>
        <v>0</v>
      </c>
      <c r="N42" s="79" t="str">
        <f>VLOOKUP(B42,[3]invoicing!$C:$AI,33,FALSE)</f>
        <v/>
      </c>
    </row>
    <row r="43" spans="1:14" ht="16.5" thickTop="1" thickBot="1" x14ac:dyDescent="0.3">
      <c r="A43" s="5" t="s">
        <v>641</v>
      </c>
      <c r="B43" s="6">
        <v>89254</v>
      </c>
      <c r="C43" s="6" t="s">
        <v>18</v>
      </c>
      <c r="D43" s="39">
        <v>46142</v>
      </c>
      <c r="E43" s="39" t="s">
        <v>13</v>
      </c>
      <c r="F43" s="39" t="s">
        <v>13</v>
      </c>
      <c r="G43" s="9">
        <v>8136</v>
      </c>
      <c r="H43" s="10">
        <f t="shared" si="4"/>
        <v>8136</v>
      </c>
      <c r="I43" s="11">
        <v>16272</v>
      </c>
      <c r="J43" s="11">
        <f>IFERROR(VLOOKUP(B43,'May 26'!B:G,6,FALSE),0)</f>
        <v>8136</v>
      </c>
      <c r="K43" s="11">
        <f>IF(G43=0,J43-G43,0)</f>
        <v>0</v>
      </c>
      <c r="L43" s="11">
        <f t="shared" si="3"/>
        <v>0</v>
      </c>
      <c r="N43" s="79" t="str">
        <f>VLOOKUP(B43,[3]invoicing!$C:$AI,33,FALSE)</f>
        <v/>
      </c>
    </row>
    <row r="44" spans="1:14" ht="16.5" thickTop="1" thickBot="1" x14ac:dyDescent="0.3">
      <c r="A44" s="5" t="s">
        <v>687</v>
      </c>
      <c r="B44" s="6">
        <v>91035</v>
      </c>
      <c r="C44" s="7" t="s">
        <v>14</v>
      </c>
      <c r="D44" s="39">
        <v>46169</v>
      </c>
      <c r="E44" s="39" t="s">
        <v>13</v>
      </c>
      <c r="F44" s="39" t="s">
        <v>13</v>
      </c>
      <c r="G44" s="9">
        <v>19766.41</v>
      </c>
      <c r="H44" s="10">
        <f t="shared" si="4"/>
        <v>19766.399999999998</v>
      </c>
      <c r="I44" s="11">
        <v>39532.81</v>
      </c>
      <c r="J44" s="11">
        <f>IFERROR(VLOOKUP(B44,'May 26'!B:G,6,FALSE),0)</f>
        <v>19766.41</v>
      </c>
      <c r="K44" s="11"/>
      <c r="L44" s="11">
        <f t="shared" si="3"/>
        <v>0</v>
      </c>
      <c r="N44" s="79" t="str">
        <f>VLOOKUP(B44,[3]invoicing!$C:$AI,33,FALSE)</f>
        <v/>
      </c>
    </row>
    <row r="45" spans="1:14" ht="16.5" thickTop="1" thickBot="1" x14ac:dyDescent="0.3">
      <c r="A45" s="5" t="s">
        <v>637</v>
      </c>
      <c r="B45" s="6">
        <v>90388</v>
      </c>
      <c r="C45" s="6" t="s">
        <v>283</v>
      </c>
      <c r="D45" s="39">
        <v>46140</v>
      </c>
      <c r="E45" s="39" t="s">
        <v>13</v>
      </c>
      <c r="F45" s="39" t="s">
        <v>13</v>
      </c>
      <c r="G45" s="9">
        <v>25275</v>
      </c>
      <c r="H45" s="10">
        <f t="shared" si="4"/>
        <v>25275.260000000002</v>
      </c>
      <c r="I45" s="11">
        <v>50550.26</v>
      </c>
      <c r="J45" s="11">
        <f>IFERROR(VLOOKUP(B45,'May 26'!B:G,6,FALSE),0)</f>
        <v>25275</v>
      </c>
      <c r="K45" s="11">
        <f>IF(G45=0,J45-G45,0)</f>
        <v>0</v>
      </c>
      <c r="L45" s="11">
        <f t="shared" si="3"/>
        <v>0</v>
      </c>
      <c r="N45" s="79" t="str">
        <f>VLOOKUP(B45,[3]invoicing!$C:$AI,33,FALSE)</f>
        <v/>
      </c>
    </row>
    <row r="46" spans="1:14" ht="16.5" thickTop="1" thickBot="1" x14ac:dyDescent="0.3">
      <c r="A46" s="5" t="s">
        <v>729</v>
      </c>
      <c r="B46" s="6">
        <v>90595</v>
      </c>
      <c r="C46" s="6" t="s">
        <v>21</v>
      </c>
      <c r="D46" s="39">
        <v>46195</v>
      </c>
      <c r="E46" s="39">
        <v>46175</v>
      </c>
      <c r="F46" s="39" t="s">
        <v>743</v>
      </c>
      <c r="G46" s="19">
        <v>5569.3</v>
      </c>
      <c r="H46" s="10">
        <f t="shared" si="4"/>
        <v>0</v>
      </c>
      <c r="I46" s="11">
        <v>5569.3</v>
      </c>
      <c r="J46" s="11">
        <f>IFERROR(VLOOKUP(B46,'May 26'!B:G,6,FALSE),0)</f>
        <v>0</v>
      </c>
      <c r="K46" s="11">
        <v>0</v>
      </c>
      <c r="L46" s="11">
        <f t="shared" si="3"/>
        <v>5569.3</v>
      </c>
    </row>
    <row r="47" spans="1:14" ht="16.5" thickTop="1" thickBot="1" x14ac:dyDescent="0.3">
      <c r="A47" s="5" t="s">
        <v>358</v>
      </c>
      <c r="B47" s="81">
        <v>87426</v>
      </c>
      <c r="C47" s="82" t="s">
        <v>21</v>
      </c>
      <c r="D47" s="49">
        <v>46084</v>
      </c>
      <c r="E47" s="49">
        <v>46125</v>
      </c>
      <c r="F47" s="49">
        <v>46176</v>
      </c>
      <c r="G47" s="45">
        <v>0</v>
      </c>
      <c r="H47" s="10"/>
      <c r="I47" s="11"/>
      <c r="J47" s="11">
        <f>IFERROR(VLOOKUP(B47,'May 26'!B:G,6,FALSE),0)</f>
        <v>205161.46000000002</v>
      </c>
      <c r="K47" s="11">
        <f>J47-G47</f>
        <v>205161.46000000002</v>
      </c>
      <c r="L47" s="11" t="s">
        <v>613</v>
      </c>
      <c r="N47" s="79" t="str">
        <f>VLOOKUP(B47,[3]invoicing!$C:$AI,33,FALSE)</f>
        <v/>
      </c>
    </row>
    <row r="48" spans="1:14" ht="16.5" thickTop="1" thickBot="1" x14ac:dyDescent="0.3">
      <c r="A48" s="5" t="s">
        <v>75</v>
      </c>
      <c r="B48" s="6">
        <v>83108</v>
      </c>
      <c r="C48" s="7" t="s">
        <v>76</v>
      </c>
      <c r="D48" s="39">
        <v>45764</v>
      </c>
      <c r="E48" s="39" t="s">
        <v>13</v>
      </c>
      <c r="F48" s="39" t="s">
        <v>13</v>
      </c>
      <c r="G48" s="9">
        <v>172204.5</v>
      </c>
      <c r="H48" s="10">
        <v>172204.5</v>
      </c>
      <c r="I48" s="11">
        <v>344409</v>
      </c>
      <c r="J48" s="11">
        <f>IFERROR(VLOOKUP(B48,'May 26'!B:G,6,FALSE),0)</f>
        <v>172204.5</v>
      </c>
      <c r="K48" s="11">
        <v>0</v>
      </c>
      <c r="L48" s="11">
        <f>G48-J48</f>
        <v>0</v>
      </c>
      <c r="N48" s="79" t="str">
        <f>VLOOKUP(B48,[3]invoicing!$C:$AI,33,FALSE)</f>
        <v/>
      </c>
    </row>
    <row r="49" spans="1:14" ht="16.5" thickTop="1" thickBot="1" x14ac:dyDescent="0.3">
      <c r="A49" s="5" t="s">
        <v>138</v>
      </c>
      <c r="B49" s="6">
        <v>84134</v>
      </c>
      <c r="C49" s="7" t="s">
        <v>14</v>
      </c>
      <c r="D49" s="39">
        <v>45945</v>
      </c>
      <c r="E49" s="39">
        <v>46091</v>
      </c>
      <c r="F49" s="39" t="s">
        <v>577</v>
      </c>
      <c r="G49" s="9">
        <v>64205</v>
      </c>
      <c r="H49" s="10">
        <v>61477</v>
      </c>
      <c r="I49" s="11">
        <v>125682</v>
      </c>
      <c r="J49" s="11">
        <f>IFERROR(VLOOKUP(B49,'May 26'!B:G,6,FALSE),0)</f>
        <v>64205</v>
      </c>
      <c r="K49" s="11">
        <v>0</v>
      </c>
      <c r="L49" s="11">
        <f>G49-J49</f>
        <v>0</v>
      </c>
    </row>
    <row r="50" spans="1:14" ht="16.5" thickTop="1" thickBot="1" x14ac:dyDescent="0.3">
      <c r="A50" s="5" t="s">
        <v>378</v>
      </c>
      <c r="B50" s="6">
        <v>85777</v>
      </c>
      <c r="C50" s="7" t="s">
        <v>37</v>
      </c>
      <c r="D50" s="39">
        <v>46093</v>
      </c>
      <c r="E50" s="39" t="s">
        <v>13</v>
      </c>
      <c r="F50" s="39" t="s">
        <v>13</v>
      </c>
      <c r="G50" s="9">
        <v>17769</v>
      </c>
      <c r="H50" s="10">
        <v>168389</v>
      </c>
      <c r="I50" s="11">
        <v>186158</v>
      </c>
      <c r="J50" s="11">
        <f>IFERROR(VLOOKUP(B50,'May 26'!B:G,6,FALSE),0)</f>
        <v>17769</v>
      </c>
      <c r="K50" s="11">
        <v>0</v>
      </c>
      <c r="L50" s="11">
        <f>G50-J50</f>
        <v>0</v>
      </c>
      <c r="N50" s="79" t="str">
        <f>VLOOKUP(B50,[3]invoicing!$C:$AI,33,FALSE)</f>
        <v/>
      </c>
    </row>
    <row r="51" spans="1:14" ht="16.5" thickTop="1" thickBot="1" x14ac:dyDescent="0.3">
      <c r="A51" s="5" t="s">
        <v>288</v>
      </c>
      <c r="B51" s="81">
        <v>88087</v>
      </c>
      <c r="C51" s="82" t="s">
        <v>295</v>
      </c>
      <c r="D51" s="49">
        <v>46064</v>
      </c>
      <c r="E51" s="49">
        <v>46128</v>
      </c>
      <c r="F51" s="49">
        <v>46183</v>
      </c>
      <c r="G51" s="45">
        <v>0</v>
      </c>
      <c r="H51" s="10"/>
      <c r="I51" s="11"/>
      <c r="J51" s="11">
        <f>IFERROR(VLOOKUP(B51,'May 26'!B:G,6,FALSE),0)</f>
        <v>123085</v>
      </c>
      <c r="K51" s="11">
        <f>J51-G51</f>
        <v>123085</v>
      </c>
      <c r="L51" s="11" t="s">
        <v>613</v>
      </c>
    </row>
    <row r="52" spans="1:14" ht="16.5" thickTop="1" thickBot="1" x14ac:dyDescent="0.3">
      <c r="A52" s="5" t="s">
        <v>663</v>
      </c>
      <c r="B52" s="6">
        <v>90600</v>
      </c>
      <c r="C52" s="7" t="s">
        <v>21</v>
      </c>
      <c r="D52" s="39" t="s">
        <v>670</v>
      </c>
      <c r="E52" s="39">
        <v>46189</v>
      </c>
      <c r="F52" s="39" t="s">
        <v>351</v>
      </c>
      <c r="G52" s="19">
        <v>84439.3</v>
      </c>
      <c r="H52" s="10">
        <f>I52-G52</f>
        <v>0</v>
      </c>
      <c r="I52" s="11">
        <v>84439.3</v>
      </c>
      <c r="J52" s="11">
        <f>IFERROR(VLOOKUP(B52,'May 26'!B:G,6,FALSE),0)</f>
        <v>84439.3</v>
      </c>
      <c r="K52" s="11">
        <v>0</v>
      </c>
      <c r="L52" s="11">
        <f t="shared" ref="L52:L61" si="5">G52-J52</f>
        <v>0</v>
      </c>
      <c r="N52" s="79" t="str">
        <f>VLOOKUP(B52,[3]invoicing!$C:$AI,33,FALSE)</f>
        <v/>
      </c>
    </row>
    <row r="53" spans="1:14" ht="16.5" thickTop="1" thickBot="1" x14ac:dyDescent="0.3">
      <c r="A53" s="5" t="s">
        <v>623</v>
      </c>
      <c r="B53" s="6">
        <v>89338</v>
      </c>
      <c r="C53" s="7" t="s">
        <v>19</v>
      </c>
      <c r="D53" s="39">
        <v>46134</v>
      </c>
      <c r="E53" s="39" t="s">
        <v>13</v>
      </c>
      <c r="F53" s="39" t="s">
        <v>13</v>
      </c>
      <c r="G53" s="9">
        <v>14498</v>
      </c>
      <c r="H53" s="10">
        <f>I53-G53</f>
        <v>15866</v>
      </c>
      <c r="I53" s="11">
        <v>30364</v>
      </c>
      <c r="J53" s="11">
        <f>IFERROR(VLOOKUP(B53,'May 26'!B:G,6,FALSE),0)</f>
        <v>14498</v>
      </c>
      <c r="K53" s="11">
        <f>IF(G53=0,J53-G53,0)</f>
        <v>0</v>
      </c>
      <c r="L53" s="11">
        <f t="shared" si="5"/>
        <v>0</v>
      </c>
      <c r="N53" s="79" t="str">
        <f>VLOOKUP(B53,[3]invoicing!$C:$AI,33,FALSE)</f>
        <v/>
      </c>
    </row>
    <row r="54" spans="1:14" ht="16.5" thickTop="1" thickBot="1" x14ac:dyDescent="0.3">
      <c r="A54" s="5" t="s">
        <v>569</v>
      </c>
      <c r="B54" s="6">
        <v>83204</v>
      </c>
      <c r="C54" s="7" t="s">
        <v>14</v>
      </c>
      <c r="D54" s="39">
        <v>46108</v>
      </c>
      <c r="E54" s="39">
        <v>46148</v>
      </c>
      <c r="F54" s="39" t="s">
        <v>643</v>
      </c>
      <c r="G54" s="9">
        <v>44368</v>
      </c>
      <c r="H54" s="10">
        <v>44368</v>
      </c>
      <c r="I54" s="11">
        <v>88736</v>
      </c>
      <c r="J54" s="11">
        <f>IFERROR(VLOOKUP(B54,'May 26'!B:G,6,FALSE),0)</f>
        <v>44368</v>
      </c>
      <c r="K54" s="11">
        <v>0</v>
      </c>
      <c r="L54" s="11">
        <f t="shared" si="5"/>
        <v>0</v>
      </c>
      <c r="N54" s="79" t="str">
        <f>VLOOKUP(B54,[3]invoicing!$C:$AI,33,FALSE)</f>
        <v/>
      </c>
    </row>
    <row r="55" spans="1:14" ht="16.5" thickTop="1" thickBot="1" x14ac:dyDescent="0.3">
      <c r="A55" s="5" t="s">
        <v>375</v>
      </c>
      <c r="B55" s="6">
        <v>88756</v>
      </c>
      <c r="C55" s="7" t="s">
        <v>23</v>
      </c>
      <c r="D55" s="39">
        <v>46092</v>
      </c>
      <c r="E55" s="39" t="s">
        <v>13</v>
      </c>
      <c r="F55" s="39" t="s">
        <v>13</v>
      </c>
      <c r="G55" s="9">
        <v>160000</v>
      </c>
      <c r="H55" s="10">
        <v>158239</v>
      </c>
      <c r="I55" s="11">
        <v>318239</v>
      </c>
      <c r="J55" s="11">
        <f>IFERROR(VLOOKUP(B55,'May 26'!B:G,6,FALSE),0)</f>
        <v>160000</v>
      </c>
      <c r="K55" s="11">
        <v>0</v>
      </c>
      <c r="L55" s="11">
        <f t="shared" si="5"/>
        <v>0</v>
      </c>
      <c r="N55" s="79" t="str">
        <f>VLOOKUP(B55,[3]invoicing!$C:$AI,33,FALSE)</f>
        <v/>
      </c>
    </row>
    <row r="56" spans="1:14" ht="16.5" thickTop="1" thickBot="1" x14ac:dyDescent="0.3">
      <c r="A56" s="5" t="s">
        <v>720</v>
      </c>
      <c r="B56" s="6">
        <v>90858</v>
      </c>
      <c r="C56" s="7" t="s">
        <v>23</v>
      </c>
      <c r="D56" s="39">
        <v>46185</v>
      </c>
      <c r="E56" s="39" t="s">
        <v>13</v>
      </c>
      <c r="F56" s="39" t="s">
        <v>13</v>
      </c>
      <c r="G56" s="9">
        <v>6717</v>
      </c>
      <c r="H56" s="10">
        <f>I56-G56</f>
        <v>6717</v>
      </c>
      <c r="I56" s="11">
        <v>13434</v>
      </c>
      <c r="J56" s="11">
        <f>IFERROR(VLOOKUP(B56,'May 26'!B:G,6,FALSE),0)</f>
        <v>0</v>
      </c>
      <c r="K56" s="11">
        <v>0</v>
      </c>
      <c r="L56" s="11">
        <f t="shared" si="5"/>
        <v>6717</v>
      </c>
      <c r="N56" s="79" t="str">
        <f>VLOOKUP(B56,[3]invoicing!$C:$AI,33,FALSE)</f>
        <v/>
      </c>
    </row>
    <row r="57" spans="1:14" ht="16.5" thickTop="1" thickBot="1" x14ac:dyDescent="0.3">
      <c r="A57" s="5" t="s">
        <v>711</v>
      </c>
      <c r="B57" s="6">
        <v>90442</v>
      </c>
      <c r="C57" s="7" t="s">
        <v>23</v>
      </c>
      <c r="D57" s="39">
        <v>46181</v>
      </c>
      <c r="E57" s="39" t="s">
        <v>13</v>
      </c>
      <c r="F57" s="39" t="s">
        <v>13</v>
      </c>
      <c r="G57" s="9">
        <v>40000</v>
      </c>
      <c r="H57" s="10">
        <f>I57-G57</f>
        <v>32316</v>
      </c>
      <c r="I57" s="11">
        <v>72316</v>
      </c>
      <c r="J57" s="11">
        <f>IFERROR(VLOOKUP(B57,'May 26'!B:G,6,FALSE),0)</f>
        <v>0</v>
      </c>
      <c r="K57" s="11">
        <v>0</v>
      </c>
      <c r="L57" s="11">
        <f t="shared" si="5"/>
        <v>40000</v>
      </c>
      <c r="N57" s="79" t="str">
        <f>VLOOKUP(B57,[3]invoicing!$C:$AI,33,FALSE)</f>
        <v/>
      </c>
    </row>
    <row r="58" spans="1:14" ht="16.5" thickTop="1" thickBot="1" x14ac:dyDescent="0.3">
      <c r="A58" s="5" t="s">
        <v>323</v>
      </c>
      <c r="B58" s="6">
        <v>88511</v>
      </c>
      <c r="C58" s="7" t="s">
        <v>23</v>
      </c>
      <c r="D58" s="39">
        <v>46072</v>
      </c>
      <c r="E58" s="39">
        <v>46162</v>
      </c>
      <c r="F58" s="39" t="s">
        <v>577</v>
      </c>
      <c r="G58" s="9">
        <v>19222</v>
      </c>
      <c r="H58" s="10">
        <v>19222</v>
      </c>
      <c r="I58" s="11">
        <v>38444</v>
      </c>
      <c r="J58" s="11">
        <f>IFERROR(VLOOKUP(B58,'May 26'!B:G,6,FALSE),0)</f>
        <v>19222</v>
      </c>
      <c r="K58" s="11">
        <v>0</v>
      </c>
      <c r="L58" s="11">
        <f t="shared" si="5"/>
        <v>0</v>
      </c>
      <c r="N58" s="79" t="str">
        <f>VLOOKUP(B58,[3]invoicing!$C:$AI,33,FALSE)</f>
        <v/>
      </c>
    </row>
    <row r="59" spans="1:14" ht="16.5" thickTop="1" thickBot="1" x14ac:dyDescent="0.3">
      <c r="A59" s="5" t="s">
        <v>223</v>
      </c>
      <c r="B59" s="6">
        <v>83729</v>
      </c>
      <c r="C59" s="7" t="s">
        <v>23</v>
      </c>
      <c r="D59" s="39">
        <v>46028</v>
      </c>
      <c r="E59" s="39">
        <v>46155</v>
      </c>
      <c r="F59" s="39" t="s">
        <v>353</v>
      </c>
      <c r="G59" s="9">
        <v>31223</v>
      </c>
      <c r="H59" s="10">
        <v>27501</v>
      </c>
      <c r="I59" s="11">
        <v>58724</v>
      </c>
      <c r="J59" s="11">
        <f>IFERROR(VLOOKUP(B59,'May 26'!B:G,6,FALSE),0)</f>
        <v>31223</v>
      </c>
      <c r="K59" s="11">
        <v>0</v>
      </c>
      <c r="L59" s="11">
        <f t="shared" si="5"/>
        <v>0</v>
      </c>
      <c r="N59" s="79" t="str">
        <f>VLOOKUP(B59,[3]invoicing!$C:$AI,33,FALSE)</f>
        <v/>
      </c>
    </row>
    <row r="60" spans="1:14" ht="16.5" thickTop="1" thickBot="1" x14ac:dyDescent="0.3">
      <c r="A60" s="5" t="s">
        <v>679</v>
      </c>
      <c r="B60" s="6">
        <v>90688</v>
      </c>
      <c r="C60" s="7" t="s">
        <v>11</v>
      </c>
      <c r="D60" s="39">
        <v>46163</v>
      </c>
      <c r="E60" s="39">
        <v>46184</v>
      </c>
      <c r="F60" s="39" t="s">
        <v>577</v>
      </c>
      <c r="G60" s="9">
        <v>11700</v>
      </c>
      <c r="H60" s="10">
        <f>I60-G60</f>
        <v>11755.11</v>
      </c>
      <c r="I60" s="11">
        <v>23455.11</v>
      </c>
      <c r="J60" s="11">
        <f>IFERROR(VLOOKUP(B60,'May 26'!B:G,6,FALSE),0)</f>
        <v>11700</v>
      </c>
      <c r="K60" s="11"/>
      <c r="L60" s="11">
        <f t="shared" si="5"/>
        <v>0</v>
      </c>
      <c r="N60" s="79" t="str">
        <f>VLOOKUP(B60,[3]invoicing!$C:$AI,33,FALSE)</f>
        <v/>
      </c>
    </row>
    <row r="61" spans="1:14" ht="16.5" thickTop="1" thickBot="1" x14ac:dyDescent="0.3">
      <c r="A61" s="5" t="s">
        <v>504</v>
      </c>
      <c r="B61" s="6">
        <v>85504</v>
      </c>
      <c r="C61" s="7" t="s">
        <v>38</v>
      </c>
      <c r="D61" s="39">
        <v>46100</v>
      </c>
      <c r="E61" s="39" t="s">
        <v>13</v>
      </c>
      <c r="F61" s="39" t="s">
        <v>13</v>
      </c>
      <c r="G61" s="9">
        <v>151068</v>
      </c>
      <c r="H61" s="10">
        <v>151068</v>
      </c>
      <c r="I61" s="11">
        <v>302136</v>
      </c>
      <c r="J61" s="11">
        <f>IFERROR(VLOOKUP(B61,'May 26'!B:G,6,FALSE),0)</f>
        <v>151068</v>
      </c>
      <c r="K61" s="11">
        <v>0</v>
      </c>
      <c r="L61" s="11">
        <f t="shared" si="5"/>
        <v>0</v>
      </c>
      <c r="N61" s="79" t="str">
        <f>VLOOKUP(B61,[3]invoicing!$C:$AI,33,FALSE)</f>
        <v/>
      </c>
    </row>
    <row r="62" spans="1:14" ht="16.5" thickTop="1" thickBot="1" x14ac:dyDescent="0.3">
      <c r="A62" s="5" t="s">
        <v>495</v>
      </c>
      <c r="B62" s="81">
        <v>89285</v>
      </c>
      <c r="C62" s="82" t="s">
        <v>40</v>
      </c>
      <c r="D62" s="49">
        <v>46098</v>
      </c>
      <c r="E62" s="49">
        <v>46155</v>
      </c>
      <c r="F62" s="49">
        <v>46190</v>
      </c>
      <c r="G62" s="45">
        <v>0</v>
      </c>
      <c r="H62" s="10"/>
      <c r="I62" s="11"/>
      <c r="J62" s="11">
        <f>IFERROR(VLOOKUP(B62,'May 26'!B:G,6,FALSE),0)</f>
        <v>23405</v>
      </c>
      <c r="K62" s="11">
        <f>J62-G62</f>
        <v>23405</v>
      </c>
      <c r="L62" s="11" t="s">
        <v>613</v>
      </c>
    </row>
    <row r="63" spans="1:14" ht="16.5" thickTop="1" thickBot="1" x14ac:dyDescent="0.3">
      <c r="A63" s="5" t="s">
        <v>701</v>
      </c>
      <c r="B63" s="6">
        <v>90853</v>
      </c>
      <c r="C63" s="7" t="s">
        <v>40</v>
      </c>
      <c r="D63" s="39">
        <v>46177</v>
      </c>
      <c r="E63" s="39">
        <v>46202</v>
      </c>
      <c r="F63" s="39" t="s">
        <v>353</v>
      </c>
      <c r="G63" s="9">
        <v>48347</v>
      </c>
      <c r="H63" s="10">
        <f>I63-G63</f>
        <v>48346</v>
      </c>
      <c r="I63" s="11">
        <v>96693</v>
      </c>
      <c r="J63" s="11">
        <f>IFERROR(VLOOKUP(B63,'May 26'!B:G,6,FALSE),0)</f>
        <v>0</v>
      </c>
      <c r="K63" s="11">
        <v>0</v>
      </c>
      <c r="L63" s="11">
        <f>G63-J63</f>
        <v>48347</v>
      </c>
      <c r="N63" s="79" t="str">
        <f>VLOOKUP(B63,[3]invoicing!$C:$AI,33,FALSE)</f>
        <v/>
      </c>
    </row>
    <row r="64" spans="1:14" ht="16.5" thickTop="1" thickBot="1" x14ac:dyDescent="0.3">
      <c r="A64" s="5" t="s">
        <v>640</v>
      </c>
      <c r="B64" s="6">
        <v>89324</v>
      </c>
      <c r="C64" s="6" t="s">
        <v>31</v>
      </c>
      <c r="D64" s="39">
        <v>46141</v>
      </c>
      <c r="E64" s="39">
        <v>46197</v>
      </c>
      <c r="F64" s="39" t="s">
        <v>643</v>
      </c>
      <c r="G64" s="9">
        <v>15963</v>
      </c>
      <c r="H64" s="10">
        <f>I64-G64</f>
        <v>15962</v>
      </c>
      <c r="I64" s="11">
        <v>31925</v>
      </c>
      <c r="J64" s="11">
        <f>IFERROR(VLOOKUP(B64,'May 26'!B:G,6,FALSE),0)</f>
        <v>15963</v>
      </c>
      <c r="K64" s="11">
        <f>IF(G64=0,J64-G64,0)</f>
        <v>0</v>
      </c>
      <c r="L64" s="11">
        <f>G64-J64</f>
        <v>0</v>
      </c>
      <c r="N64" s="79" t="str">
        <f>VLOOKUP(B64,[3]invoicing!$C:$AI,33,FALSE)</f>
        <v/>
      </c>
    </row>
    <row r="65" spans="1:14" ht="16.5" thickTop="1" thickBot="1" x14ac:dyDescent="0.3">
      <c r="A65" s="5" t="s">
        <v>174</v>
      </c>
      <c r="B65" s="6">
        <v>86960</v>
      </c>
      <c r="C65" s="7" t="s">
        <v>38</v>
      </c>
      <c r="D65" s="39">
        <v>45986</v>
      </c>
      <c r="E65" s="39" t="s">
        <v>13</v>
      </c>
      <c r="F65" s="39" t="s">
        <v>13</v>
      </c>
      <c r="G65" s="9">
        <v>8962</v>
      </c>
      <c r="H65" s="10">
        <v>26885</v>
      </c>
      <c r="I65" s="11">
        <v>39102</v>
      </c>
      <c r="J65" s="11">
        <f>IFERROR(VLOOKUP(B65,'May 26'!B:G,6,FALSE),0)</f>
        <v>8962</v>
      </c>
      <c r="K65" s="11">
        <v>0</v>
      </c>
      <c r="L65" s="11">
        <f>G65-J65</f>
        <v>0</v>
      </c>
    </row>
    <row r="66" spans="1:14" ht="16.5" thickTop="1" thickBot="1" x14ac:dyDescent="0.3">
      <c r="A66" s="5" t="s">
        <v>632</v>
      </c>
      <c r="B66" s="81">
        <v>89760</v>
      </c>
      <c r="C66" s="82" t="s">
        <v>21</v>
      </c>
      <c r="D66" s="49">
        <v>46139</v>
      </c>
      <c r="E66" s="49">
        <v>46174</v>
      </c>
      <c r="F66" s="49">
        <v>46202</v>
      </c>
      <c r="G66" s="45">
        <v>0</v>
      </c>
      <c r="H66" s="10"/>
      <c r="I66" s="11"/>
      <c r="J66" s="11">
        <f>IFERROR(VLOOKUP(B66,'May 26'!B:G,6,FALSE),0)</f>
        <v>5641</v>
      </c>
      <c r="K66" s="11">
        <f>J66-G66</f>
        <v>5641</v>
      </c>
      <c r="L66" s="11" t="s">
        <v>613</v>
      </c>
    </row>
    <row r="67" spans="1:14" ht="16.5" thickTop="1" thickBot="1" x14ac:dyDescent="0.3">
      <c r="A67" s="5" t="s">
        <v>710</v>
      </c>
      <c r="B67" s="6">
        <v>90706</v>
      </c>
      <c r="C67" s="7" t="s">
        <v>14</v>
      </c>
      <c r="D67" s="39">
        <v>46181</v>
      </c>
      <c r="E67" s="39" t="s">
        <v>13</v>
      </c>
      <c r="F67" s="39" t="s">
        <v>13</v>
      </c>
      <c r="G67" s="9">
        <v>30536</v>
      </c>
      <c r="H67" s="10">
        <f>I67-G67</f>
        <v>30536</v>
      </c>
      <c r="I67" s="11">
        <v>61072</v>
      </c>
      <c r="J67" s="11">
        <f>IFERROR(VLOOKUP(B67,'May 26'!B:G,6,FALSE),0)</f>
        <v>0</v>
      </c>
      <c r="K67" s="11">
        <v>0</v>
      </c>
      <c r="L67" s="11">
        <f t="shared" ref="L67:L90" si="6">G67-J67</f>
        <v>30536</v>
      </c>
      <c r="N67" s="79" t="str">
        <f>VLOOKUP(B67,[3]invoicing!$C:$AI,33,FALSE)</f>
        <v/>
      </c>
    </row>
    <row r="68" spans="1:14" ht="16.5" thickTop="1" thickBot="1" x14ac:dyDescent="0.3">
      <c r="A68" s="5" t="s">
        <v>587</v>
      </c>
      <c r="B68" s="6">
        <v>85987</v>
      </c>
      <c r="C68" s="7" t="s">
        <v>14</v>
      </c>
      <c r="D68" s="39">
        <v>46115</v>
      </c>
      <c r="E68" s="39">
        <v>46177</v>
      </c>
      <c r="F68" s="39" t="s">
        <v>643</v>
      </c>
      <c r="G68" s="9">
        <v>68043</v>
      </c>
      <c r="H68" s="10">
        <f>I68-G68</f>
        <v>68042</v>
      </c>
      <c r="I68" s="11">
        <v>136085</v>
      </c>
      <c r="J68" s="11">
        <f>IFERROR(VLOOKUP(B68,'May 26'!B:G,6,FALSE),0)</f>
        <v>68043</v>
      </c>
      <c r="K68" s="11">
        <v>0</v>
      </c>
      <c r="L68" s="11">
        <f t="shared" si="6"/>
        <v>0</v>
      </c>
      <c r="N68" s="79" t="str">
        <f>VLOOKUP(B68,[3]invoicing!$C:$AI,33,FALSE)</f>
        <v/>
      </c>
    </row>
    <row r="69" spans="1:14" ht="16.5" thickTop="1" thickBot="1" x14ac:dyDescent="0.3">
      <c r="A69" s="5" t="s">
        <v>382</v>
      </c>
      <c r="B69" s="6">
        <v>84161</v>
      </c>
      <c r="C69" s="7" t="s">
        <v>76</v>
      </c>
      <c r="D69" s="39">
        <v>46013</v>
      </c>
      <c r="E69" s="39" t="s">
        <v>13</v>
      </c>
      <c r="F69" s="39" t="s">
        <v>13</v>
      </c>
      <c r="G69" s="9">
        <v>176687</v>
      </c>
      <c r="H69" s="10">
        <v>176686</v>
      </c>
      <c r="I69" s="11">
        <v>353373</v>
      </c>
      <c r="J69" s="11">
        <f>IFERROR(VLOOKUP(B69,'May 26'!B:G,6,FALSE),0)</f>
        <v>176687</v>
      </c>
      <c r="K69" s="11">
        <v>0</v>
      </c>
      <c r="L69" s="11">
        <f t="shared" si="6"/>
        <v>0</v>
      </c>
      <c r="N69" s="79" t="str">
        <f>VLOOKUP(B69,[3]invoicing!$C:$AI,33,FALSE)</f>
        <v/>
      </c>
    </row>
    <row r="70" spans="1:14" ht="16.5" thickTop="1" thickBot="1" x14ac:dyDescent="0.3">
      <c r="A70" s="5" t="s">
        <v>101</v>
      </c>
      <c r="B70" s="6" t="s">
        <v>219</v>
      </c>
      <c r="C70" s="7" t="s">
        <v>76</v>
      </c>
      <c r="D70" s="39">
        <v>45868</v>
      </c>
      <c r="E70" s="39" t="s">
        <v>13</v>
      </c>
      <c r="F70" s="39" t="s">
        <v>13</v>
      </c>
      <c r="G70" s="9">
        <v>114974</v>
      </c>
      <c r="H70" s="10">
        <v>114973</v>
      </c>
      <c r="I70" s="11">
        <v>229947</v>
      </c>
      <c r="J70" s="11">
        <f>IFERROR(VLOOKUP(B70,'May 26'!B:G,6,FALSE),0)</f>
        <v>114974</v>
      </c>
      <c r="K70" s="11">
        <v>0</v>
      </c>
      <c r="L70" s="11">
        <f t="shared" si="6"/>
        <v>0</v>
      </c>
    </row>
    <row r="71" spans="1:14" ht="16.5" thickTop="1" thickBot="1" x14ac:dyDescent="0.3">
      <c r="A71" s="5" t="s">
        <v>286</v>
      </c>
      <c r="B71" s="6">
        <v>87492</v>
      </c>
      <c r="C71" s="7" t="s">
        <v>295</v>
      </c>
      <c r="D71" s="39">
        <v>46063</v>
      </c>
      <c r="E71" s="39" t="s">
        <v>13</v>
      </c>
      <c r="F71" s="39" t="s">
        <v>13</v>
      </c>
      <c r="G71" s="9">
        <v>22079</v>
      </c>
      <c r="H71" s="10">
        <v>22079</v>
      </c>
      <c r="I71" s="11">
        <v>44158</v>
      </c>
      <c r="J71" s="11">
        <f>IFERROR(VLOOKUP(B71,'May 26'!B:G,6,FALSE),0)</f>
        <v>22079</v>
      </c>
      <c r="K71" s="11">
        <v>0</v>
      </c>
      <c r="L71" s="11">
        <f t="shared" si="6"/>
        <v>0</v>
      </c>
      <c r="N71" s="79" t="str">
        <f>VLOOKUP(B71,[3]invoicing!$C:$AI,33,FALSE)</f>
        <v/>
      </c>
    </row>
    <row r="72" spans="1:14" ht="16.5" thickTop="1" thickBot="1" x14ac:dyDescent="0.3">
      <c r="A72" s="5" t="s">
        <v>589</v>
      </c>
      <c r="B72" s="6">
        <v>88818</v>
      </c>
      <c r="C72" s="7" t="s">
        <v>610</v>
      </c>
      <c r="D72" s="39">
        <v>46121</v>
      </c>
      <c r="E72" s="39">
        <v>46181</v>
      </c>
      <c r="F72" s="39" t="s">
        <v>577</v>
      </c>
      <c r="G72" s="9">
        <v>15127</v>
      </c>
      <c r="H72" s="10">
        <f>I72-G72</f>
        <v>15126</v>
      </c>
      <c r="I72" s="11">
        <v>30253</v>
      </c>
      <c r="J72" s="11">
        <f>IFERROR(VLOOKUP(B72,'May 26'!B:G,6,FALSE),0)</f>
        <v>15127</v>
      </c>
      <c r="K72" s="11">
        <v>0</v>
      </c>
      <c r="L72" s="11">
        <f t="shared" si="6"/>
        <v>0</v>
      </c>
      <c r="N72" s="79" t="str">
        <f>VLOOKUP(B72,[3]invoicing!$C:$AI,33,FALSE)</f>
        <v/>
      </c>
    </row>
    <row r="73" spans="1:14" ht="16.5" thickTop="1" thickBot="1" x14ac:dyDescent="0.3">
      <c r="A73" s="5" t="s">
        <v>330</v>
      </c>
      <c r="B73" s="6">
        <v>88082</v>
      </c>
      <c r="C73" s="7" t="s">
        <v>14</v>
      </c>
      <c r="D73" s="39">
        <v>46076</v>
      </c>
      <c r="E73" s="39" t="s">
        <v>13</v>
      </c>
      <c r="F73" s="39" t="s">
        <v>13</v>
      </c>
      <c r="G73" s="9">
        <v>35295</v>
      </c>
      <c r="H73" s="10">
        <v>35294</v>
      </c>
      <c r="I73" s="11">
        <v>70589</v>
      </c>
      <c r="J73" s="11">
        <f>IFERROR(VLOOKUP(B73,'May 26'!B:G,6,FALSE),0)</f>
        <v>35295</v>
      </c>
      <c r="K73" s="11">
        <v>0</v>
      </c>
      <c r="L73" s="11">
        <f t="shared" si="6"/>
        <v>0</v>
      </c>
      <c r="N73" s="79" t="str">
        <f>VLOOKUP(B73,[3]invoicing!$C:$AI,33,FALSE)</f>
        <v/>
      </c>
    </row>
    <row r="74" spans="1:14" ht="16.5" thickTop="1" thickBot="1" x14ac:dyDescent="0.3">
      <c r="A74" s="5" t="s">
        <v>693</v>
      </c>
      <c r="B74" s="6">
        <v>89539</v>
      </c>
      <c r="C74" s="7" t="s">
        <v>14</v>
      </c>
      <c r="D74" s="39">
        <v>46170</v>
      </c>
      <c r="E74" s="39" t="s">
        <v>13</v>
      </c>
      <c r="F74" s="39" t="s">
        <v>13</v>
      </c>
      <c r="G74" s="9">
        <v>32606</v>
      </c>
      <c r="H74" s="10">
        <f>I74-G74</f>
        <v>32606</v>
      </c>
      <c r="I74" s="11">
        <v>65212</v>
      </c>
      <c r="J74" s="11">
        <f>IFERROR(VLOOKUP(B74,'May 26'!B:G,6,FALSE),0)</f>
        <v>32606</v>
      </c>
      <c r="K74" s="11"/>
      <c r="L74" s="11">
        <f t="shared" si="6"/>
        <v>0</v>
      </c>
      <c r="N74" s="79" t="str">
        <f>VLOOKUP(B74,[3]invoicing!$C:$AI,33,FALSE)</f>
        <v/>
      </c>
    </row>
    <row r="75" spans="1:14" ht="16.5" thickTop="1" thickBot="1" x14ac:dyDescent="0.3">
      <c r="A75" s="5" t="s">
        <v>363</v>
      </c>
      <c r="B75" s="6">
        <v>88012</v>
      </c>
      <c r="C75" s="7" t="s">
        <v>17</v>
      </c>
      <c r="D75" s="39">
        <v>46086</v>
      </c>
      <c r="E75" s="39" t="s">
        <v>13</v>
      </c>
      <c r="F75" s="39" t="s">
        <v>13</v>
      </c>
      <c r="G75" s="9">
        <v>25461</v>
      </c>
      <c r="H75" s="10">
        <v>25461</v>
      </c>
      <c r="I75" s="11">
        <v>51937</v>
      </c>
      <c r="J75" s="11">
        <f>IFERROR(VLOOKUP(B75,'May 26'!B:G,6,FALSE),0)</f>
        <v>25461</v>
      </c>
      <c r="K75" s="11">
        <v>0</v>
      </c>
      <c r="L75" s="11">
        <f t="shared" si="6"/>
        <v>0</v>
      </c>
    </row>
    <row r="76" spans="1:14" ht="16.5" thickTop="1" thickBot="1" x14ac:dyDescent="0.3">
      <c r="A76" s="5" t="s">
        <v>657</v>
      </c>
      <c r="B76" s="6">
        <v>90365</v>
      </c>
      <c r="C76" s="7" t="s">
        <v>38</v>
      </c>
      <c r="D76" s="39" t="s">
        <v>667</v>
      </c>
      <c r="E76" s="39" t="s">
        <v>13</v>
      </c>
      <c r="F76" s="39" t="s">
        <v>13</v>
      </c>
      <c r="G76" s="9">
        <v>12373</v>
      </c>
      <c r="H76" s="10">
        <f t="shared" ref="H76:H85" si="7">I76-G76</f>
        <v>12372.529999999999</v>
      </c>
      <c r="I76" s="11">
        <v>24745.53</v>
      </c>
      <c r="J76" s="11">
        <f>IFERROR(VLOOKUP(B76,'May 26'!B:G,6,FALSE),0)</f>
        <v>12373</v>
      </c>
      <c r="K76" s="11">
        <v>0</v>
      </c>
      <c r="L76" s="11">
        <f t="shared" si="6"/>
        <v>0</v>
      </c>
      <c r="N76" s="79" t="str">
        <f>VLOOKUP(B76,[3]invoicing!$C:$AI,33,FALSE)</f>
        <v/>
      </c>
    </row>
    <row r="77" spans="1:14" ht="16.5" thickTop="1" thickBot="1" x14ac:dyDescent="0.3">
      <c r="A77" s="5" t="s">
        <v>652</v>
      </c>
      <c r="B77" s="6">
        <v>88675</v>
      </c>
      <c r="C77" s="7" t="s">
        <v>21</v>
      </c>
      <c r="D77" s="39">
        <v>46149</v>
      </c>
      <c r="E77" s="39" t="s">
        <v>13</v>
      </c>
      <c r="F77" s="39" t="s">
        <v>13</v>
      </c>
      <c r="G77" s="19">
        <v>51194.18</v>
      </c>
      <c r="H77" s="10">
        <f t="shared" si="7"/>
        <v>0</v>
      </c>
      <c r="I77" s="11">
        <v>51194.18</v>
      </c>
      <c r="J77" s="11">
        <f>IFERROR(VLOOKUP(B77,'May 26'!B:G,6,FALSE),0)</f>
        <v>51194.18</v>
      </c>
      <c r="K77" s="11">
        <v>0</v>
      </c>
      <c r="L77" s="11">
        <f t="shared" si="6"/>
        <v>0</v>
      </c>
      <c r="N77" s="79" t="str">
        <f>VLOOKUP(B77,[3]invoicing!$C:$AI,33,FALSE)</f>
        <v/>
      </c>
    </row>
    <row r="78" spans="1:14" ht="16.5" thickTop="1" thickBot="1" x14ac:dyDescent="0.3">
      <c r="A78" s="5" t="s">
        <v>678</v>
      </c>
      <c r="B78" s="6">
        <v>90930</v>
      </c>
      <c r="C78" s="7" t="s">
        <v>40</v>
      </c>
      <c r="D78" s="39">
        <v>46163</v>
      </c>
      <c r="E78" s="39" t="s">
        <v>13</v>
      </c>
      <c r="F78" s="39" t="s">
        <v>13</v>
      </c>
      <c r="G78" s="9">
        <v>28888.91</v>
      </c>
      <c r="H78" s="10">
        <f t="shared" si="7"/>
        <v>28888.91</v>
      </c>
      <c r="I78" s="11">
        <v>57777.82</v>
      </c>
      <c r="J78" s="11">
        <f>IFERROR(VLOOKUP(B78,'May 26'!B:G,6,FALSE),0)</f>
        <v>28888.91</v>
      </c>
      <c r="K78" s="11"/>
      <c r="L78" s="11">
        <f t="shared" si="6"/>
        <v>0</v>
      </c>
      <c r="N78" s="79" t="str">
        <f>VLOOKUP(B78,[3]invoicing!$C:$AI,33,FALSE)</f>
        <v/>
      </c>
    </row>
    <row r="79" spans="1:14" ht="16.5" thickTop="1" thickBot="1" x14ac:dyDescent="0.3">
      <c r="A79" s="5" t="s">
        <v>590</v>
      </c>
      <c r="B79" s="6">
        <v>89287</v>
      </c>
      <c r="C79" s="7" t="s">
        <v>62</v>
      </c>
      <c r="D79" s="39">
        <v>46113</v>
      </c>
      <c r="E79" s="39" t="s">
        <v>13</v>
      </c>
      <c r="F79" s="39" t="s">
        <v>13</v>
      </c>
      <c r="G79" s="9">
        <v>89586</v>
      </c>
      <c r="H79" s="10">
        <f t="shared" si="7"/>
        <v>89585</v>
      </c>
      <c r="I79" s="11">
        <v>179171</v>
      </c>
      <c r="J79" s="11">
        <f>IFERROR(VLOOKUP(B79,'May 26'!B:G,6,FALSE),0)</f>
        <v>89586</v>
      </c>
      <c r="K79" s="11">
        <v>0</v>
      </c>
      <c r="L79" s="11">
        <f t="shared" si="6"/>
        <v>0</v>
      </c>
      <c r="N79" s="79" t="str">
        <f>VLOOKUP(B79,[3]invoicing!$C:$AI,33,FALSE)</f>
        <v/>
      </c>
    </row>
    <row r="80" spans="1:14" ht="16.5" thickTop="1" thickBot="1" x14ac:dyDescent="0.3">
      <c r="A80" s="5" t="s">
        <v>664</v>
      </c>
      <c r="B80" s="6">
        <v>90716</v>
      </c>
      <c r="C80" s="7" t="s">
        <v>21</v>
      </c>
      <c r="D80" s="39" t="s">
        <v>670</v>
      </c>
      <c r="E80" s="39">
        <v>46188</v>
      </c>
      <c r="F80" s="39" t="s">
        <v>353</v>
      </c>
      <c r="G80" s="9">
        <v>11932</v>
      </c>
      <c r="H80" s="10">
        <f t="shared" si="7"/>
        <v>11931</v>
      </c>
      <c r="I80" s="11">
        <v>23863</v>
      </c>
      <c r="J80" s="11">
        <f>IFERROR(VLOOKUP(B80,'May 26'!B:G,6,FALSE),0)</f>
        <v>11932</v>
      </c>
      <c r="K80" s="11">
        <v>0</v>
      </c>
      <c r="L80" s="11">
        <f t="shared" si="6"/>
        <v>0</v>
      </c>
      <c r="N80" s="79" t="str">
        <f>VLOOKUP(B80,[3]invoicing!$C:$AI,33,FALSE)</f>
        <v/>
      </c>
    </row>
    <row r="81" spans="1:14" ht="16.5" thickTop="1" thickBot="1" x14ac:dyDescent="0.3">
      <c r="A81" s="5" t="s">
        <v>719</v>
      </c>
      <c r="B81" s="6">
        <v>89541</v>
      </c>
      <c r="C81" s="7" t="s">
        <v>38</v>
      </c>
      <c r="D81" s="39">
        <v>46185</v>
      </c>
      <c r="E81" s="39" t="s">
        <v>13</v>
      </c>
      <c r="F81" s="39" t="s">
        <v>13</v>
      </c>
      <c r="G81" s="9">
        <v>9278.2800000000007</v>
      </c>
      <c r="H81" s="10">
        <f t="shared" si="7"/>
        <v>7903.7199999999993</v>
      </c>
      <c r="I81" s="11">
        <v>17182</v>
      </c>
      <c r="J81" s="11">
        <f>IFERROR(VLOOKUP(B81,'May 26'!B:G,6,FALSE),0)</f>
        <v>0</v>
      </c>
      <c r="K81" s="11">
        <v>0</v>
      </c>
      <c r="L81" s="11">
        <f t="shared" si="6"/>
        <v>9278.2800000000007</v>
      </c>
      <c r="N81" s="79" t="str">
        <f>VLOOKUP(B81,[3]invoicing!$C:$AI,33,FALSE)</f>
        <v/>
      </c>
    </row>
    <row r="82" spans="1:14" ht="16.5" thickTop="1" thickBot="1" x14ac:dyDescent="0.3">
      <c r="A82" s="5" t="s">
        <v>591</v>
      </c>
      <c r="B82" s="6">
        <v>89055</v>
      </c>
      <c r="C82" s="7" t="s">
        <v>14</v>
      </c>
      <c r="D82" s="39">
        <v>46120</v>
      </c>
      <c r="E82" s="39">
        <v>46163</v>
      </c>
      <c r="F82" s="39" t="s">
        <v>577</v>
      </c>
      <c r="G82" s="9">
        <v>8582</v>
      </c>
      <c r="H82" s="10">
        <f t="shared" si="7"/>
        <v>8582</v>
      </c>
      <c r="I82" s="11">
        <v>17164</v>
      </c>
      <c r="J82" s="11">
        <f>IFERROR(VLOOKUP(B82,'May 26'!B:G,6,FALSE),0)</f>
        <v>8582</v>
      </c>
      <c r="K82" s="11">
        <v>0</v>
      </c>
      <c r="L82" s="11">
        <f t="shared" si="6"/>
        <v>0</v>
      </c>
      <c r="N82" s="79" t="str">
        <f>VLOOKUP(B82,[3]invoicing!$C:$AI,33,FALSE)</f>
        <v/>
      </c>
    </row>
    <row r="83" spans="1:14" ht="16.5" thickTop="1" thickBot="1" x14ac:dyDescent="0.3">
      <c r="A83" s="5" t="s">
        <v>592</v>
      </c>
      <c r="B83" s="6">
        <v>87359</v>
      </c>
      <c r="C83" s="7" t="s">
        <v>612</v>
      </c>
      <c r="D83" s="39">
        <v>46125</v>
      </c>
      <c r="E83" s="39" t="s">
        <v>13</v>
      </c>
      <c r="F83" s="39" t="s">
        <v>13</v>
      </c>
      <c r="G83" s="9">
        <v>19467</v>
      </c>
      <c r="H83" s="10">
        <f t="shared" si="7"/>
        <v>19466</v>
      </c>
      <c r="I83" s="11">
        <v>38933</v>
      </c>
      <c r="J83" s="11">
        <f>IFERROR(VLOOKUP(B83,'May 26'!B:G,6,FALSE),0)</f>
        <v>19467</v>
      </c>
      <c r="K83" s="11">
        <v>0</v>
      </c>
      <c r="L83" s="11">
        <f t="shared" si="6"/>
        <v>0</v>
      </c>
      <c r="N83" s="79" t="str">
        <f>VLOOKUP(B83,[3]invoicing!$C:$AI,33,FALSE)</f>
        <v/>
      </c>
    </row>
    <row r="84" spans="1:14" ht="16.5" thickTop="1" thickBot="1" x14ac:dyDescent="0.3">
      <c r="A84" s="12" t="s">
        <v>593</v>
      </c>
      <c r="B84" s="13">
        <v>89412</v>
      </c>
      <c r="C84" s="14" t="s">
        <v>23</v>
      </c>
      <c r="D84" s="40">
        <v>46126</v>
      </c>
      <c r="E84" s="39">
        <v>46191</v>
      </c>
      <c r="F84" s="39" t="s">
        <v>643</v>
      </c>
      <c r="G84" s="16">
        <v>20897</v>
      </c>
      <c r="H84" s="17">
        <f t="shared" si="7"/>
        <v>9706</v>
      </c>
      <c r="I84" s="18">
        <v>30603</v>
      </c>
      <c r="J84" s="18">
        <f>IFERROR(VLOOKUP(B84,'May 26'!B:G,6,FALSE),0)</f>
        <v>20897</v>
      </c>
      <c r="K84" s="18">
        <v>0</v>
      </c>
      <c r="L84" s="18">
        <f t="shared" si="6"/>
        <v>0</v>
      </c>
    </row>
    <row r="85" spans="1:14" ht="16.5" thickTop="1" thickBot="1" x14ac:dyDescent="0.3">
      <c r="A85" s="12" t="s">
        <v>594</v>
      </c>
      <c r="B85" s="13">
        <v>89867</v>
      </c>
      <c r="C85" s="14" t="s">
        <v>23</v>
      </c>
      <c r="D85" s="40">
        <v>46126</v>
      </c>
      <c r="E85" s="39">
        <v>46192</v>
      </c>
      <c r="F85" s="39" t="s">
        <v>643</v>
      </c>
      <c r="G85" s="16">
        <v>14271.62</v>
      </c>
      <c r="H85" s="17">
        <f t="shared" si="7"/>
        <v>7648.6299999999992</v>
      </c>
      <c r="I85" s="18">
        <v>21920.25</v>
      </c>
      <c r="J85" s="18">
        <f>IFERROR(VLOOKUP(B85,'May 26'!B:G,6,FALSE),0)</f>
        <v>14271.62</v>
      </c>
      <c r="K85" s="18">
        <v>0</v>
      </c>
      <c r="L85" s="18">
        <f t="shared" si="6"/>
        <v>0</v>
      </c>
    </row>
    <row r="86" spans="1:14" ht="16.5" thickTop="1" thickBot="1" x14ac:dyDescent="0.3">
      <c r="A86" s="5" t="s">
        <v>70</v>
      </c>
      <c r="B86" s="6">
        <v>82632</v>
      </c>
      <c r="C86" s="7" t="s">
        <v>71</v>
      </c>
      <c r="D86" s="39">
        <v>45758</v>
      </c>
      <c r="E86" s="39">
        <v>46146</v>
      </c>
      <c r="F86" s="39" t="s">
        <v>577</v>
      </c>
      <c r="G86" s="9">
        <v>109478</v>
      </c>
      <c r="H86" s="10">
        <v>109478</v>
      </c>
      <c r="I86" s="11">
        <v>218956</v>
      </c>
      <c r="J86" s="11">
        <f>IFERROR(VLOOKUP(B86,'May 26'!B:G,6,FALSE),0)</f>
        <v>109478</v>
      </c>
      <c r="K86" s="11">
        <v>0</v>
      </c>
      <c r="L86" s="11">
        <f t="shared" si="6"/>
        <v>0</v>
      </c>
    </row>
    <row r="87" spans="1:14" ht="16.5" thickTop="1" thickBot="1" x14ac:dyDescent="0.3">
      <c r="A87" s="5" t="s">
        <v>686</v>
      </c>
      <c r="B87" s="6">
        <v>87391</v>
      </c>
      <c r="C87" s="7" t="s">
        <v>19</v>
      </c>
      <c r="D87" s="39">
        <v>46168</v>
      </c>
      <c r="E87" s="39" t="s">
        <v>13</v>
      </c>
      <c r="F87" s="39" t="s">
        <v>13</v>
      </c>
      <c r="G87" s="9">
        <v>60000</v>
      </c>
      <c r="H87" s="10">
        <f>I87-G87</f>
        <v>42519</v>
      </c>
      <c r="I87" s="11">
        <v>102519</v>
      </c>
      <c r="J87" s="11">
        <f>IFERROR(VLOOKUP(B87,'May 26'!B:G,6,FALSE),0)</f>
        <v>60000</v>
      </c>
      <c r="K87" s="11"/>
      <c r="L87" s="11">
        <f t="shared" si="6"/>
        <v>0</v>
      </c>
      <c r="N87" s="79" t="str">
        <f>VLOOKUP(B87,[3]invoicing!$C:$AI,33,FALSE)</f>
        <v/>
      </c>
    </row>
    <row r="88" spans="1:14" ht="16.5" thickTop="1" thickBot="1" x14ac:dyDescent="0.3">
      <c r="A88" s="5" t="s">
        <v>666</v>
      </c>
      <c r="B88" s="6">
        <v>90134</v>
      </c>
      <c r="C88" s="7" t="s">
        <v>19</v>
      </c>
      <c r="D88" s="39" t="s">
        <v>670</v>
      </c>
      <c r="E88" s="39">
        <v>46169</v>
      </c>
      <c r="F88" s="39" t="s">
        <v>577</v>
      </c>
      <c r="G88" s="19">
        <v>19000</v>
      </c>
      <c r="H88" s="10">
        <f>I88-G88</f>
        <v>0</v>
      </c>
      <c r="I88" s="11">
        <v>19000</v>
      </c>
      <c r="J88" s="11">
        <f>IFERROR(VLOOKUP(B88,'May 26'!B:G,6,FALSE),0)</f>
        <v>19000</v>
      </c>
      <c r="K88" s="11">
        <v>0</v>
      </c>
      <c r="L88" s="11">
        <f t="shared" si="6"/>
        <v>0</v>
      </c>
      <c r="N88" s="79" t="str">
        <f>VLOOKUP(B88,[3]invoicing!$C:$AI,33,FALSE)</f>
        <v/>
      </c>
    </row>
    <row r="89" spans="1:14" ht="16.5" thickTop="1" thickBot="1" x14ac:dyDescent="0.3">
      <c r="A89" s="5" t="s">
        <v>103</v>
      </c>
      <c r="B89" s="6">
        <v>84210</v>
      </c>
      <c r="C89" s="7" t="s">
        <v>44</v>
      </c>
      <c r="D89" s="39">
        <v>45876</v>
      </c>
      <c r="E89" s="39">
        <v>46164</v>
      </c>
      <c r="F89" s="39" t="s">
        <v>353</v>
      </c>
      <c r="G89" s="9">
        <v>31567</v>
      </c>
      <c r="H89" s="10">
        <v>46437</v>
      </c>
      <c r="I89" s="11">
        <v>78004</v>
      </c>
      <c r="J89" s="11">
        <f>IFERROR(VLOOKUP(B89,'May 26'!B:G,6,FALSE),0)</f>
        <v>31567</v>
      </c>
      <c r="K89" s="11">
        <v>0</v>
      </c>
      <c r="L89" s="11">
        <f t="shared" si="6"/>
        <v>0</v>
      </c>
    </row>
    <row r="90" spans="1:14" ht="16.5" thickTop="1" thickBot="1" x14ac:dyDescent="0.3">
      <c r="A90" s="5" t="s">
        <v>231</v>
      </c>
      <c r="B90" s="6">
        <v>88433</v>
      </c>
      <c r="C90" s="7" t="s">
        <v>14</v>
      </c>
      <c r="D90" s="39">
        <v>46036</v>
      </c>
      <c r="E90" s="39">
        <v>46155</v>
      </c>
      <c r="F90" s="39" t="s">
        <v>643</v>
      </c>
      <c r="G90" s="9">
        <v>84942.5</v>
      </c>
      <c r="H90" s="10">
        <v>80538</v>
      </c>
      <c r="I90" s="11">
        <v>169885</v>
      </c>
      <c r="J90" s="11">
        <f>IFERROR(VLOOKUP(B90,'May 26'!B:G,6,FALSE),0)</f>
        <v>84942.5</v>
      </c>
      <c r="K90" s="11">
        <v>0</v>
      </c>
      <c r="L90" s="11">
        <f t="shared" si="6"/>
        <v>0</v>
      </c>
    </row>
    <row r="91" spans="1:14" ht="16.5" thickTop="1" thickBot="1" x14ac:dyDescent="0.3">
      <c r="A91" s="5" t="s">
        <v>86</v>
      </c>
      <c r="B91" s="81">
        <v>85175</v>
      </c>
      <c r="C91" s="82" t="s">
        <v>87</v>
      </c>
      <c r="D91" s="49">
        <v>46084</v>
      </c>
      <c r="E91" s="49">
        <v>45992</v>
      </c>
      <c r="F91" s="49">
        <v>46191</v>
      </c>
      <c r="G91" s="45">
        <v>0</v>
      </c>
      <c r="H91" s="10"/>
      <c r="I91" s="11"/>
      <c r="J91" s="11">
        <f>IFERROR(VLOOKUP(B91,'May 26'!B:G,6,FALSE),0)</f>
        <v>22778</v>
      </c>
      <c r="K91" s="11">
        <f>J91-G91</f>
        <v>22778</v>
      </c>
      <c r="L91" s="11" t="s">
        <v>613</v>
      </c>
      <c r="N91" s="79" t="str">
        <f>VLOOKUP(B91,[3]invoicing!$C:$AI,33,FALSE)</f>
        <v/>
      </c>
    </row>
    <row r="92" spans="1:14" ht="16.5" thickTop="1" thickBot="1" x14ac:dyDescent="0.3">
      <c r="A92" s="5" t="s">
        <v>626</v>
      </c>
      <c r="B92" s="6">
        <v>88155</v>
      </c>
      <c r="C92" s="7" t="s">
        <v>23</v>
      </c>
      <c r="D92" s="39">
        <v>46135</v>
      </c>
      <c r="E92" s="39">
        <v>46163</v>
      </c>
      <c r="F92" s="39" t="s">
        <v>643</v>
      </c>
      <c r="G92" s="9">
        <v>26625</v>
      </c>
      <c r="H92" s="10">
        <f>I92-G92</f>
        <v>26625</v>
      </c>
      <c r="I92" s="11">
        <v>53250</v>
      </c>
      <c r="J92" s="11">
        <f>IFERROR(VLOOKUP(B92,'May 26'!B:G,6,FALSE),0)</f>
        <v>26625</v>
      </c>
      <c r="K92" s="11">
        <f>IF(G92=0,J92-G92,0)</f>
        <v>0</v>
      </c>
      <c r="L92" s="11">
        <f t="shared" ref="L92:L101" si="8">G92-J92</f>
        <v>0</v>
      </c>
      <c r="N92" s="79" t="str">
        <f>VLOOKUP(B92,[3]invoicing!$C:$AI,33,FALSE)</f>
        <v/>
      </c>
    </row>
    <row r="93" spans="1:14" ht="16.5" thickTop="1" thickBot="1" x14ac:dyDescent="0.3">
      <c r="A93" s="5" t="s">
        <v>203</v>
      </c>
      <c r="B93" s="6">
        <v>87488</v>
      </c>
      <c r="C93" s="7" t="s">
        <v>14</v>
      </c>
      <c r="D93" s="39">
        <v>46007</v>
      </c>
      <c r="E93" s="39">
        <v>46195</v>
      </c>
      <c r="F93" s="39" t="s">
        <v>643</v>
      </c>
      <c r="G93" s="9">
        <v>17613</v>
      </c>
      <c r="H93" s="10">
        <v>17612</v>
      </c>
      <c r="I93" s="11">
        <v>35225</v>
      </c>
      <c r="J93" s="11">
        <f>IFERROR(VLOOKUP(B93,'May 26'!B:G,6,FALSE),0)</f>
        <v>17613</v>
      </c>
      <c r="K93" s="11">
        <v>0</v>
      </c>
      <c r="L93" s="11">
        <f t="shared" si="8"/>
        <v>0</v>
      </c>
      <c r="N93" s="79" t="str">
        <f>VLOOKUP(B93,[3]invoicing!$C:$AI,33,FALSE)</f>
        <v/>
      </c>
    </row>
    <row r="94" spans="1:14" ht="16.5" thickTop="1" thickBot="1" x14ac:dyDescent="0.3">
      <c r="A94" s="5" t="s">
        <v>510</v>
      </c>
      <c r="B94" s="6">
        <v>89316</v>
      </c>
      <c r="C94" s="7" t="s">
        <v>511</v>
      </c>
      <c r="D94" s="39">
        <v>46100</v>
      </c>
      <c r="E94" s="39">
        <v>46174</v>
      </c>
      <c r="F94" s="39" t="s">
        <v>351</v>
      </c>
      <c r="G94" s="9">
        <v>56063</v>
      </c>
      <c r="H94" s="10">
        <v>56063</v>
      </c>
      <c r="I94" s="11">
        <v>112126</v>
      </c>
      <c r="J94" s="11">
        <f>IFERROR(VLOOKUP(B94,'May 26'!B:G,6,FALSE),0)</f>
        <v>56063</v>
      </c>
      <c r="K94" s="11">
        <v>0</v>
      </c>
      <c r="L94" s="11">
        <f t="shared" si="8"/>
        <v>0</v>
      </c>
      <c r="N94" s="79" t="str">
        <f>VLOOKUP(B94,[3]invoicing!$C:$AI,33,FALSE)</f>
        <v/>
      </c>
    </row>
    <row r="95" spans="1:14" ht="16.5" thickTop="1" thickBot="1" x14ac:dyDescent="0.3">
      <c r="A95" s="5" t="s">
        <v>673</v>
      </c>
      <c r="B95" s="6">
        <v>90536</v>
      </c>
      <c r="C95" s="7" t="s">
        <v>23</v>
      </c>
      <c r="D95" s="39">
        <v>46160</v>
      </c>
      <c r="E95" s="39" t="s">
        <v>13</v>
      </c>
      <c r="F95" s="39" t="s">
        <v>13</v>
      </c>
      <c r="G95" s="9">
        <v>9055.57</v>
      </c>
      <c r="H95" s="10">
        <f>I95-G95</f>
        <v>9055.57</v>
      </c>
      <c r="I95" s="11">
        <v>18111.14</v>
      </c>
      <c r="J95" s="11">
        <f>IFERROR(VLOOKUP(B95,'May 26'!B:G,6,FALSE),0)</f>
        <v>9055.57</v>
      </c>
      <c r="K95" s="11"/>
      <c r="L95" s="11">
        <f t="shared" si="8"/>
        <v>0</v>
      </c>
      <c r="N95" s="79" t="str">
        <f>VLOOKUP(B95,[3]invoicing!$C:$AI,33,FALSE)</f>
        <v/>
      </c>
    </row>
    <row r="96" spans="1:14" ht="16.5" thickTop="1" thickBot="1" x14ac:dyDescent="0.3">
      <c r="A96" s="5" t="s">
        <v>724</v>
      </c>
      <c r="B96" s="6">
        <v>90305</v>
      </c>
      <c r="C96" s="7" t="s">
        <v>23</v>
      </c>
      <c r="D96" s="39">
        <v>46188</v>
      </c>
      <c r="E96" s="39" t="s">
        <v>13</v>
      </c>
      <c r="F96" s="39" t="s">
        <v>13</v>
      </c>
      <c r="G96" s="9">
        <v>6823.18</v>
      </c>
      <c r="H96" s="10">
        <f>I96-G96</f>
        <v>6823.18</v>
      </c>
      <c r="I96" s="11">
        <v>13646.36</v>
      </c>
      <c r="J96" s="11">
        <f>IFERROR(VLOOKUP(B96,'May 26'!B:G,6,FALSE),0)</f>
        <v>0</v>
      </c>
      <c r="K96" s="11">
        <v>0</v>
      </c>
      <c r="L96" s="11">
        <f t="shared" si="8"/>
        <v>6823.18</v>
      </c>
    </row>
    <row r="97" spans="1:14" ht="16.5" thickTop="1" thickBot="1" x14ac:dyDescent="0.3">
      <c r="A97" s="5" t="s">
        <v>723</v>
      </c>
      <c r="B97" s="6">
        <v>86579</v>
      </c>
      <c r="C97" s="7" t="s">
        <v>23</v>
      </c>
      <c r="D97" s="39">
        <v>46188</v>
      </c>
      <c r="E97" s="39" t="s">
        <v>13</v>
      </c>
      <c r="F97" s="39" t="s">
        <v>13</v>
      </c>
      <c r="G97" s="9">
        <v>69123</v>
      </c>
      <c r="H97" s="10">
        <f>I97-G97</f>
        <v>66195</v>
      </c>
      <c r="I97" s="11">
        <v>135318</v>
      </c>
      <c r="J97" s="11">
        <f>IFERROR(VLOOKUP(B97,'May 26'!B:G,6,FALSE),0)</f>
        <v>0</v>
      </c>
      <c r="K97" s="11">
        <v>0</v>
      </c>
      <c r="L97" s="11">
        <f t="shared" si="8"/>
        <v>69123</v>
      </c>
    </row>
    <row r="98" spans="1:14" ht="16.5" thickTop="1" thickBot="1" x14ac:dyDescent="0.3">
      <c r="A98" s="5" t="s">
        <v>514</v>
      </c>
      <c r="B98" s="6">
        <v>86904</v>
      </c>
      <c r="C98" s="7" t="s">
        <v>23</v>
      </c>
      <c r="D98" s="39">
        <v>46105</v>
      </c>
      <c r="E98" s="39">
        <v>46163</v>
      </c>
      <c r="F98" s="39" t="s">
        <v>577</v>
      </c>
      <c r="G98" s="9">
        <v>6516</v>
      </c>
      <c r="H98" s="10">
        <v>6515</v>
      </c>
      <c r="I98" s="11">
        <v>13031</v>
      </c>
      <c r="J98" s="11">
        <f>IFERROR(VLOOKUP(B98,'May 26'!B:G,6,FALSE),0)</f>
        <v>6516</v>
      </c>
      <c r="K98" s="11">
        <v>0</v>
      </c>
      <c r="L98" s="11">
        <f t="shared" si="8"/>
        <v>0</v>
      </c>
      <c r="N98" s="79" t="str">
        <f>VLOOKUP(B98,[3]invoicing!$C:$AI,33,FALSE)</f>
        <v/>
      </c>
    </row>
    <row r="99" spans="1:14" ht="16.5" thickTop="1" thickBot="1" x14ac:dyDescent="0.3">
      <c r="A99" s="5" t="s">
        <v>658</v>
      </c>
      <c r="B99" s="6">
        <v>87965</v>
      </c>
      <c r="C99" s="7" t="s">
        <v>23</v>
      </c>
      <c r="D99" s="39" t="s">
        <v>668</v>
      </c>
      <c r="E99" s="39">
        <v>46181</v>
      </c>
      <c r="F99" s="39" t="s">
        <v>351</v>
      </c>
      <c r="G99" s="9">
        <v>8755</v>
      </c>
      <c r="H99" s="10">
        <f>I99-G99</f>
        <v>8755</v>
      </c>
      <c r="I99" s="11">
        <v>17510</v>
      </c>
      <c r="J99" s="11">
        <f>IFERROR(VLOOKUP(B99,'May 26'!B:G,6,FALSE),0)</f>
        <v>8755</v>
      </c>
      <c r="K99" s="11">
        <v>0</v>
      </c>
      <c r="L99" s="11">
        <f t="shared" si="8"/>
        <v>0</v>
      </c>
      <c r="N99" s="79" t="str">
        <f>VLOOKUP(B99,[3]invoicing!$C:$AI,33,FALSE)</f>
        <v/>
      </c>
    </row>
    <row r="100" spans="1:14" ht="16.5" thickTop="1" thickBot="1" x14ac:dyDescent="0.3">
      <c r="A100" s="5" t="s">
        <v>627</v>
      </c>
      <c r="B100" s="6">
        <v>89168</v>
      </c>
      <c r="C100" s="7" t="s">
        <v>23</v>
      </c>
      <c r="D100" s="39">
        <v>46136</v>
      </c>
      <c r="E100" s="39" t="s">
        <v>13</v>
      </c>
      <c r="F100" s="39" t="s">
        <v>13</v>
      </c>
      <c r="G100" s="9">
        <v>30691</v>
      </c>
      <c r="H100" s="10">
        <f>I100-G100</f>
        <v>30691</v>
      </c>
      <c r="I100" s="11">
        <v>61382</v>
      </c>
      <c r="J100" s="11">
        <f>IFERROR(VLOOKUP(B100,'May 26'!B:G,6,FALSE),0)</f>
        <v>30691</v>
      </c>
      <c r="K100" s="11">
        <f>IF(G100=0,J100-G100,0)</f>
        <v>0</v>
      </c>
      <c r="L100" s="11">
        <f t="shared" si="8"/>
        <v>0</v>
      </c>
      <c r="N100" s="79" t="str">
        <f>VLOOKUP(B100,[3]invoicing!$C:$AI,33,FALSE)</f>
        <v/>
      </c>
    </row>
    <row r="101" spans="1:14" ht="16.5" thickTop="1" thickBot="1" x14ac:dyDescent="0.3">
      <c r="A101" s="5" t="s">
        <v>717</v>
      </c>
      <c r="B101" s="6">
        <v>90956</v>
      </c>
      <c r="C101" s="7" t="s">
        <v>21</v>
      </c>
      <c r="D101" s="39">
        <v>46182</v>
      </c>
      <c r="E101" s="39" t="s">
        <v>13</v>
      </c>
      <c r="F101" s="39" t="s">
        <v>13</v>
      </c>
      <c r="G101" s="9">
        <v>5694.98</v>
      </c>
      <c r="H101" s="10">
        <f>I101-G101</f>
        <v>5694.9700000000012</v>
      </c>
      <c r="I101" s="11">
        <v>11389.95</v>
      </c>
      <c r="J101" s="11">
        <f>IFERROR(VLOOKUP(B101,'May 26'!B:G,6,FALSE),0)</f>
        <v>0</v>
      </c>
      <c r="K101" s="11">
        <v>0</v>
      </c>
      <c r="L101" s="11">
        <f t="shared" si="8"/>
        <v>5694.98</v>
      </c>
      <c r="N101" s="79" t="str">
        <f>VLOOKUP(B101,[3]invoicing!$C:$AI,33,FALSE)</f>
        <v/>
      </c>
    </row>
    <row r="102" spans="1:14" ht="16.5" thickTop="1" thickBot="1" x14ac:dyDescent="0.3">
      <c r="A102" s="5" t="s">
        <v>616</v>
      </c>
      <c r="B102" s="81">
        <v>90316</v>
      </c>
      <c r="C102" s="82" t="s">
        <v>23</v>
      </c>
      <c r="D102" s="49">
        <v>46129</v>
      </c>
      <c r="E102" s="49">
        <v>46139</v>
      </c>
      <c r="F102" s="49">
        <v>46190</v>
      </c>
      <c r="G102" s="45">
        <v>0</v>
      </c>
      <c r="H102" s="10"/>
      <c r="I102" s="11"/>
      <c r="J102" s="11">
        <f>IFERROR(VLOOKUP(B102,'May 26'!B:G,6,FALSE),0)</f>
        <v>9047</v>
      </c>
      <c r="K102" s="11">
        <f>J102-G102</f>
        <v>9047</v>
      </c>
      <c r="L102" s="11" t="s">
        <v>613</v>
      </c>
      <c r="N102" s="79" t="str">
        <f>VLOOKUP(B102,[3]invoicing!$C:$AI,33,FALSE)</f>
        <v/>
      </c>
    </row>
    <row r="103" spans="1:14" ht="16.5" thickTop="1" thickBot="1" x14ac:dyDescent="0.3">
      <c r="A103" s="5" t="s">
        <v>650</v>
      </c>
      <c r="B103" s="6">
        <v>90566</v>
      </c>
      <c r="C103" s="7" t="s">
        <v>23</v>
      </c>
      <c r="D103" s="39">
        <v>46148</v>
      </c>
      <c r="E103" s="39">
        <v>46191</v>
      </c>
      <c r="F103" s="39" t="s">
        <v>643</v>
      </c>
      <c r="G103" s="9">
        <v>19409.04</v>
      </c>
      <c r="H103" s="10">
        <f t="shared" ref="H103:H110" si="9">I103-G103</f>
        <v>8415.7900000000009</v>
      </c>
      <c r="I103" s="11">
        <v>27824.83</v>
      </c>
      <c r="J103" s="11">
        <f>IFERROR(VLOOKUP(B103,'May 26'!B:G,6,FALSE),0)</f>
        <v>19409.04</v>
      </c>
      <c r="K103" s="11">
        <v>0</v>
      </c>
      <c r="L103" s="11">
        <f t="shared" ref="L103:L113" si="10">G103-J103</f>
        <v>0</v>
      </c>
      <c r="N103" s="79" t="str">
        <f>VLOOKUP(B103,[3]invoicing!$C:$AI,33,FALSE)</f>
        <v/>
      </c>
    </row>
    <row r="104" spans="1:14" ht="16.5" thickTop="1" thickBot="1" x14ac:dyDescent="0.3">
      <c r="A104" s="5" t="s">
        <v>675</v>
      </c>
      <c r="B104" s="6">
        <v>90809</v>
      </c>
      <c r="C104" s="7" t="s">
        <v>21</v>
      </c>
      <c r="D104" s="39">
        <v>46162</v>
      </c>
      <c r="E104" s="39" t="s">
        <v>13</v>
      </c>
      <c r="F104" s="39" t="s">
        <v>13</v>
      </c>
      <c r="G104" s="9">
        <v>44300</v>
      </c>
      <c r="H104" s="10">
        <f t="shared" si="9"/>
        <v>44290.17</v>
      </c>
      <c r="I104" s="11">
        <v>88590.17</v>
      </c>
      <c r="J104" s="11">
        <f>IFERROR(VLOOKUP(B104,'May 26'!B:G,6,FALSE),0)</f>
        <v>44300</v>
      </c>
      <c r="K104" s="11"/>
      <c r="L104" s="11">
        <f t="shared" si="10"/>
        <v>0</v>
      </c>
      <c r="N104" s="79" t="str">
        <f>VLOOKUP(B104,[3]invoicing!$C:$AI,33,FALSE)</f>
        <v/>
      </c>
    </row>
    <row r="105" spans="1:14" ht="16.5" thickTop="1" thickBot="1" x14ac:dyDescent="0.3">
      <c r="A105" s="5" t="s">
        <v>690</v>
      </c>
      <c r="B105" s="6">
        <v>90987</v>
      </c>
      <c r="C105" s="7" t="s">
        <v>21</v>
      </c>
      <c r="D105" s="39">
        <v>46170</v>
      </c>
      <c r="E105" s="39" t="s">
        <v>13</v>
      </c>
      <c r="F105" s="39" t="s">
        <v>13</v>
      </c>
      <c r="G105" s="9">
        <v>28000</v>
      </c>
      <c r="H105" s="10">
        <f t="shared" si="9"/>
        <v>26666.36</v>
      </c>
      <c r="I105" s="11">
        <v>54666.36</v>
      </c>
      <c r="J105" s="11">
        <f>IFERROR(VLOOKUP(B105,'May 26'!B:G,6,FALSE),0)</f>
        <v>28000</v>
      </c>
      <c r="K105" s="11"/>
      <c r="L105" s="11">
        <f t="shared" si="10"/>
        <v>0</v>
      </c>
      <c r="N105" s="79" t="str">
        <f>VLOOKUP(B105,[3]invoicing!$C:$AI,33,FALSE)</f>
        <v/>
      </c>
    </row>
    <row r="106" spans="1:14" ht="16.5" thickTop="1" thickBot="1" x14ac:dyDescent="0.3">
      <c r="A106" s="5" t="s">
        <v>595</v>
      </c>
      <c r="B106" s="6">
        <v>89722</v>
      </c>
      <c r="C106" s="7" t="s">
        <v>39</v>
      </c>
      <c r="D106" s="39">
        <v>46120</v>
      </c>
      <c r="E106" s="39" t="s">
        <v>13</v>
      </c>
      <c r="F106" s="39" t="s">
        <v>13</v>
      </c>
      <c r="G106" s="9">
        <v>3826</v>
      </c>
      <c r="H106" s="10">
        <f t="shared" si="9"/>
        <v>3826.5600000000004</v>
      </c>
      <c r="I106" s="11">
        <v>7652.56</v>
      </c>
      <c r="J106" s="11">
        <f>IFERROR(VLOOKUP(B106,'May 26'!B:G,6,FALSE),0)</f>
        <v>3826</v>
      </c>
      <c r="K106" s="11">
        <v>0</v>
      </c>
      <c r="L106" s="11">
        <f t="shared" si="10"/>
        <v>0</v>
      </c>
      <c r="N106" s="79" t="str">
        <f>VLOOKUP(B106,[3]invoicing!$C:$AI,33,FALSE)</f>
        <v/>
      </c>
    </row>
    <row r="107" spans="1:14" ht="16.5" thickTop="1" thickBot="1" x14ac:dyDescent="0.3">
      <c r="A107" s="5" t="s">
        <v>596</v>
      </c>
      <c r="B107" s="6">
        <v>86092</v>
      </c>
      <c r="C107" s="7" t="s">
        <v>23</v>
      </c>
      <c r="D107" s="39">
        <v>46120</v>
      </c>
      <c r="E107" s="39" t="s">
        <v>13</v>
      </c>
      <c r="F107" s="39" t="s">
        <v>13</v>
      </c>
      <c r="G107" s="9">
        <v>9201</v>
      </c>
      <c r="H107" s="10">
        <f t="shared" si="9"/>
        <v>9201.52</v>
      </c>
      <c r="I107" s="11">
        <v>18402.52</v>
      </c>
      <c r="J107" s="11">
        <f>IFERROR(VLOOKUP(B107,'May 26'!B:G,6,FALSE),0)</f>
        <v>9201</v>
      </c>
      <c r="K107" s="11">
        <v>0</v>
      </c>
      <c r="L107" s="11">
        <f t="shared" si="10"/>
        <v>0</v>
      </c>
      <c r="N107" s="79" t="str">
        <f>VLOOKUP(B107,[3]invoicing!$C:$AI,33,FALSE)</f>
        <v/>
      </c>
    </row>
    <row r="108" spans="1:14" ht="16.5" thickTop="1" thickBot="1" x14ac:dyDescent="0.3">
      <c r="A108" s="5" t="s">
        <v>732</v>
      </c>
      <c r="B108" s="6">
        <v>91288</v>
      </c>
      <c r="C108" s="7" t="s">
        <v>23</v>
      </c>
      <c r="D108" s="39">
        <v>46198</v>
      </c>
      <c r="E108" s="39" t="s">
        <v>13</v>
      </c>
      <c r="F108" s="39" t="s">
        <v>13</v>
      </c>
      <c r="G108" s="9">
        <v>12700</v>
      </c>
      <c r="H108" s="10">
        <f t="shared" si="9"/>
        <v>12909.3</v>
      </c>
      <c r="I108" s="11">
        <v>25609.3</v>
      </c>
      <c r="J108" s="11">
        <f>IFERROR(VLOOKUP(B108,'May 26'!B:G,6,FALSE),0)</f>
        <v>0</v>
      </c>
      <c r="K108" s="11">
        <v>0</v>
      </c>
      <c r="L108" s="11">
        <f t="shared" si="10"/>
        <v>12700</v>
      </c>
    </row>
    <row r="109" spans="1:14" ht="16.5" thickTop="1" thickBot="1" x14ac:dyDescent="0.3">
      <c r="A109" s="5" t="s">
        <v>682</v>
      </c>
      <c r="B109" s="6">
        <v>90271</v>
      </c>
      <c r="C109" s="7" t="s">
        <v>57</v>
      </c>
      <c r="D109" s="39">
        <v>46164</v>
      </c>
      <c r="E109" s="39">
        <v>46199</v>
      </c>
      <c r="F109" s="39" t="s">
        <v>353</v>
      </c>
      <c r="G109" s="19">
        <v>7216.29</v>
      </c>
      <c r="H109" s="10">
        <f t="shared" si="9"/>
        <v>0</v>
      </c>
      <c r="I109" s="11">
        <v>7216.29</v>
      </c>
      <c r="J109" s="11">
        <f>IFERROR(VLOOKUP(B109,'May 26'!B:G,6,FALSE),0)</f>
        <v>7216.29</v>
      </c>
      <c r="K109" s="11"/>
      <c r="L109" s="11">
        <f t="shared" si="10"/>
        <v>0</v>
      </c>
      <c r="N109" s="79" t="str">
        <f>VLOOKUP(B109,[3]invoicing!$C:$AI,33,FALSE)</f>
        <v/>
      </c>
    </row>
    <row r="110" spans="1:14" ht="16.5" thickTop="1" thickBot="1" x14ac:dyDescent="0.3">
      <c r="A110" s="5" t="s">
        <v>722</v>
      </c>
      <c r="B110" s="6">
        <v>88266</v>
      </c>
      <c r="C110" s="7" t="s">
        <v>31</v>
      </c>
      <c r="D110" s="39">
        <v>46188</v>
      </c>
      <c r="E110" s="39" t="s">
        <v>13</v>
      </c>
      <c r="F110" s="39" t="s">
        <v>13</v>
      </c>
      <c r="G110" s="9">
        <v>40071</v>
      </c>
      <c r="H110" s="10">
        <f t="shared" si="9"/>
        <v>40071</v>
      </c>
      <c r="I110" s="11">
        <v>80142</v>
      </c>
      <c r="J110" s="11">
        <f>IFERROR(VLOOKUP(B110,'May 26'!B:G,6,FALSE),0)</f>
        <v>0</v>
      </c>
      <c r="K110" s="11">
        <v>0</v>
      </c>
      <c r="L110" s="11">
        <f t="shared" si="10"/>
        <v>40071</v>
      </c>
    </row>
    <row r="111" spans="1:14" ht="16.5" thickTop="1" thickBot="1" x14ac:dyDescent="0.3">
      <c r="A111" s="5" t="s">
        <v>93</v>
      </c>
      <c r="B111" s="6">
        <v>78503</v>
      </c>
      <c r="C111" s="7" t="s">
        <v>28</v>
      </c>
      <c r="D111" s="39">
        <v>45825</v>
      </c>
      <c r="E111" s="39" t="s">
        <v>13</v>
      </c>
      <c r="F111" s="39" t="s">
        <v>13</v>
      </c>
      <c r="G111" s="9">
        <v>15815</v>
      </c>
      <c r="H111" s="10">
        <v>15814</v>
      </c>
      <c r="I111" s="11">
        <v>31629</v>
      </c>
      <c r="J111" s="11">
        <f>IFERROR(VLOOKUP(B111,'May 26'!B:G,6,FALSE),0)</f>
        <v>15815</v>
      </c>
      <c r="K111" s="11">
        <v>0</v>
      </c>
      <c r="L111" s="11">
        <f t="shared" si="10"/>
        <v>0</v>
      </c>
      <c r="N111" s="79" t="str">
        <f>VLOOKUP(B111,[3]invoicing!$C:$AI,33,FALSE)</f>
        <v/>
      </c>
    </row>
    <row r="112" spans="1:14" ht="16.5" thickTop="1" thickBot="1" x14ac:dyDescent="0.3">
      <c r="A112" s="5" t="s">
        <v>653</v>
      </c>
      <c r="B112" s="6">
        <v>90032</v>
      </c>
      <c r="C112" s="7" t="s">
        <v>655</v>
      </c>
      <c r="D112" s="39">
        <v>46150</v>
      </c>
      <c r="E112" s="39" t="s">
        <v>13</v>
      </c>
      <c r="F112" s="39" t="s">
        <v>13</v>
      </c>
      <c r="G112" s="9">
        <v>9955</v>
      </c>
      <c r="H112" s="10">
        <f>I112-G112</f>
        <v>10598.619999999999</v>
      </c>
      <c r="I112" s="11">
        <v>20553.62</v>
      </c>
      <c r="J112" s="11">
        <f>IFERROR(VLOOKUP(B112,'May 26'!B:G,6,FALSE),0)</f>
        <v>9955</v>
      </c>
      <c r="K112" s="11">
        <v>0</v>
      </c>
      <c r="L112" s="11">
        <f t="shared" si="10"/>
        <v>0</v>
      </c>
      <c r="N112" s="79" t="str">
        <f>VLOOKUP(B112,[3]invoicing!$C:$AI,33,FALSE)</f>
        <v/>
      </c>
    </row>
    <row r="113" spans="1:14" ht="16.5" thickTop="1" thickBot="1" x14ac:dyDescent="0.3">
      <c r="A113" s="5" t="s">
        <v>712</v>
      </c>
      <c r="B113" s="6">
        <v>90364</v>
      </c>
      <c r="C113" s="7" t="s">
        <v>20</v>
      </c>
      <c r="D113" s="39">
        <v>46181</v>
      </c>
      <c r="E113" s="39" t="s">
        <v>13</v>
      </c>
      <c r="F113" s="39" t="s">
        <v>13</v>
      </c>
      <c r="G113" s="9">
        <v>11314.88</v>
      </c>
      <c r="H113" s="10">
        <f>I113-G113</f>
        <v>11314.87</v>
      </c>
      <c r="I113" s="11">
        <v>22629.75</v>
      </c>
      <c r="J113" s="11">
        <f>IFERROR(VLOOKUP(B113,'May 26'!B:G,6,FALSE),0)</f>
        <v>0</v>
      </c>
      <c r="K113" s="11">
        <v>0</v>
      </c>
      <c r="L113" s="11">
        <f t="shared" si="10"/>
        <v>11314.88</v>
      </c>
      <c r="N113" s="79" t="str">
        <f>VLOOKUP(B113,[3]invoicing!$C:$AI,33,FALSE)</f>
        <v/>
      </c>
    </row>
    <row r="114" spans="1:14" ht="16.5" thickTop="1" thickBot="1" x14ac:dyDescent="0.3">
      <c r="A114" s="5" t="s">
        <v>266</v>
      </c>
      <c r="B114" s="81">
        <v>87077</v>
      </c>
      <c r="C114" s="82" t="s">
        <v>40</v>
      </c>
      <c r="D114" s="49">
        <v>46052</v>
      </c>
      <c r="E114" s="49">
        <v>46093</v>
      </c>
      <c r="F114" s="49">
        <v>46185</v>
      </c>
      <c r="G114" s="45">
        <v>0</v>
      </c>
      <c r="H114" s="10"/>
      <c r="I114" s="11"/>
      <c r="J114" s="11">
        <f>IFERROR(VLOOKUP(B114,'May 26'!B:G,6,FALSE),0)</f>
        <v>11448</v>
      </c>
      <c r="K114" s="11">
        <f>J114-G114</f>
        <v>11448</v>
      </c>
      <c r="L114" s="11" t="s">
        <v>613</v>
      </c>
    </row>
    <row r="115" spans="1:14" ht="16.5" thickTop="1" thickBot="1" x14ac:dyDescent="0.3">
      <c r="A115" s="5" t="s">
        <v>740</v>
      </c>
      <c r="B115" s="6">
        <v>88971</v>
      </c>
      <c r="C115" s="7" t="s">
        <v>33</v>
      </c>
      <c r="D115" s="39">
        <v>46202</v>
      </c>
      <c r="E115" s="39" t="s">
        <v>13</v>
      </c>
      <c r="F115" s="39" t="s">
        <v>13</v>
      </c>
      <c r="G115" s="9">
        <v>9297.77</v>
      </c>
      <c r="H115" s="10">
        <f>I115-G115</f>
        <v>9297.7599999999984</v>
      </c>
      <c r="I115" s="11">
        <v>18595.53</v>
      </c>
      <c r="J115" s="11">
        <f>IFERROR(VLOOKUP(B115,'May 26'!B:G,6,FALSE),0)</f>
        <v>0</v>
      </c>
      <c r="K115" s="11">
        <v>0</v>
      </c>
      <c r="L115" s="11">
        <f>G115-J115</f>
        <v>9297.77</v>
      </c>
    </row>
    <row r="116" spans="1:14" ht="16.5" thickTop="1" thickBot="1" x14ac:dyDescent="0.3">
      <c r="A116" s="5" t="s">
        <v>725</v>
      </c>
      <c r="B116" s="6">
        <v>88804</v>
      </c>
      <c r="C116" s="7" t="s">
        <v>23</v>
      </c>
      <c r="D116" s="39">
        <v>46189</v>
      </c>
      <c r="E116" s="39" t="s">
        <v>13</v>
      </c>
      <c r="F116" s="39" t="s">
        <v>13</v>
      </c>
      <c r="G116" s="19">
        <v>19363.689999999999</v>
      </c>
      <c r="H116" s="10">
        <f>I116-G116</f>
        <v>0</v>
      </c>
      <c r="I116" s="11">
        <v>19363.689999999999</v>
      </c>
      <c r="J116" s="11">
        <f>IFERROR(VLOOKUP(B116,'May 26'!B:G,6,FALSE),0)</f>
        <v>0</v>
      </c>
      <c r="K116" s="11">
        <v>0</v>
      </c>
      <c r="L116" s="11">
        <f>G116-J116</f>
        <v>19363.689999999999</v>
      </c>
    </row>
    <row r="117" spans="1:14" ht="16.5" thickTop="1" thickBot="1" x14ac:dyDescent="0.3">
      <c r="A117" s="5" t="s">
        <v>631</v>
      </c>
      <c r="B117" s="6">
        <v>89293</v>
      </c>
      <c r="C117" s="7" t="s">
        <v>19</v>
      </c>
      <c r="D117" s="39">
        <v>46139</v>
      </c>
      <c r="E117" s="39">
        <v>46169</v>
      </c>
      <c r="F117" s="39" t="s">
        <v>577</v>
      </c>
      <c r="G117" s="9">
        <v>15723</v>
      </c>
      <c r="H117" s="10">
        <f>I117-G117</f>
        <v>15722</v>
      </c>
      <c r="I117" s="11">
        <v>31445</v>
      </c>
      <c r="J117" s="11">
        <f>IFERROR(VLOOKUP(B117,'May 26'!B:G,6,FALSE),0)</f>
        <v>15723</v>
      </c>
      <c r="K117" s="11">
        <f>IF(G117=0,J117-G117,0)</f>
        <v>0</v>
      </c>
      <c r="L117" s="11">
        <f>G117-J117</f>
        <v>0</v>
      </c>
      <c r="N117" s="79" t="str">
        <f>VLOOKUP(B117,[3]invoicing!$C:$AI,33,FALSE)</f>
        <v/>
      </c>
    </row>
    <row r="118" spans="1:14" ht="16.5" thickTop="1" thickBot="1" x14ac:dyDescent="0.3">
      <c r="A118" s="5" t="s">
        <v>241</v>
      </c>
      <c r="B118" s="81">
        <v>87242</v>
      </c>
      <c r="C118" s="82" t="s">
        <v>14</v>
      </c>
      <c r="D118" s="49">
        <v>46045</v>
      </c>
      <c r="E118" s="49">
        <v>46107</v>
      </c>
      <c r="F118" s="49">
        <v>46192</v>
      </c>
      <c r="G118" s="45">
        <v>0</v>
      </c>
      <c r="H118" s="10"/>
      <c r="I118" s="11"/>
      <c r="J118" s="11">
        <f>IFERROR(VLOOKUP(B118,'May 26'!B:G,6,FALSE),0)</f>
        <v>44650</v>
      </c>
      <c r="K118" s="11">
        <f>J118-G118</f>
        <v>44650</v>
      </c>
      <c r="L118" s="11" t="s">
        <v>613</v>
      </c>
      <c r="N118" s="79" t="str">
        <f>VLOOKUP(B118,[3]invoicing!$C:$AI,33,FALSE)</f>
        <v/>
      </c>
    </row>
    <row r="119" spans="1:14" ht="16.5" thickTop="1" thickBot="1" x14ac:dyDescent="0.3">
      <c r="A119" s="5" t="s">
        <v>716</v>
      </c>
      <c r="B119" s="6">
        <v>91004</v>
      </c>
      <c r="C119" s="7" t="s">
        <v>14</v>
      </c>
      <c r="D119" s="39">
        <v>46182</v>
      </c>
      <c r="E119" s="39" t="s">
        <v>13</v>
      </c>
      <c r="F119" s="39" t="s">
        <v>13</v>
      </c>
      <c r="G119" s="9">
        <v>13225.66</v>
      </c>
      <c r="H119" s="10">
        <f>I119-G119</f>
        <v>13225.66</v>
      </c>
      <c r="I119" s="11">
        <v>26451.32</v>
      </c>
      <c r="J119" s="11">
        <f>IFERROR(VLOOKUP(B119,'May 26'!B:G,6,FALSE),0)</f>
        <v>0</v>
      </c>
      <c r="K119" s="11">
        <v>0</v>
      </c>
      <c r="L119" s="11">
        <f t="shared" ref="L119:L124" si="11">G119-J119</f>
        <v>13225.66</v>
      </c>
      <c r="N119" s="79" t="str">
        <f>VLOOKUP(B119,[3]invoicing!$C:$AI,33,FALSE)</f>
        <v/>
      </c>
    </row>
    <row r="120" spans="1:14" ht="16.5" thickTop="1" thickBot="1" x14ac:dyDescent="0.3">
      <c r="A120" s="5" t="s">
        <v>106</v>
      </c>
      <c r="B120" s="6">
        <v>85604</v>
      </c>
      <c r="C120" s="7" t="s">
        <v>17</v>
      </c>
      <c r="D120" s="39">
        <v>45881</v>
      </c>
      <c r="E120" s="39">
        <v>46156</v>
      </c>
      <c r="F120" s="39" t="s">
        <v>351</v>
      </c>
      <c r="G120" s="19">
        <v>80676.28</v>
      </c>
      <c r="H120" s="10">
        <v>-4388.2799999999988</v>
      </c>
      <c r="I120" s="11">
        <v>76288</v>
      </c>
      <c r="J120" s="11">
        <f>IFERROR(VLOOKUP(B120,'May 26'!B:G,6,FALSE),0)</f>
        <v>80676.28</v>
      </c>
      <c r="K120" s="11">
        <v>0</v>
      </c>
      <c r="L120" s="11">
        <f t="shared" si="11"/>
        <v>0</v>
      </c>
      <c r="N120" s="79" t="str">
        <f>VLOOKUP(B120,[3]invoicing!$C:$AI,33,FALSE)</f>
        <v/>
      </c>
    </row>
    <row r="121" spans="1:14" ht="16.5" thickTop="1" thickBot="1" x14ac:dyDescent="0.3">
      <c r="A121" s="5" t="s">
        <v>43</v>
      </c>
      <c r="B121" s="6">
        <v>80858</v>
      </c>
      <c r="C121" s="7" t="s">
        <v>44</v>
      </c>
      <c r="D121" s="39">
        <v>45987</v>
      </c>
      <c r="E121" s="39" t="s">
        <v>13</v>
      </c>
      <c r="F121" s="39" t="s">
        <v>13</v>
      </c>
      <c r="G121" s="9">
        <v>6843</v>
      </c>
      <c r="H121" s="10">
        <v>6843</v>
      </c>
      <c r="I121" s="11">
        <v>13686</v>
      </c>
      <c r="J121" s="11">
        <f>IFERROR(VLOOKUP(B121,'May 26'!B:G,6,FALSE),0)</f>
        <v>6843</v>
      </c>
      <c r="K121" s="11">
        <v>0</v>
      </c>
      <c r="L121" s="11">
        <f t="shared" si="11"/>
        <v>0</v>
      </c>
    </row>
    <row r="122" spans="1:14" ht="16.5" thickTop="1" thickBot="1" x14ac:dyDescent="0.3">
      <c r="A122" s="5" t="s">
        <v>506</v>
      </c>
      <c r="B122" s="6">
        <v>83550</v>
      </c>
      <c r="C122" s="7" t="s">
        <v>505</v>
      </c>
      <c r="D122" s="39">
        <v>46100</v>
      </c>
      <c r="E122" s="39">
        <v>46183</v>
      </c>
      <c r="F122" s="39" t="s">
        <v>643</v>
      </c>
      <c r="G122" s="9">
        <v>17904</v>
      </c>
      <c r="H122" s="10">
        <v>17904</v>
      </c>
      <c r="I122" s="11">
        <v>40098</v>
      </c>
      <c r="J122" s="11">
        <f>IFERROR(VLOOKUP(B122,'May 26'!B:G,6,FALSE),0)</f>
        <v>17904</v>
      </c>
      <c r="K122" s="11">
        <v>0</v>
      </c>
      <c r="L122" s="11">
        <f t="shared" si="11"/>
        <v>0</v>
      </c>
    </row>
    <row r="123" spans="1:14" ht="16.5" thickTop="1" thickBot="1" x14ac:dyDescent="0.3">
      <c r="A123" s="5" t="s">
        <v>662</v>
      </c>
      <c r="B123" s="6">
        <v>90183</v>
      </c>
      <c r="C123" s="7" t="s">
        <v>78</v>
      </c>
      <c r="D123" s="39" t="s">
        <v>670</v>
      </c>
      <c r="E123" s="39">
        <v>46184</v>
      </c>
      <c r="F123" s="39" t="s">
        <v>643</v>
      </c>
      <c r="G123" s="9">
        <v>18889</v>
      </c>
      <c r="H123" s="10">
        <f>I123-G123</f>
        <v>18889</v>
      </c>
      <c r="I123" s="11">
        <v>37778</v>
      </c>
      <c r="J123" s="11">
        <f>IFERROR(VLOOKUP(B123,'May 26'!B:G,6,FALSE),0)</f>
        <v>18889</v>
      </c>
      <c r="K123" s="11">
        <v>0</v>
      </c>
      <c r="L123" s="11">
        <f t="shared" si="11"/>
        <v>0</v>
      </c>
      <c r="N123" s="79" t="str">
        <f>VLOOKUP(B123,[3]invoicing!$C:$AI,33,FALSE)</f>
        <v/>
      </c>
    </row>
    <row r="124" spans="1:14" ht="16.5" thickTop="1" thickBot="1" x14ac:dyDescent="0.3">
      <c r="A124" s="5" t="s">
        <v>736</v>
      </c>
      <c r="B124" s="6">
        <v>90746</v>
      </c>
      <c r="C124" s="7" t="s">
        <v>40</v>
      </c>
      <c r="D124" s="39">
        <v>46199</v>
      </c>
      <c r="E124" s="39" t="s">
        <v>13</v>
      </c>
      <c r="F124" s="39" t="s">
        <v>13</v>
      </c>
      <c r="G124" s="9">
        <v>13469.26</v>
      </c>
      <c r="H124" s="10">
        <f>I124-G124</f>
        <v>13557.699999999999</v>
      </c>
      <c r="I124" s="11">
        <v>27026.959999999999</v>
      </c>
      <c r="J124" s="11">
        <f>IFERROR(VLOOKUP(B124,'May 26'!B:G,6,FALSE),0)</f>
        <v>0</v>
      </c>
      <c r="K124" s="11">
        <v>0</v>
      </c>
      <c r="L124" s="11">
        <f t="shared" si="11"/>
        <v>13469.26</v>
      </c>
    </row>
    <row r="125" spans="1:14" ht="16.5" thickTop="1" thickBot="1" x14ac:dyDescent="0.3">
      <c r="A125" s="5" t="s">
        <v>599</v>
      </c>
      <c r="B125" s="81">
        <v>88754</v>
      </c>
      <c r="C125" s="82" t="s">
        <v>609</v>
      </c>
      <c r="D125" s="49">
        <v>46113</v>
      </c>
      <c r="E125" s="49">
        <v>46149</v>
      </c>
      <c r="F125" s="49">
        <v>46192</v>
      </c>
      <c r="G125" s="45">
        <v>0</v>
      </c>
      <c r="H125" s="10"/>
      <c r="I125" s="11"/>
      <c r="J125" s="11">
        <f>IFERROR(VLOOKUP(B125,'May 26'!B:G,6,FALSE),0)</f>
        <v>21095</v>
      </c>
      <c r="K125" s="11">
        <f>J125-G125</f>
        <v>21095</v>
      </c>
      <c r="L125" s="11" t="s">
        <v>613</v>
      </c>
      <c r="N125" s="79" t="str">
        <f>VLOOKUP(B125,[3]invoicing!$C:$AI,33,FALSE)</f>
        <v/>
      </c>
    </row>
    <row r="126" spans="1:14" ht="16.5" thickTop="1" thickBot="1" x14ac:dyDescent="0.3">
      <c r="A126" s="5" t="s">
        <v>618</v>
      </c>
      <c r="B126" s="6">
        <v>90089</v>
      </c>
      <c r="C126" s="7" t="s">
        <v>619</v>
      </c>
      <c r="D126" s="39">
        <v>46133</v>
      </c>
      <c r="E126" s="39" t="s">
        <v>13</v>
      </c>
      <c r="F126" s="39" t="s">
        <v>13</v>
      </c>
      <c r="G126" s="19">
        <v>36368.01</v>
      </c>
      <c r="H126" s="10">
        <f>I126-G126</f>
        <v>0</v>
      </c>
      <c r="I126" s="11">
        <v>36368.01</v>
      </c>
      <c r="J126" s="11">
        <f>IFERROR(VLOOKUP(B126,'May 26'!B:G,6,FALSE),0)</f>
        <v>36368.01</v>
      </c>
      <c r="K126" s="11">
        <f>IF(G126=0,J126-G126,0)</f>
        <v>0</v>
      </c>
      <c r="L126" s="11">
        <f t="shared" ref="L126:L131" si="12">G126-J126</f>
        <v>0</v>
      </c>
      <c r="N126" s="79" t="str">
        <f>VLOOKUP(B126,[3]invoicing!$C:$AI,33,FALSE)</f>
        <v/>
      </c>
    </row>
    <row r="127" spans="1:14" ht="16.5" thickTop="1" thickBot="1" x14ac:dyDescent="0.3">
      <c r="A127" s="5" t="s">
        <v>338</v>
      </c>
      <c r="B127" s="6">
        <v>87824</v>
      </c>
      <c r="C127" s="7" t="s">
        <v>20</v>
      </c>
      <c r="D127" s="39">
        <v>46079</v>
      </c>
      <c r="E127" s="39">
        <v>46189</v>
      </c>
      <c r="F127" s="39" t="s">
        <v>643</v>
      </c>
      <c r="G127" s="9">
        <v>114706.5</v>
      </c>
      <c r="H127" s="10">
        <v>109880</v>
      </c>
      <c r="I127" s="11">
        <v>229413</v>
      </c>
      <c r="J127" s="11">
        <f>IFERROR(VLOOKUP(B127,'May 26'!B:G,6,FALSE),0)</f>
        <v>114706.5</v>
      </c>
      <c r="K127" s="11">
        <v>0</v>
      </c>
      <c r="L127" s="11">
        <f t="shared" si="12"/>
        <v>0</v>
      </c>
    </row>
    <row r="128" spans="1:14" ht="16.5" thickTop="1" thickBot="1" x14ac:dyDescent="0.3">
      <c r="A128" s="5" t="s">
        <v>741</v>
      </c>
      <c r="B128" s="6">
        <v>89558</v>
      </c>
      <c r="C128" s="7" t="s">
        <v>19</v>
      </c>
      <c r="D128" s="39">
        <v>46203</v>
      </c>
      <c r="E128" s="39" t="s">
        <v>13</v>
      </c>
      <c r="F128" s="39" t="s">
        <v>13</v>
      </c>
      <c r="G128" s="9">
        <v>14801</v>
      </c>
      <c r="H128" s="10">
        <f>I128-G128</f>
        <v>14800</v>
      </c>
      <c r="I128" s="11">
        <v>29601</v>
      </c>
      <c r="J128" s="11">
        <f>IFERROR(VLOOKUP(B128,'May 26'!B:G,6,FALSE),0)</f>
        <v>0</v>
      </c>
      <c r="K128" s="11">
        <v>0</v>
      </c>
      <c r="L128" s="11">
        <f t="shared" si="12"/>
        <v>14801</v>
      </c>
    </row>
    <row r="129" spans="1:14" ht="16.5" thickTop="1" thickBot="1" x14ac:dyDescent="0.3">
      <c r="A129" s="5" t="s">
        <v>645</v>
      </c>
      <c r="B129" s="6">
        <v>86208</v>
      </c>
      <c r="C129" s="7" t="s">
        <v>38</v>
      </c>
      <c r="D129" s="39">
        <v>46143</v>
      </c>
      <c r="E129" s="39" t="s">
        <v>13</v>
      </c>
      <c r="F129" s="39" t="s">
        <v>13</v>
      </c>
      <c r="G129" s="9">
        <v>22287</v>
      </c>
      <c r="H129" s="10">
        <f>I129-G129</f>
        <v>22286</v>
      </c>
      <c r="I129" s="11">
        <v>44573</v>
      </c>
      <c r="J129" s="11">
        <f>IFERROR(VLOOKUP(B129,'May 26'!B:G,6,FALSE),0)</f>
        <v>22287</v>
      </c>
      <c r="K129" s="11">
        <v>0</v>
      </c>
      <c r="L129" s="11">
        <f t="shared" si="12"/>
        <v>0</v>
      </c>
      <c r="N129" s="79" t="str">
        <f>VLOOKUP(B129,[3]invoicing!$C:$AI,33,FALSE)</f>
        <v/>
      </c>
    </row>
    <row r="130" spans="1:14" ht="16.5" thickTop="1" thickBot="1" x14ac:dyDescent="0.3">
      <c r="A130" s="5" t="s">
        <v>705</v>
      </c>
      <c r="B130" s="6">
        <v>89161</v>
      </c>
      <c r="C130" s="7" t="s">
        <v>21</v>
      </c>
      <c r="D130" s="39">
        <v>46177</v>
      </c>
      <c r="E130" s="39" t="s">
        <v>13</v>
      </c>
      <c r="F130" s="39" t="s">
        <v>13</v>
      </c>
      <c r="G130" s="9">
        <v>30982</v>
      </c>
      <c r="H130" s="10">
        <f>I130-G130</f>
        <v>30981</v>
      </c>
      <c r="I130" s="11">
        <v>61963</v>
      </c>
      <c r="J130" s="11">
        <f>IFERROR(VLOOKUP(B130,'May 26'!B:G,6,FALSE),0)</f>
        <v>0</v>
      </c>
      <c r="K130" s="11">
        <v>0</v>
      </c>
      <c r="L130" s="11">
        <f t="shared" si="12"/>
        <v>30982</v>
      </c>
      <c r="N130" s="79" t="str">
        <f>VLOOKUP(B130,[3]invoicing!$C:$AI,33,FALSE)</f>
        <v/>
      </c>
    </row>
    <row r="131" spans="1:14" ht="16.5" thickTop="1" thickBot="1" x14ac:dyDescent="0.3">
      <c r="A131" s="5" t="s">
        <v>600</v>
      </c>
      <c r="B131" s="6">
        <v>89295</v>
      </c>
      <c r="C131" s="7" t="s">
        <v>21</v>
      </c>
      <c r="D131" s="39">
        <v>46127</v>
      </c>
      <c r="E131" s="39" t="s">
        <v>13</v>
      </c>
      <c r="F131" s="39" t="s">
        <v>13</v>
      </c>
      <c r="G131" s="9">
        <v>26512</v>
      </c>
      <c r="H131" s="10">
        <f>I131-G131</f>
        <v>26512</v>
      </c>
      <c r="I131" s="11">
        <v>53024</v>
      </c>
      <c r="J131" s="11">
        <f>IFERROR(VLOOKUP(B131,'May 26'!B:G,6,FALSE),0)</f>
        <v>26512</v>
      </c>
      <c r="K131" s="11">
        <v>0</v>
      </c>
      <c r="L131" s="11">
        <f t="shared" si="12"/>
        <v>0</v>
      </c>
      <c r="N131" s="79" t="str">
        <f>VLOOKUP(B131,[3]invoicing!$C:$AI,33,FALSE)</f>
        <v/>
      </c>
    </row>
    <row r="132" spans="1:14" ht="16.5" thickTop="1" thickBot="1" x14ac:dyDescent="0.3">
      <c r="A132" s="5" t="s">
        <v>290</v>
      </c>
      <c r="B132" s="81">
        <v>88927</v>
      </c>
      <c r="C132" s="82" t="s">
        <v>296</v>
      </c>
      <c r="D132" s="49">
        <v>46066</v>
      </c>
      <c r="E132" s="49">
        <v>46097</v>
      </c>
      <c r="F132" s="49">
        <v>46185</v>
      </c>
      <c r="G132" s="45">
        <v>0</v>
      </c>
      <c r="H132" s="10"/>
      <c r="I132" s="11"/>
      <c r="J132" s="11">
        <f>IFERROR(VLOOKUP(B132,'May 26'!B:G,6,FALSE),0)</f>
        <v>7884</v>
      </c>
      <c r="K132" s="11">
        <f>J132-G132</f>
        <v>7884</v>
      </c>
      <c r="L132" s="11" t="s">
        <v>613</v>
      </c>
      <c r="N132" s="79" t="str">
        <f>VLOOKUP(B132,[3]invoicing!$C:$AI,33,FALSE)</f>
        <v/>
      </c>
    </row>
    <row r="133" spans="1:14" ht="16.5" thickTop="1" thickBot="1" x14ac:dyDescent="0.3">
      <c r="A133" s="5" t="s">
        <v>680</v>
      </c>
      <c r="B133" s="6">
        <v>90873</v>
      </c>
      <c r="C133" s="7" t="s">
        <v>11</v>
      </c>
      <c r="D133" s="39">
        <v>46164</v>
      </c>
      <c r="E133" s="39" t="s">
        <v>13</v>
      </c>
      <c r="F133" s="39" t="s">
        <v>13</v>
      </c>
      <c r="G133" s="9">
        <v>54502.32</v>
      </c>
      <c r="H133" s="10">
        <f>I133-G133</f>
        <v>45373.32</v>
      </c>
      <c r="I133" s="11">
        <v>99875.64</v>
      </c>
      <c r="J133" s="11">
        <f>IFERROR(VLOOKUP(B133,'May 26'!B:G,6,FALSE),0)</f>
        <v>49937.82</v>
      </c>
      <c r="K133" s="11"/>
      <c r="L133" s="11">
        <f>G133-J133</f>
        <v>4564.5</v>
      </c>
      <c r="N133" s="79" t="str">
        <f>VLOOKUP(B133,[3]invoicing!$C:$AI,33,FALSE)</f>
        <v/>
      </c>
    </row>
    <row r="134" spans="1:14" ht="16.5" thickTop="1" thickBot="1" x14ac:dyDescent="0.3">
      <c r="A134" s="5" t="s">
        <v>617</v>
      </c>
      <c r="B134" s="81">
        <v>90012</v>
      </c>
      <c r="C134" s="82" t="s">
        <v>87</v>
      </c>
      <c r="D134" s="49">
        <v>46132</v>
      </c>
      <c r="E134" s="49">
        <v>46154</v>
      </c>
      <c r="F134" s="49">
        <v>46189</v>
      </c>
      <c r="G134" s="45">
        <v>0</v>
      </c>
      <c r="H134" s="10"/>
      <c r="I134" s="11"/>
      <c r="J134" s="11">
        <f>IFERROR(VLOOKUP(B134,'May 26'!B:G,6,FALSE),0)</f>
        <v>5254</v>
      </c>
      <c r="K134" s="11">
        <f>J134-G134</f>
        <v>5254</v>
      </c>
      <c r="L134" s="11" t="s">
        <v>613</v>
      </c>
      <c r="N134" s="79" t="str">
        <f>VLOOKUP(B134,[3]invoicing!$C:$AI,33,FALSE)</f>
        <v/>
      </c>
    </row>
    <row r="135" spans="1:14" ht="16.5" thickTop="1" thickBot="1" x14ac:dyDescent="0.3">
      <c r="A135" s="5" t="s">
        <v>606</v>
      </c>
      <c r="B135" s="6">
        <v>88850</v>
      </c>
      <c r="C135" s="7" t="s">
        <v>14</v>
      </c>
      <c r="D135" s="39">
        <v>46115</v>
      </c>
      <c r="E135" s="39" t="s">
        <v>13</v>
      </c>
      <c r="F135" s="39" t="s">
        <v>13</v>
      </c>
      <c r="G135" s="9">
        <v>49392</v>
      </c>
      <c r="H135" s="10">
        <f>I135-G135</f>
        <v>49391</v>
      </c>
      <c r="I135" s="11">
        <v>98783</v>
      </c>
      <c r="J135" s="11">
        <f>IFERROR(VLOOKUP(B135,'May 26'!B:G,6,FALSE),0)</f>
        <v>49392</v>
      </c>
      <c r="K135" s="11">
        <v>0</v>
      </c>
      <c r="L135" s="11">
        <f t="shared" ref="L135:L143" si="13">G135-J135</f>
        <v>0</v>
      </c>
      <c r="N135" s="79" t="str">
        <f>VLOOKUP(B135,[3]invoicing!$C:$AI,33,FALSE)</f>
        <v/>
      </c>
    </row>
    <row r="136" spans="1:14" ht="16.5" thickTop="1" thickBot="1" x14ac:dyDescent="0.3">
      <c r="A136" s="5" t="s">
        <v>739</v>
      </c>
      <c r="B136" s="6">
        <v>89066</v>
      </c>
      <c r="C136" s="7" t="s">
        <v>20</v>
      </c>
      <c r="D136" s="39">
        <v>46202</v>
      </c>
      <c r="E136" s="39" t="s">
        <v>13</v>
      </c>
      <c r="F136" s="39" t="s">
        <v>13</v>
      </c>
      <c r="G136" s="9">
        <v>13039.91</v>
      </c>
      <c r="H136" s="10">
        <f>I136-G136</f>
        <v>13039.900000000001</v>
      </c>
      <c r="I136" s="11">
        <v>26079.81</v>
      </c>
      <c r="J136" s="11">
        <f>IFERROR(VLOOKUP(B136,'May 26'!B:G,6,FALSE),0)</f>
        <v>0</v>
      </c>
      <c r="K136" s="11">
        <v>0</v>
      </c>
      <c r="L136" s="11">
        <f t="shared" si="13"/>
        <v>13039.91</v>
      </c>
    </row>
    <row r="137" spans="1:14" ht="16.5" thickTop="1" thickBot="1" x14ac:dyDescent="0.3">
      <c r="A137" s="5" t="s">
        <v>648</v>
      </c>
      <c r="B137" s="6">
        <v>90101</v>
      </c>
      <c r="C137" s="7" t="s">
        <v>654</v>
      </c>
      <c r="D137" s="39">
        <v>46148</v>
      </c>
      <c r="E137" s="39">
        <v>46175</v>
      </c>
      <c r="F137" s="39" t="s">
        <v>577</v>
      </c>
      <c r="G137" s="9">
        <v>18412</v>
      </c>
      <c r="H137" s="10">
        <f>I137-G137</f>
        <v>18411</v>
      </c>
      <c r="I137" s="11">
        <v>36823</v>
      </c>
      <c r="J137" s="11">
        <f>IFERROR(VLOOKUP(B137,'May 26'!B:G,6,FALSE),0)</f>
        <v>18412</v>
      </c>
      <c r="K137" s="11">
        <v>0</v>
      </c>
      <c r="L137" s="11">
        <f t="shared" si="13"/>
        <v>0</v>
      </c>
      <c r="N137" s="79" t="str">
        <f>VLOOKUP(B137,[3]invoicing!$C:$AI,33,FALSE)</f>
        <v/>
      </c>
    </row>
    <row r="138" spans="1:14" ht="16.5" thickTop="1" thickBot="1" x14ac:dyDescent="0.3">
      <c r="A138" s="5" t="s">
        <v>574</v>
      </c>
      <c r="B138" s="6">
        <v>89520</v>
      </c>
      <c r="C138" s="7" t="s">
        <v>254</v>
      </c>
      <c r="D138" s="39">
        <v>46112</v>
      </c>
      <c r="E138" s="39">
        <v>46140</v>
      </c>
      <c r="F138" s="39" t="s">
        <v>577</v>
      </c>
      <c r="G138" s="9">
        <v>8091.5</v>
      </c>
      <c r="H138" s="10">
        <v>8091.5</v>
      </c>
      <c r="I138" s="11">
        <v>16183</v>
      </c>
      <c r="J138" s="11">
        <f>IFERROR(VLOOKUP(B138,'May 26'!B:G,6,FALSE),0)</f>
        <v>8091.5</v>
      </c>
      <c r="K138" s="11">
        <v>0</v>
      </c>
      <c r="L138" s="11">
        <f t="shared" si="13"/>
        <v>0</v>
      </c>
      <c r="N138" s="79" t="str">
        <f>VLOOKUP(B138,[3]invoicing!$C:$AI,33,FALSE)</f>
        <v/>
      </c>
    </row>
    <row r="139" spans="1:14" ht="16.5" thickTop="1" thickBot="1" x14ac:dyDescent="0.3">
      <c r="A139" s="5" t="s">
        <v>625</v>
      </c>
      <c r="B139" s="6">
        <v>85309</v>
      </c>
      <c r="C139" s="7" t="s">
        <v>634</v>
      </c>
      <c r="D139" s="39">
        <v>46135</v>
      </c>
      <c r="E139" s="39">
        <v>46189</v>
      </c>
      <c r="F139" s="39" t="s">
        <v>643</v>
      </c>
      <c r="G139" s="9">
        <v>14942</v>
      </c>
      <c r="H139" s="10">
        <f>I139-G139</f>
        <v>14942</v>
      </c>
      <c r="I139" s="11">
        <v>29884</v>
      </c>
      <c r="J139" s="11">
        <f>IFERROR(VLOOKUP(B139,'May 26'!B:G,6,FALSE),0)</f>
        <v>14942</v>
      </c>
      <c r="K139" s="11">
        <f>IF(G139=0,J139-G139,0)</f>
        <v>0</v>
      </c>
      <c r="L139" s="11">
        <f t="shared" si="13"/>
        <v>0</v>
      </c>
      <c r="N139" s="79" t="str">
        <f>VLOOKUP(B139,[3]invoicing!$C:$AI,33,FALSE)</f>
        <v/>
      </c>
    </row>
    <row r="140" spans="1:14" ht="16.5" thickTop="1" thickBot="1" x14ac:dyDescent="0.3">
      <c r="A140" s="5" t="s">
        <v>727</v>
      </c>
      <c r="B140" s="6">
        <v>87536</v>
      </c>
      <c r="C140" s="7" t="s">
        <v>737</v>
      </c>
      <c r="D140" s="39">
        <v>46190</v>
      </c>
      <c r="E140" s="39" t="s">
        <v>13</v>
      </c>
      <c r="F140" s="39" t="s">
        <v>13</v>
      </c>
      <c r="G140" s="9">
        <v>17907.14</v>
      </c>
      <c r="H140" s="10">
        <f>I140-G140</f>
        <v>17907.14</v>
      </c>
      <c r="I140" s="11">
        <v>35814.28</v>
      </c>
      <c r="J140" s="11">
        <f>IFERROR(VLOOKUP(B140,'May 26'!B:G,6,FALSE),0)</f>
        <v>0</v>
      </c>
      <c r="K140" s="11">
        <v>0</v>
      </c>
      <c r="L140" s="11">
        <f t="shared" si="13"/>
        <v>17907.14</v>
      </c>
    </row>
    <row r="141" spans="1:14" ht="16.5" thickTop="1" thickBot="1" x14ac:dyDescent="0.3">
      <c r="A141" s="5" t="s">
        <v>628</v>
      </c>
      <c r="B141" s="6">
        <v>89429</v>
      </c>
      <c r="C141" s="7" t="s">
        <v>14</v>
      </c>
      <c r="D141" s="39">
        <v>46136</v>
      </c>
      <c r="E141" s="39">
        <v>46197</v>
      </c>
      <c r="F141" s="39" t="s">
        <v>353</v>
      </c>
      <c r="G141" s="9">
        <v>24032</v>
      </c>
      <c r="H141" s="10">
        <f>I141-G141</f>
        <v>24032</v>
      </c>
      <c r="I141" s="11">
        <v>48064</v>
      </c>
      <c r="J141" s="11">
        <f>IFERROR(VLOOKUP(B141,'May 26'!B:G,6,FALSE),0)</f>
        <v>24032</v>
      </c>
      <c r="K141" s="11">
        <f>IF(G141=0,J141-G141,0)</f>
        <v>0</v>
      </c>
      <c r="L141" s="11">
        <f t="shared" si="13"/>
        <v>0</v>
      </c>
      <c r="N141" s="79" t="str">
        <f>VLOOKUP(B141,[3]invoicing!$C:$AI,33,FALSE)</f>
        <v/>
      </c>
    </row>
    <row r="142" spans="1:14" ht="16.5" thickTop="1" thickBot="1" x14ac:dyDescent="0.3">
      <c r="A142" s="5" t="s">
        <v>713</v>
      </c>
      <c r="B142" s="6">
        <v>91226</v>
      </c>
      <c r="C142" s="7" t="s">
        <v>14</v>
      </c>
      <c r="D142" s="39">
        <v>46181</v>
      </c>
      <c r="E142" s="39">
        <v>46197</v>
      </c>
      <c r="F142" s="39" t="s">
        <v>353</v>
      </c>
      <c r="G142" s="19">
        <v>52161.27</v>
      </c>
      <c r="H142" s="10">
        <f>I142-G142</f>
        <v>0</v>
      </c>
      <c r="I142" s="11">
        <v>52161.27</v>
      </c>
      <c r="J142" s="11">
        <f>IFERROR(VLOOKUP(B142,'May 26'!B:G,6,FALSE),0)</f>
        <v>0</v>
      </c>
      <c r="K142" s="11">
        <v>0</v>
      </c>
      <c r="L142" s="11">
        <f t="shared" si="13"/>
        <v>52161.27</v>
      </c>
      <c r="N142" s="79" t="str">
        <f>VLOOKUP(B142,[3]invoicing!$C:$AI,33,FALSE)</f>
        <v/>
      </c>
    </row>
    <row r="143" spans="1:14" ht="16.5" thickTop="1" thickBot="1" x14ac:dyDescent="0.3">
      <c r="A143" s="5" t="s">
        <v>702</v>
      </c>
      <c r="B143" s="6">
        <v>90985</v>
      </c>
      <c r="C143" s="7" t="s">
        <v>14</v>
      </c>
      <c r="D143" s="39">
        <v>46177</v>
      </c>
      <c r="E143" s="39" t="s">
        <v>13</v>
      </c>
      <c r="F143" s="39" t="s">
        <v>13</v>
      </c>
      <c r="G143" s="9">
        <v>26358</v>
      </c>
      <c r="H143" s="10">
        <f>I143-G143</f>
        <v>26357</v>
      </c>
      <c r="I143" s="11">
        <v>52715</v>
      </c>
      <c r="J143" s="11">
        <f>IFERROR(VLOOKUP(B143,'May 26'!B:G,6,FALSE),0)</f>
        <v>0</v>
      </c>
      <c r="K143" s="11">
        <v>0</v>
      </c>
      <c r="L143" s="11">
        <f t="shared" si="13"/>
        <v>26358</v>
      </c>
      <c r="N143" s="79" t="str">
        <f>VLOOKUP(B143,[3]invoicing!$C:$AI,33,FALSE)</f>
        <v/>
      </c>
    </row>
    <row r="144" spans="1:14" ht="16.5" thickTop="1" thickBot="1" x14ac:dyDescent="0.3">
      <c r="A144" s="5" t="s">
        <v>638</v>
      </c>
      <c r="B144" s="81">
        <v>89336</v>
      </c>
      <c r="C144" s="81" t="s">
        <v>40</v>
      </c>
      <c r="D144" s="49">
        <v>46141</v>
      </c>
      <c r="E144" s="49">
        <v>46163</v>
      </c>
      <c r="F144" s="49">
        <v>46202</v>
      </c>
      <c r="G144" s="45">
        <v>0</v>
      </c>
      <c r="H144" s="10"/>
      <c r="I144" s="11"/>
      <c r="J144" s="11">
        <f>IFERROR(VLOOKUP(B144,'May 26'!B:G,6,FALSE),0)</f>
        <v>11647.83</v>
      </c>
      <c r="K144" s="11">
        <f>J144-G144</f>
        <v>11647.83</v>
      </c>
      <c r="L144" s="11" t="s">
        <v>613</v>
      </c>
      <c r="N144" s="79" t="str">
        <f>VLOOKUP(B144,[3]invoicing!$C:$AI,33,FALSE)</f>
        <v/>
      </c>
    </row>
    <row r="145" spans="1:14" ht="16.5" thickTop="1" thickBot="1" x14ac:dyDescent="0.3">
      <c r="A145" s="5" t="s">
        <v>496</v>
      </c>
      <c r="B145" s="81">
        <v>88920</v>
      </c>
      <c r="C145" s="82" t="s">
        <v>40</v>
      </c>
      <c r="D145" s="49">
        <v>46098</v>
      </c>
      <c r="E145" s="49">
        <v>46147</v>
      </c>
      <c r="F145" s="49">
        <v>46184</v>
      </c>
      <c r="G145" s="45">
        <v>0</v>
      </c>
      <c r="H145" s="10"/>
      <c r="I145" s="11"/>
      <c r="J145" s="11">
        <f>IFERROR(VLOOKUP(B145,'May 26'!B:G,6,FALSE),0)</f>
        <v>6961</v>
      </c>
      <c r="K145" s="11">
        <f>J145-G145</f>
        <v>6961</v>
      </c>
      <c r="L145" s="11" t="s">
        <v>613</v>
      </c>
      <c r="N145" s="79" t="str">
        <f>VLOOKUP(B145,[3]invoicing!$C:$AI,33,FALSE)</f>
        <v/>
      </c>
    </row>
    <row r="146" spans="1:14" ht="16.5" thickTop="1" thickBot="1" x14ac:dyDescent="0.3">
      <c r="A146" s="5" t="s">
        <v>639</v>
      </c>
      <c r="B146" s="6">
        <v>89485</v>
      </c>
      <c r="C146" s="6" t="s">
        <v>40</v>
      </c>
      <c r="D146" s="39">
        <v>46141</v>
      </c>
      <c r="E146" s="39">
        <v>46202</v>
      </c>
      <c r="F146" s="39" t="s">
        <v>353</v>
      </c>
      <c r="G146" s="9">
        <v>4915</v>
      </c>
      <c r="H146" s="10">
        <f>I146-G146</f>
        <v>4914</v>
      </c>
      <c r="I146" s="11">
        <v>9829</v>
      </c>
      <c r="J146" s="11">
        <f>IFERROR(VLOOKUP(B146,'May 26'!B:G,6,FALSE),0)</f>
        <v>4915</v>
      </c>
      <c r="K146" s="11">
        <f>IF(G146=0,J146-G146,0)</f>
        <v>0</v>
      </c>
      <c r="L146" s="11">
        <f>G146-J146</f>
        <v>0</v>
      </c>
      <c r="N146" s="79" t="str">
        <f>VLOOKUP(B146,[3]invoicing!$C:$AI,33,FALSE)</f>
        <v/>
      </c>
    </row>
    <row r="147" spans="1:14" ht="16.5" thickTop="1" thickBot="1" x14ac:dyDescent="0.3">
      <c r="A147" s="5" t="s">
        <v>601</v>
      </c>
      <c r="B147" s="6">
        <v>86011</v>
      </c>
      <c r="C147" s="7" t="s">
        <v>40</v>
      </c>
      <c r="D147" s="39">
        <v>46126</v>
      </c>
      <c r="E147" s="39" t="s">
        <v>13</v>
      </c>
      <c r="F147" s="39" t="s">
        <v>13</v>
      </c>
      <c r="G147" s="9">
        <v>9490</v>
      </c>
      <c r="H147" s="10">
        <f>I147-G147</f>
        <v>9489</v>
      </c>
      <c r="I147" s="11">
        <v>18979</v>
      </c>
      <c r="J147" s="11">
        <f>IFERROR(VLOOKUP(B147,'May 26'!B:G,6,FALSE),0)</f>
        <v>9490</v>
      </c>
      <c r="K147" s="11">
        <v>0</v>
      </c>
      <c r="L147" s="11">
        <f>G147-J147</f>
        <v>0</v>
      </c>
      <c r="N147" s="79" t="str">
        <f>VLOOKUP(B147,[3]invoicing!$C:$AI,33,FALSE)</f>
        <v/>
      </c>
    </row>
    <row r="148" spans="1:14" ht="16.5" thickTop="1" thickBot="1" x14ac:dyDescent="0.3">
      <c r="A148" s="5" t="s">
        <v>127</v>
      </c>
      <c r="B148" s="81">
        <v>86087</v>
      </c>
      <c r="C148" s="82" t="s">
        <v>78</v>
      </c>
      <c r="D148" s="49">
        <v>45930</v>
      </c>
      <c r="E148" s="49">
        <v>46119</v>
      </c>
      <c r="F148" s="49">
        <v>46190</v>
      </c>
      <c r="G148" s="45">
        <v>0</v>
      </c>
      <c r="H148" s="10"/>
      <c r="I148" s="11"/>
      <c r="J148" s="11">
        <f>IFERROR(VLOOKUP(B148,'May 26'!B:G,6,FALSE),0)</f>
        <v>21046</v>
      </c>
      <c r="K148" s="11">
        <f>J148-G148</f>
        <v>21046</v>
      </c>
      <c r="L148" s="11" t="s">
        <v>613</v>
      </c>
    </row>
    <row r="149" spans="1:14" ht="16.5" thickTop="1" thickBot="1" x14ac:dyDescent="0.3">
      <c r="A149" s="5" t="s">
        <v>735</v>
      </c>
      <c r="B149" s="6">
        <v>89071</v>
      </c>
      <c r="C149" s="7" t="s">
        <v>654</v>
      </c>
      <c r="D149" s="39">
        <v>46199</v>
      </c>
      <c r="E149" s="39" t="s">
        <v>13</v>
      </c>
      <c r="F149" s="39" t="s">
        <v>13</v>
      </c>
      <c r="G149" s="9">
        <v>44750.18</v>
      </c>
      <c r="H149" s="10">
        <f>I149-G149</f>
        <v>44750.18</v>
      </c>
      <c r="I149" s="11">
        <v>89500.36</v>
      </c>
      <c r="J149" s="11">
        <f>IFERROR(VLOOKUP(B149,'May 26'!B:G,6,FALSE),0)</f>
        <v>0</v>
      </c>
      <c r="K149" s="11">
        <v>0</v>
      </c>
      <c r="L149" s="11">
        <f>G149-J149</f>
        <v>44750.18</v>
      </c>
    </row>
    <row r="150" spans="1:14" ht="16.5" thickTop="1" thickBot="1" x14ac:dyDescent="0.3">
      <c r="A150" s="5" t="s">
        <v>692</v>
      </c>
      <c r="B150" s="6">
        <v>90429</v>
      </c>
      <c r="C150" s="7" t="s">
        <v>23</v>
      </c>
      <c r="D150" s="39">
        <v>46170</v>
      </c>
      <c r="E150" s="39">
        <v>46202</v>
      </c>
      <c r="F150" s="39" t="s">
        <v>353</v>
      </c>
      <c r="G150" s="9">
        <v>17956.509999999998</v>
      </c>
      <c r="H150" s="10">
        <f>I150-G150</f>
        <v>17956.500000000004</v>
      </c>
      <c r="I150" s="11">
        <v>35913.01</v>
      </c>
      <c r="J150" s="11">
        <f>IFERROR(VLOOKUP(B150,'May 26'!B:G,6,FALSE),0)</f>
        <v>17956.509999999998</v>
      </c>
      <c r="K150" s="11"/>
      <c r="L150" s="11">
        <f>G150-J150</f>
        <v>0</v>
      </c>
      <c r="N150" s="79" t="str">
        <f>VLOOKUP(B150,[3]invoicing!$C:$AI,33,FALSE)</f>
        <v/>
      </c>
    </row>
    <row r="151" spans="1:14" ht="16.5" thickTop="1" thickBot="1" x14ac:dyDescent="0.3">
      <c r="A151" s="5" t="s">
        <v>688</v>
      </c>
      <c r="B151" s="6">
        <v>90882</v>
      </c>
      <c r="C151" s="7" t="s">
        <v>23</v>
      </c>
      <c r="D151" s="39">
        <v>46169</v>
      </c>
      <c r="E151" s="39">
        <v>46197</v>
      </c>
      <c r="F151" s="39" t="s">
        <v>353</v>
      </c>
      <c r="G151" s="9">
        <v>6981.39</v>
      </c>
      <c r="H151" s="10">
        <f>I151-G151</f>
        <v>6981.38</v>
      </c>
      <c r="I151" s="11">
        <v>13962.77</v>
      </c>
      <c r="J151" s="11">
        <f>IFERROR(VLOOKUP(B151,'May 26'!B:G,6,FALSE),0)</f>
        <v>6981.39</v>
      </c>
      <c r="K151" s="11"/>
      <c r="L151" s="11">
        <f>G151-J151</f>
        <v>0</v>
      </c>
      <c r="N151" s="79" t="str">
        <f>VLOOKUP(B151,[3]invoicing!$C:$AI,33,FALSE)</f>
        <v/>
      </c>
    </row>
    <row r="152" spans="1:14" ht="16.5" thickTop="1" thickBot="1" x14ac:dyDescent="0.3">
      <c r="A152" s="5" t="s">
        <v>734</v>
      </c>
      <c r="B152" s="6">
        <v>89582</v>
      </c>
      <c r="C152" s="7" t="s">
        <v>23</v>
      </c>
      <c r="D152" s="39">
        <v>46199</v>
      </c>
      <c r="E152" s="39" t="s">
        <v>13</v>
      </c>
      <c r="F152" s="39" t="s">
        <v>13</v>
      </c>
      <c r="G152" s="9">
        <v>17861.14</v>
      </c>
      <c r="H152" s="10">
        <f>I152-G152</f>
        <v>17861.64</v>
      </c>
      <c r="I152" s="11">
        <v>35722.78</v>
      </c>
      <c r="J152" s="11">
        <f>IFERROR(VLOOKUP(B152,'May 26'!B:G,6,FALSE),0)</f>
        <v>0</v>
      </c>
      <c r="K152" s="11">
        <v>0</v>
      </c>
      <c r="L152" s="11">
        <f>G152-J152</f>
        <v>17861.14</v>
      </c>
    </row>
    <row r="153" spans="1:14" ht="16.5" thickTop="1" thickBot="1" x14ac:dyDescent="0.3">
      <c r="A153" s="5" t="s">
        <v>259</v>
      </c>
      <c r="B153" s="81">
        <v>88810</v>
      </c>
      <c r="C153" s="82" t="s">
        <v>14</v>
      </c>
      <c r="D153" s="49">
        <v>46050</v>
      </c>
      <c r="E153" s="49">
        <v>46090</v>
      </c>
      <c r="F153" s="49">
        <v>46191</v>
      </c>
      <c r="G153" s="45">
        <v>0</v>
      </c>
      <c r="H153" s="10"/>
      <c r="I153" s="11"/>
      <c r="J153" s="11">
        <f>IFERROR(VLOOKUP(B153,'May 26'!B:G,6,FALSE),0)</f>
        <v>22507</v>
      </c>
      <c r="K153" s="11">
        <f>J153-G153</f>
        <v>22507</v>
      </c>
      <c r="L153" s="11" t="s">
        <v>613</v>
      </c>
      <c r="N153" s="79" t="str">
        <f>VLOOKUP(B153,[3]invoicing!$C:$AI,33,FALSE)</f>
        <v/>
      </c>
    </row>
    <row r="154" spans="1:14" ht="16.5" thickTop="1" thickBot="1" x14ac:dyDescent="0.3">
      <c r="A154" s="5" t="s">
        <v>99</v>
      </c>
      <c r="B154" s="6">
        <v>81910</v>
      </c>
      <c r="C154" s="7" t="s">
        <v>14</v>
      </c>
      <c r="D154" s="39">
        <v>45859</v>
      </c>
      <c r="E154" s="39">
        <v>46139</v>
      </c>
      <c r="F154" s="39" t="s">
        <v>577</v>
      </c>
      <c r="G154" s="9">
        <v>13876</v>
      </c>
      <c r="H154" s="10">
        <v>13875</v>
      </c>
      <c r="I154" s="11">
        <v>27751</v>
      </c>
      <c r="J154" s="11">
        <f>IFERROR(VLOOKUP(B154,'May 26'!B:G,6,FALSE),0)</f>
        <v>13876</v>
      </c>
      <c r="K154" s="11">
        <v>0</v>
      </c>
      <c r="L154" s="11">
        <f>G154-J154</f>
        <v>0</v>
      </c>
      <c r="N154" s="79" t="str">
        <f>VLOOKUP(B154,[3]invoicing!$C:$AI,33,FALSE)</f>
        <v/>
      </c>
    </row>
    <row r="155" spans="1:14" ht="16.5" thickTop="1" thickBot="1" x14ac:dyDescent="0.3">
      <c r="A155" s="5" t="s">
        <v>707</v>
      </c>
      <c r="B155" s="6">
        <v>90614</v>
      </c>
      <c r="C155" s="7" t="s">
        <v>21</v>
      </c>
      <c r="D155" s="39">
        <v>46181</v>
      </c>
      <c r="E155" s="39" t="s">
        <v>13</v>
      </c>
      <c r="F155" s="39" t="s">
        <v>13</v>
      </c>
      <c r="G155" s="9">
        <v>25740.36</v>
      </c>
      <c r="H155" s="10">
        <f>I155-G155</f>
        <v>25740.36</v>
      </c>
      <c r="I155" s="11">
        <v>51480.72</v>
      </c>
      <c r="J155" s="11">
        <f>IFERROR(VLOOKUP(B155,'May 26'!B:G,6,FALSE),0)</f>
        <v>0</v>
      </c>
      <c r="K155" s="11">
        <v>0</v>
      </c>
      <c r="L155" s="11">
        <f>G155-J155</f>
        <v>25740.36</v>
      </c>
      <c r="N155" s="79" t="str">
        <f>VLOOKUP(B155,[3]invoicing!$C:$AI,33,FALSE)</f>
        <v/>
      </c>
    </row>
    <row r="156" spans="1:14" ht="16.5" thickTop="1" thickBot="1" x14ac:dyDescent="0.3">
      <c r="A156" s="5" t="s">
        <v>624</v>
      </c>
      <c r="B156" s="6">
        <v>90268</v>
      </c>
      <c r="C156" s="7" t="s">
        <v>21</v>
      </c>
      <c r="D156" s="39">
        <v>46134</v>
      </c>
      <c r="E156" s="39">
        <v>46177</v>
      </c>
      <c r="F156" s="39" t="s">
        <v>577</v>
      </c>
      <c r="G156" s="9">
        <v>13185</v>
      </c>
      <c r="H156" s="10">
        <f>I156-G156</f>
        <v>13185.64</v>
      </c>
      <c r="I156" s="11">
        <v>26370.639999999999</v>
      </c>
      <c r="J156" s="11">
        <f>IFERROR(VLOOKUP(B156,'May 26'!B:G,6,FALSE),0)</f>
        <v>13185</v>
      </c>
      <c r="K156" s="11">
        <f>IF(G156=0,J156-G156,0)</f>
        <v>0</v>
      </c>
      <c r="L156" s="11">
        <f>G156-J156</f>
        <v>0</v>
      </c>
      <c r="N156" s="79" t="str">
        <f>VLOOKUP(B156,[3]invoicing!$C:$AI,33,FALSE)</f>
        <v/>
      </c>
    </row>
    <row r="157" spans="1:14" ht="16.5" thickTop="1" thickBot="1" x14ac:dyDescent="0.3">
      <c r="A157" s="5" t="s">
        <v>602</v>
      </c>
      <c r="B157" s="6">
        <v>90062</v>
      </c>
      <c r="C157" s="7" t="s">
        <v>21</v>
      </c>
      <c r="D157" s="39">
        <v>46125</v>
      </c>
      <c r="E157" s="39">
        <v>46148</v>
      </c>
      <c r="F157" s="39" t="s">
        <v>577</v>
      </c>
      <c r="G157" s="9">
        <v>9484</v>
      </c>
      <c r="H157" s="10">
        <f>I157-G157</f>
        <v>9483.59</v>
      </c>
      <c r="I157" s="11">
        <v>18967.59</v>
      </c>
      <c r="J157" s="11">
        <f>IFERROR(VLOOKUP(B157,'May 26'!B:G,6,FALSE),0)</f>
        <v>9484</v>
      </c>
      <c r="K157" s="11">
        <v>0</v>
      </c>
      <c r="L157" s="11">
        <f>G157-J157</f>
        <v>0</v>
      </c>
      <c r="N157" s="79" t="str">
        <f>VLOOKUP(B157,[3]invoicing!$C:$AI,33,FALSE)</f>
        <v/>
      </c>
    </row>
    <row r="158" spans="1:14" ht="16.5" thickTop="1" thickBot="1" x14ac:dyDescent="0.3">
      <c r="A158" s="5" t="s">
        <v>630</v>
      </c>
      <c r="B158" s="81">
        <v>90348</v>
      </c>
      <c r="C158" s="82" t="s">
        <v>255</v>
      </c>
      <c r="D158" s="49">
        <v>46136</v>
      </c>
      <c r="E158" s="49">
        <v>46157</v>
      </c>
      <c r="F158" s="49">
        <v>46192</v>
      </c>
      <c r="G158" s="45">
        <v>0</v>
      </c>
      <c r="H158" s="10"/>
      <c r="I158" s="11"/>
      <c r="J158" s="11">
        <f>IFERROR(VLOOKUP(B158,'May 26'!B:G,6,FALSE),0)</f>
        <v>10078</v>
      </c>
      <c r="K158" s="11">
        <f>J158-G158</f>
        <v>10078</v>
      </c>
      <c r="L158" s="11" t="s">
        <v>613</v>
      </c>
      <c r="N158" s="79" t="str">
        <f>VLOOKUP(B158,[3]invoicing!$C:$AI,33,FALSE)</f>
        <v/>
      </c>
    </row>
    <row r="159" spans="1:14" ht="16.5" thickTop="1" thickBot="1" x14ac:dyDescent="0.3">
      <c r="A159" s="5" t="s">
        <v>672</v>
      </c>
      <c r="B159" s="6">
        <v>90293</v>
      </c>
      <c r="C159" s="7" t="s">
        <v>44</v>
      </c>
      <c r="D159" s="39">
        <v>46160</v>
      </c>
      <c r="E159" s="39" t="s">
        <v>13</v>
      </c>
      <c r="F159" s="39" t="s">
        <v>13</v>
      </c>
      <c r="G159" s="9">
        <v>17650.97</v>
      </c>
      <c r="H159" s="10">
        <f>I159-G159</f>
        <v>17650.96</v>
      </c>
      <c r="I159" s="11">
        <v>35301.93</v>
      </c>
      <c r="J159" s="11">
        <f>IFERROR(VLOOKUP(B159,'May 26'!B:G,6,FALSE),0)</f>
        <v>17650.97</v>
      </c>
      <c r="K159" s="11"/>
      <c r="L159" s="11">
        <f>G159-J159</f>
        <v>0</v>
      </c>
      <c r="N159" s="79" t="str">
        <f>VLOOKUP(B159,[3]invoicing!$C:$AI,33,FALSE)</f>
        <v/>
      </c>
    </row>
    <row r="160" spans="1:14" ht="16.5" thickTop="1" thickBot="1" x14ac:dyDescent="0.3">
      <c r="A160" s="5" t="s">
        <v>706</v>
      </c>
      <c r="B160" s="6">
        <v>90085</v>
      </c>
      <c r="C160" s="7" t="s">
        <v>57</v>
      </c>
      <c r="D160" s="39">
        <v>46178</v>
      </c>
      <c r="E160" s="39">
        <v>46202</v>
      </c>
      <c r="F160" s="39" t="s">
        <v>353</v>
      </c>
      <c r="G160" s="9">
        <v>29088.5</v>
      </c>
      <c r="H160" s="10">
        <f>I160-G160</f>
        <v>29088.5</v>
      </c>
      <c r="I160" s="11">
        <v>58177</v>
      </c>
      <c r="J160" s="11">
        <f>IFERROR(VLOOKUP(B160,'May 26'!B:G,6,FALSE),0)</f>
        <v>0</v>
      </c>
      <c r="K160" s="11">
        <v>0</v>
      </c>
      <c r="L160" s="11">
        <f>G160-J160</f>
        <v>29088.5</v>
      </c>
      <c r="N160" s="79" t="str">
        <f>VLOOKUP(B160,[3]invoicing!$C:$AI,33,FALSE)</f>
        <v/>
      </c>
    </row>
    <row r="161" spans="1:14" ht="16.5" thickTop="1" thickBot="1" x14ac:dyDescent="0.3">
      <c r="A161" s="5" t="s">
        <v>644</v>
      </c>
      <c r="B161" s="81">
        <v>90446</v>
      </c>
      <c r="C161" s="82" t="s">
        <v>28</v>
      </c>
      <c r="D161" s="49">
        <v>46143</v>
      </c>
      <c r="E161" s="49">
        <v>46169</v>
      </c>
      <c r="F161" s="49">
        <v>46196</v>
      </c>
      <c r="G161" s="45">
        <v>0</v>
      </c>
      <c r="H161" s="10"/>
      <c r="I161" s="11"/>
      <c r="J161" s="11">
        <f>IFERROR(VLOOKUP(B161,'May 26'!B:G,6,FALSE),0)</f>
        <v>24255</v>
      </c>
      <c r="K161" s="11">
        <f>J161-G161</f>
        <v>24255</v>
      </c>
      <c r="L161" s="11" t="s">
        <v>613</v>
      </c>
      <c r="N161" s="79" t="str">
        <f>VLOOKUP(B161,[3]invoicing!$C:$AI,33,FALSE)</f>
        <v/>
      </c>
    </row>
    <row r="162" spans="1:14" ht="16.5" thickTop="1" thickBot="1" x14ac:dyDescent="0.3">
      <c r="A162" s="5" t="s">
        <v>700</v>
      </c>
      <c r="B162" s="6">
        <v>89458</v>
      </c>
      <c r="C162" s="7" t="s">
        <v>20</v>
      </c>
      <c r="D162" s="39">
        <v>46175</v>
      </c>
      <c r="E162" s="39" t="s">
        <v>13</v>
      </c>
      <c r="F162" s="39" t="s">
        <v>13</v>
      </c>
      <c r="G162" s="9">
        <v>1733.61</v>
      </c>
      <c r="H162" s="10">
        <f>I162-G162</f>
        <v>1576.39</v>
      </c>
      <c r="I162" s="11">
        <v>3310</v>
      </c>
      <c r="J162" s="11">
        <f>IFERROR(VLOOKUP(B162,'May 26'!B:G,6,FALSE),0)</f>
        <v>0</v>
      </c>
      <c r="K162" s="11">
        <v>0</v>
      </c>
      <c r="L162" s="11">
        <f t="shared" ref="L162:L167" si="14">G162-J162</f>
        <v>1733.61</v>
      </c>
      <c r="N162" s="79" t="str">
        <f>VLOOKUP(B162,[3]invoicing!$C:$AI,33,FALSE)</f>
        <v/>
      </c>
    </row>
    <row r="163" spans="1:14" ht="16.5" thickTop="1" thickBot="1" x14ac:dyDescent="0.3">
      <c r="A163" s="5" t="s">
        <v>703</v>
      </c>
      <c r="B163" s="6">
        <v>91143</v>
      </c>
      <c r="C163" s="7" t="s">
        <v>21</v>
      </c>
      <c r="D163" s="39">
        <v>46177</v>
      </c>
      <c r="E163" s="39" t="s">
        <v>13</v>
      </c>
      <c r="F163" s="39" t="s">
        <v>13</v>
      </c>
      <c r="G163" s="9">
        <v>4894.76</v>
      </c>
      <c r="H163" s="10">
        <f>I163-G163</f>
        <v>4894.75</v>
      </c>
      <c r="I163" s="11">
        <v>9789.51</v>
      </c>
      <c r="J163" s="11">
        <f>IFERROR(VLOOKUP(B163,'May 26'!B:G,6,FALSE),0)</f>
        <v>0</v>
      </c>
      <c r="K163" s="11">
        <v>0</v>
      </c>
      <c r="L163" s="11">
        <f t="shared" si="14"/>
        <v>4894.76</v>
      </c>
      <c r="N163" s="79" t="str">
        <f>VLOOKUP(B163,[3]invoicing!$C:$AI,33,FALSE)</f>
        <v/>
      </c>
    </row>
    <row r="164" spans="1:14" ht="16.5" thickTop="1" thickBot="1" x14ac:dyDescent="0.3">
      <c r="A164" s="80" t="s">
        <v>573</v>
      </c>
      <c r="B164" s="6">
        <v>88415</v>
      </c>
      <c r="C164" s="7" t="s">
        <v>62</v>
      </c>
      <c r="D164" s="39">
        <v>46112</v>
      </c>
      <c r="E164" s="39">
        <v>46147</v>
      </c>
      <c r="F164" s="39" t="s">
        <v>351</v>
      </c>
      <c r="G164" s="45">
        <v>131482</v>
      </c>
      <c r="H164" s="10">
        <v>0</v>
      </c>
      <c r="I164" s="11">
        <v>131482</v>
      </c>
      <c r="J164" s="11">
        <f>IFERROR(VLOOKUP(B164,'May 26'!B:G,6,FALSE),0)</f>
        <v>64984</v>
      </c>
      <c r="K164" s="11">
        <v>0</v>
      </c>
      <c r="L164" s="11">
        <f t="shared" si="14"/>
        <v>66498</v>
      </c>
    </row>
    <row r="165" spans="1:14" ht="16.5" thickTop="1" thickBot="1" x14ac:dyDescent="0.3">
      <c r="A165" s="5" t="s">
        <v>500</v>
      </c>
      <c r="B165" s="6">
        <v>88490</v>
      </c>
      <c r="C165" s="7" t="s">
        <v>19</v>
      </c>
      <c r="D165" s="39">
        <v>46099</v>
      </c>
      <c r="E165" s="39">
        <v>46169</v>
      </c>
      <c r="F165" s="39" t="s">
        <v>577</v>
      </c>
      <c r="G165" s="9">
        <v>21569</v>
      </c>
      <c r="H165" s="10">
        <v>21569</v>
      </c>
      <c r="I165" s="11">
        <v>43138</v>
      </c>
      <c r="J165" s="11">
        <f>IFERROR(VLOOKUP(B165,'May 26'!B:G,6,FALSE),0)</f>
        <v>21569</v>
      </c>
      <c r="K165" s="11">
        <v>0</v>
      </c>
      <c r="L165" s="11">
        <f t="shared" si="14"/>
        <v>0</v>
      </c>
      <c r="N165" s="79" t="str">
        <f>VLOOKUP(B165,[3]invoicing!$C:$AI,33,FALSE)</f>
        <v/>
      </c>
    </row>
    <row r="166" spans="1:14" ht="16.5" thickTop="1" thickBot="1" x14ac:dyDescent="0.3">
      <c r="A166" s="5" t="s">
        <v>149</v>
      </c>
      <c r="B166" s="6">
        <v>87713</v>
      </c>
      <c r="C166" s="7" t="s">
        <v>31</v>
      </c>
      <c r="D166" s="39">
        <v>45960</v>
      </c>
      <c r="E166" s="39">
        <v>46168</v>
      </c>
      <c r="F166" s="39" t="s">
        <v>350</v>
      </c>
      <c r="G166" s="9">
        <v>192821</v>
      </c>
      <c r="H166" s="10">
        <v>192821</v>
      </c>
      <c r="I166" s="11">
        <v>385642</v>
      </c>
      <c r="J166" s="11">
        <f>IFERROR(VLOOKUP(B166,'May 26'!B:G,6,FALSE),0)</f>
        <v>192821</v>
      </c>
      <c r="K166" s="11">
        <v>0</v>
      </c>
      <c r="L166" s="11">
        <f t="shared" si="14"/>
        <v>0</v>
      </c>
      <c r="N166" s="79" t="str">
        <f>VLOOKUP(B166,[3]invoicing!$C:$AI,33,FALSE)</f>
        <v/>
      </c>
    </row>
    <row r="167" spans="1:14" ht="16.5" thickTop="1" thickBot="1" x14ac:dyDescent="0.3">
      <c r="A167" s="5" t="s">
        <v>150</v>
      </c>
      <c r="B167" s="6">
        <v>87716</v>
      </c>
      <c r="C167" s="7" t="s">
        <v>31</v>
      </c>
      <c r="D167" s="39">
        <v>45960</v>
      </c>
      <c r="E167" s="39">
        <v>46177</v>
      </c>
      <c r="F167" s="39" t="s">
        <v>350</v>
      </c>
      <c r="G167" s="9">
        <v>94522</v>
      </c>
      <c r="H167" s="10">
        <v>94521</v>
      </c>
      <c r="I167" s="11">
        <v>189043</v>
      </c>
      <c r="J167" s="11">
        <f>IFERROR(VLOOKUP(B167,'May 26'!B:G,6,FALSE),0)</f>
        <v>94522</v>
      </c>
      <c r="K167" s="11">
        <v>0</v>
      </c>
      <c r="L167" s="11">
        <f t="shared" si="14"/>
        <v>0</v>
      </c>
      <c r="N167" s="79" t="str">
        <f>VLOOKUP(B167,[3]invoicing!$C:$AI,33,FALSE)</f>
        <v/>
      </c>
    </row>
    <row r="168" spans="1:14" ht="16.5" thickTop="1" thickBot="1" x14ac:dyDescent="0.3">
      <c r="A168" s="5" t="s">
        <v>377</v>
      </c>
      <c r="B168" s="81">
        <v>88750</v>
      </c>
      <c r="C168" s="82" t="s">
        <v>62</v>
      </c>
      <c r="D168" s="49">
        <v>46093</v>
      </c>
      <c r="E168" s="49">
        <v>46149</v>
      </c>
      <c r="F168" s="49">
        <v>46203</v>
      </c>
      <c r="G168" s="45">
        <v>0</v>
      </c>
      <c r="H168" s="10"/>
      <c r="I168" s="11"/>
      <c r="J168" s="11">
        <f>IFERROR(VLOOKUP(B168,'May 26'!B:G,6,FALSE),0)</f>
        <v>44798</v>
      </c>
      <c r="K168" s="11">
        <f>J168-G168</f>
        <v>44798</v>
      </c>
      <c r="L168" s="11" t="s">
        <v>613</v>
      </c>
    </row>
    <row r="169" spans="1:14" ht="16.5" thickTop="1" thickBot="1" x14ac:dyDescent="0.3">
      <c r="A169" s="5" t="s">
        <v>571</v>
      </c>
      <c r="B169" s="81">
        <v>89472</v>
      </c>
      <c r="C169" s="82" t="s">
        <v>572</v>
      </c>
      <c r="D169" s="49">
        <v>46111</v>
      </c>
      <c r="E169" s="49">
        <v>46147</v>
      </c>
      <c r="F169" s="49">
        <v>46197</v>
      </c>
      <c r="G169" s="45">
        <v>0</v>
      </c>
      <c r="H169" s="10"/>
      <c r="I169" s="11"/>
      <c r="J169" s="11">
        <f>IFERROR(VLOOKUP(B169,'May 26'!B:G,6,FALSE),0)</f>
        <v>58315.5</v>
      </c>
      <c r="K169" s="11">
        <f>J169-G169</f>
        <v>58315.5</v>
      </c>
      <c r="L169" s="11" t="s">
        <v>613</v>
      </c>
    </row>
    <row r="170" spans="1:14" ht="16.5" thickTop="1" thickBot="1" x14ac:dyDescent="0.3">
      <c r="A170" s="5" t="s">
        <v>171</v>
      </c>
      <c r="B170" s="6">
        <v>87145</v>
      </c>
      <c r="C170" s="7" t="s">
        <v>23</v>
      </c>
      <c r="D170" s="39">
        <v>45982</v>
      </c>
      <c r="E170" s="39">
        <v>46153</v>
      </c>
      <c r="F170" s="39" t="s">
        <v>351</v>
      </c>
      <c r="G170" s="9">
        <v>100990</v>
      </c>
      <c r="H170" s="10">
        <v>100990</v>
      </c>
      <c r="I170" s="11">
        <v>201980</v>
      </c>
      <c r="J170" s="11">
        <f>IFERROR(VLOOKUP(B170,'May 26'!B:G,6,FALSE),0)</f>
        <v>100990</v>
      </c>
      <c r="K170" s="11">
        <v>0</v>
      </c>
      <c r="L170" s="11">
        <f t="shared" ref="L170:L175" si="15">G170-J170</f>
        <v>0</v>
      </c>
    </row>
    <row r="171" spans="1:14" ht="16.5" thickTop="1" thickBot="1" x14ac:dyDescent="0.3">
      <c r="A171" s="5" t="s">
        <v>376</v>
      </c>
      <c r="B171" s="6">
        <v>87907</v>
      </c>
      <c r="C171" s="7" t="s">
        <v>20</v>
      </c>
      <c r="D171" s="39">
        <v>46093</v>
      </c>
      <c r="E171" s="39">
        <v>46163</v>
      </c>
      <c r="F171" s="39" t="s">
        <v>577</v>
      </c>
      <c r="G171" s="9">
        <v>10418</v>
      </c>
      <c r="H171" s="10">
        <v>10418</v>
      </c>
      <c r="I171" s="11">
        <v>20836</v>
      </c>
      <c r="J171" s="11">
        <f>IFERROR(VLOOKUP(B171,'May 26'!B:G,6,FALSE),0)</f>
        <v>10418</v>
      </c>
      <c r="K171" s="11">
        <v>0</v>
      </c>
      <c r="L171" s="11">
        <f t="shared" si="15"/>
        <v>0</v>
      </c>
      <c r="N171" s="79" t="str">
        <f>VLOOKUP(B171,[3]invoicing!$C:$AI,33,FALSE)</f>
        <v/>
      </c>
    </row>
    <row r="172" spans="1:14" ht="16.5" thickTop="1" thickBot="1" x14ac:dyDescent="0.3">
      <c r="A172" s="5" t="s">
        <v>728</v>
      </c>
      <c r="B172" s="6" t="s">
        <v>738</v>
      </c>
      <c r="C172" s="7" t="s">
        <v>11</v>
      </c>
      <c r="D172" s="39">
        <v>46195</v>
      </c>
      <c r="E172" s="39" t="s">
        <v>13</v>
      </c>
      <c r="F172" s="39" t="s">
        <v>13</v>
      </c>
      <c r="G172" s="9">
        <v>25293.599999999999</v>
      </c>
      <c r="H172" s="10">
        <f>I172-G172</f>
        <v>25804.58</v>
      </c>
      <c r="I172" s="11">
        <v>51098.18</v>
      </c>
      <c r="J172" s="11">
        <f>IFERROR(VLOOKUP(B172,'May 26'!B:G,6,FALSE),0)</f>
        <v>0</v>
      </c>
      <c r="K172" s="11">
        <v>0</v>
      </c>
      <c r="L172" s="11">
        <f t="shared" si="15"/>
        <v>25293.599999999999</v>
      </c>
    </row>
    <row r="173" spans="1:14" ht="16.5" thickTop="1" thickBot="1" x14ac:dyDescent="0.3">
      <c r="A173" s="5" t="s">
        <v>124</v>
      </c>
      <c r="B173" s="6">
        <v>87412</v>
      </c>
      <c r="C173" s="7" t="s">
        <v>23</v>
      </c>
      <c r="D173" s="39">
        <v>45926</v>
      </c>
      <c r="E173" s="39">
        <v>46070</v>
      </c>
      <c r="F173" s="39" t="s">
        <v>577</v>
      </c>
      <c r="G173" s="9">
        <v>56417.91</v>
      </c>
      <c r="H173" s="10">
        <v>56668.09</v>
      </c>
      <c r="I173" s="11">
        <v>113086</v>
      </c>
      <c r="J173" s="11">
        <f>IFERROR(VLOOKUP(B173,'May 26'!B:G,6,FALSE),0)</f>
        <v>56417.91</v>
      </c>
      <c r="K173" s="11">
        <v>0</v>
      </c>
      <c r="L173" s="11">
        <f t="shared" si="15"/>
        <v>0</v>
      </c>
    </row>
    <row r="174" spans="1:14" ht="16.5" thickTop="1" thickBot="1" x14ac:dyDescent="0.3">
      <c r="A174" s="5" t="s">
        <v>357</v>
      </c>
      <c r="B174" s="6">
        <v>88948</v>
      </c>
      <c r="C174" s="7" t="s">
        <v>23</v>
      </c>
      <c r="D174" s="39">
        <v>46084</v>
      </c>
      <c r="E174" s="39">
        <v>46164</v>
      </c>
      <c r="F174" s="39" t="s">
        <v>744</v>
      </c>
      <c r="G174" s="9">
        <v>55860.75</v>
      </c>
      <c r="H174" s="10">
        <v>56989.25</v>
      </c>
      <c r="I174" s="11">
        <v>113951</v>
      </c>
      <c r="J174" s="11">
        <f>IFERROR(VLOOKUP(B174,'May 26'!B:G,6,FALSE),0)</f>
        <v>55860.75</v>
      </c>
      <c r="K174" s="11">
        <v>0</v>
      </c>
      <c r="L174" s="11">
        <f t="shared" si="15"/>
        <v>0</v>
      </c>
    </row>
    <row r="175" spans="1:14" ht="16.5" thickTop="1" thickBot="1" x14ac:dyDescent="0.3">
      <c r="A175" s="5" t="s">
        <v>689</v>
      </c>
      <c r="B175" s="6">
        <v>88063</v>
      </c>
      <c r="C175" s="7" t="s">
        <v>23</v>
      </c>
      <c r="D175" s="39">
        <v>46169</v>
      </c>
      <c r="E175" s="39" t="s">
        <v>13</v>
      </c>
      <c r="F175" s="39" t="s">
        <v>13</v>
      </c>
      <c r="G175" s="9">
        <v>11338.47</v>
      </c>
      <c r="H175" s="10">
        <f>I175-G175</f>
        <v>11567.53</v>
      </c>
      <c r="I175" s="11">
        <v>22906</v>
      </c>
      <c r="J175" s="11">
        <f>IFERROR(VLOOKUP(B175,'May 26'!B:G,6,FALSE),0)</f>
        <v>11338.47</v>
      </c>
      <c r="K175" s="11"/>
      <c r="L175" s="11">
        <f t="shared" si="15"/>
        <v>0</v>
      </c>
      <c r="N175" s="79" t="str">
        <f>VLOOKUP(B175,[3]invoicing!$C:$AI,33,FALSE)</f>
        <v/>
      </c>
    </row>
    <row r="176" spans="1:14" ht="16.5" thickTop="1" thickBot="1" x14ac:dyDescent="0.3">
      <c r="A176" s="5" t="s">
        <v>621</v>
      </c>
      <c r="B176" s="81">
        <v>90227</v>
      </c>
      <c r="C176" s="82" t="s">
        <v>23</v>
      </c>
      <c r="D176" s="49">
        <v>46139</v>
      </c>
      <c r="E176" s="49">
        <v>46155</v>
      </c>
      <c r="F176" s="49">
        <v>46203</v>
      </c>
      <c r="G176" s="45">
        <v>0</v>
      </c>
      <c r="H176" s="10"/>
      <c r="I176" s="11"/>
      <c r="J176" s="11">
        <f>IFERROR(VLOOKUP(B176,'May 26'!B:G,6,FALSE),0)</f>
        <v>9372.7000000000007</v>
      </c>
      <c r="K176" s="11">
        <f>J176-G176</f>
        <v>9372.7000000000007</v>
      </c>
      <c r="L176" s="11" t="s">
        <v>613</v>
      </c>
      <c r="N176" s="79" t="str">
        <f>VLOOKUP(B176,[3]invoicing!$C:$AI,33,FALSE)</f>
        <v/>
      </c>
    </row>
    <row r="177" spans="1:14" ht="16.5" thickTop="1" thickBot="1" x14ac:dyDescent="0.3">
      <c r="A177" s="5" t="s">
        <v>726</v>
      </c>
      <c r="B177" s="6">
        <v>91019</v>
      </c>
      <c r="C177" s="7" t="s">
        <v>23</v>
      </c>
      <c r="D177" s="39">
        <v>46189</v>
      </c>
      <c r="E177" s="39">
        <v>46199</v>
      </c>
      <c r="F177" s="39" t="s">
        <v>353</v>
      </c>
      <c r="G177" s="9">
        <v>983.66</v>
      </c>
      <c r="H177" s="10">
        <f>I177-G177</f>
        <v>1003.5400000000001</v>
      </c>
      <c r="I177" s="11">
        <v>1987.2</v>
      </c>
      <c r="J177" s="11">
        <f>IFERROR(VLOOKUP(B177,'May 26'!B:G,6,FALSE),0)</f>
        <v>0</v>
      </c>
      <c r="K177" s="11">
        <v>0</v>
      </c>
      <c r="L177" s="11">
        <f>G177-J177</f>
        <v>983.66</v>
      </c>
    </row>
    <row r="178" spans="1:14" ht="16.5" thickTop="1" thickBot="1" x14ac:dyDescent="0.3">
      <c r="A178" s="5" t="s">
        <v>704</v>
      </c>
      <c r="B178" s="6">
        <v>89594</v>
      </c>
      <c r="C178" s="7" t="s">
        <v>23</v>
      </c>
      <c r="D178" s="39">
        <v>46177</v>
      </c>
      <c r="E178" s="39">
        <v>46191</v>
      </c>
      <c r="F178" s="39" t="s">
        <v>643</v>
      </c>
      <c r="G178" s="9">
        <v>9365.4</v>
      </c>
      <c r="H178" s="10">
        <f>I178-G178</f>
        <v>9554.6</v>
      </c>
      <c r="I178" s="11">
        <v>18920</v>
      </c>
      <c r="J178" s="11">
        <f>IFERROR(VLOOKUP(B178,'May 26'!B:G,6,FALSE),0)</f>
        <v>0</v>
      </c>
      <c r="K178" s="11">
        <v>0</v>
      </c>
      <c r="L178" s="11">
        <f>G178-J178</f>
        <v>9365.4</v>
      </c>
      <c r="N178" s="79" t="str">
        <f>VLOOKUP(B178,[3]invoicing!$C:$AI,33,FALSE)</f>
        <v/>
      </c>
    </row>
    <row r="179" spans="1:14" ht="16.5" thickTop="1" thickBot="1" x14ac:dyDescent="0.3">
      <c r="A179" s="5" t="s">
        <v>677</v>
      </c>
      <c r="B179" s="6">
        <v>90742</v>
      </c>
      <c r="C179" s="7" t="s">
        <v>23</v>
      </c>
      <c r="D179" s="39">
        <v>46163</v>
      </c>
      <c r="E179" s="39">
        <v>46184</v>
      </c>
      <c r="F179" s="39" t="s">
        <v>351</v>
      </c>
      <c r="G179" s="9">
        <v>4275.6099999999997</v>
      </c>
      <c r="H179" s="10">
        <f>I179-G179</f>
        <v>4275.6099999999997</v>
      </c>
      <c r="I179" s="11">
        <v>8551.2199999999993</v>
      </c>
      <c r="J179" s="11">
        <f>IFERROR(VLOOKUP(B179,'May 26'!B:G,6,FALSE),0)</f>
        <v>4275.6099999999997</v>
      </c>
      <c r="K179" s="11"/>
      <c r="L179" s="11">
        <f>G179-J179</f>
        <v>0</v>
      </c>
      <c r="N179" s="79" t="str">
        <f>VLOOKUP(B179,[3]invoicing!$C:$AI,33,FALSE)</f>
        <v/>
      </c>
    </row>
    <row r="180" spans="1:14" ht="16.5" thickTop="1" thickBot="1" x14ac:dyDescent="0.3">
      <c r="A180" s="5" t="s">
        <v>731</v>
      </c>
      <c r="B180" s="6">
        <v>90567</v>
      </c>
      <c r="C180" s="7" t="s">
        <v>23</v>
      </c>
      <c r="D180" s="39">
        <v>46198</v>
      </c>
      <c r="E180" s="39" t="s">
        <v>13</v>
      </c>
      <c r="F180" s="39" t="s">
        <v>13</v>
      </c>
      <c r="G180" s="9">
        <v>7410.8</v>
      </c>
      <c r="H180" s="10">
        <f>I180-G180</f>
        <v>7410.8</v>
      </c>
      <c r="I180" s="11">
        <v>14821.6</v>
      </c>
      <c r="J180" s="11">
        <f>IFERROR(VLOOKUP(B180,'May 26'!B:G,6,FALSE),0)</f>
        <v>0</v>
      </c>
      <c r="K180" s="11">
        <v>0</v>
      </c>
      <c r="L180" s="11">
        <f>G180-J180</f>
        <v>7410.8</v>
      </c>
    </row>
    <row r="181" spans="1:14" ht="16.5" thickTop="1" thickBot="1" x14ac:dyDescent="0.3">
      <c r="A181" s="5" t="s">
        <v>683</v>
      </c>
      <c r="B181" s="6">
        <v>90741</v>
      </c>
      <c r="C181" s="7" t="s">
        <v>23</v>
      </c>
      <c r="D181" s="39">
        <v>46168</v>
      </c>
      <c r="E181" s="39" t="s">
        <v>13</v>
      </c>
      <c r="F181" s="39" t="s">
        <v>13</v>
      </c>
      <c r="G181" s="9">
        <v>15437.15</v>
      </c>
      <c r="H181" s="10">
        <f>I181-G181</f>
        <v>15749.000000000002</v>
      </c>
      <c r="I181" s="11">
        <v>31186.15</v>
      </c>
      <c r="J181" s="11">
        <f>IFERROR(VLOOKUP(B181,'May 26'!B:G,6,FALSE),0)</f>
        <v>15437.15</v>
      </c>
      <c r="K181" s="11"/>
      <c r="L181" s="11">
        <f>G181-J181</f>
        <v>0</v>
      </c>
      <c r="N181" s="79" t="str">
        <f>VLOOKUP(B181,[3]invoicing!$C:$AI,33,FALSE)</f>
        <v/>
      </c>
    </row>
    <row r="182" spans="1:14" ht="16.5" thickTop="1" thickBot="1" x14ac:dyDescent="0.3">
      <c r="A182" s="5" t="s">
        <v>607</v>
      </c>
      <c r="B182" s="81">
        <v>89641</v>
      </c>
      <c r="C182" s="82" t="s">
        <v>57</v>
      </c>
      <c r="D182" s="49">
        <v>46113</v>
      </c>
      <c r="E182" s="49">
        <v>46147</v>
      </c>
      <c r="F182" s="49">
        <v>46190</v>
      </c>
      <c r="G182" s="45">
        <v>0</v>
      </c>
      <c r="H182" s="10"/>
      <c r="I182" s="11"/>
      <c r="J182" s="11">
        <f>IFERROR(VLOOKUP(B182,'May 26'!B:G,6,FALSE),0)</f>
        <v>15548</v>
      </c>
      <c r="K182" s="11">
        <f>J182-G182</f>
        <v>15548</v>
      </c>
      <c r="L182" s="11" t="s">
        <v>613</v>
      </c>
      <c r="N182" s="79" t="str">
        <f>VLOOKUP(B182,[3]invoicing!$C:$AI,33,FALSE)</f>
        <v/>
      </c>
    </row>
    <row r="183" spans="1:14" ht="16.5" thickTop="1" thickBot="1" x14ac:dyDescent="0.3">
      <c r="A183" s="5" t="s">
        <v>331</v>
      </c>
      <c r="B183" s="6">
        <v>89367</v>
      </c>
      <c r="C183" s="7" t="s">
        <v>57</v>
      </c>
      <c r="D183" s="39">
        <v>46076</v>
      </c>
      <c r="E183" s="39">
        <v>46155</v>
      </c>
      <c r="F183" s="39" t="s">
        <v>350</v>
      </c>
      <c r="G183" s="9">
        <v>105339.96</v>
      </c>
      <c r="H183" s="10">
        <v>107468.04</v>
      </c>
      <c r="I183" s="11">
        <v>212808</v>
      </c>
      <c r="J183" s="11">
        <f>IFERROR(VLOOKUP(B183,'May 26'!B:G,6,FALSE),0)</f>
        <v>105339.96</v>
      </c>
      <c r="K183" s="11">
        <v>0</v>
      </c>
      <c r="L183" s="11">
        <f>G183-J183</f>
        <v>0</v>
      </c>
      <c r="N183" s="79" t="str">
        <f>VLOOKUP(B183,[3]invoicing!$C:$AI,33,FALSE)</f>
        <v/>
      </c>
    </row>
    <row r="184" spans="1:14" ht="16.5" thickTop="1" thickBot="1" x14ac:dyDescent="0.3">
      <c r="A184" s="5" t="s">
        <v>714</v>
      </c>
      <c r="B184" s="6">
        <v>86062</v>
      </c>
      <c r="C184" s="7" t="s">
        <v>32</v>
      </c>
      <c r="D184" s="39">
        <v>46181</v>
      </c>
      <c r="E184" s="39" t="s">
        <v>13</v>
      </c>
      <c r="F184" s="39" t="s">
        <v>13</v>
      </c>
      <c r="G184" s="9">
        <v>11413.71</v>
      </c>
      <c r="H184" s="10">
        <f>I184-G184</f>
        <v>11644.29</v>
      </c>
      <c r="I184" s="11">
        <v>23058</v>
      </c>
      <c r="J184" s="11">
        <f>IFERROR(VLOOKUP(B184,'May 26'!B:G,6,FALSE),0)</f>
        <v>0</v>
      </c>
      <c r="K184" s="11">
        <v>0</v>
      </c>
      <c r="L184" s="11" t="s">
        <v>613</v>
      </c>
      <c r="N184" s="79" t="str">
        <f>VLOOKUP(B184,[3]invoicing!$C:$AI,33,FALSE)</f>
        <v/>
      </c>
    </row>
    <row r="185" spans="1:14" ht="16.5" thickTop="1" thickBot="1" x14ac:dyDescent="0.3">
      <c r="A185" s="5" t="s">
        <v>109</v>
      </c>
      <c r="B185" s="6">
        <v>86334</v>
      </c>
      <c r="C185" s="7" t="s">
        <v>23</v>
      </c>
      <c r="D185" s="39">
        <v>45890</v>
      </c>
      <c r="E185" s="39" t="s">
        <v>13</v>
      </c>
      <c r="F185" s="39" t="s">
        <v>13</v>
      </c>
      <c r="G185" s="9">
        <v>5093.55</v>
      </c>
      <c r="H185" s="10">
        <v>5195.45</v>
      </c>
      <c r="I185" s="11">
        <v>10289</v>
      </c>
      <c r="J185" s="11">
        <f>IFERROR(VLOOKUP(B185,'May 26'!B:G,6,FALSE),0)</f>
        <v>5093.55</v>
      </c>
      <c r="K185" s="11">
        <v>0</v>
      </c>
      <c r="L185" s="11">
        <f>G185-J185</f>
        <v>0</v>
      </c>
      <c r="N185" s="79" t="str">
        <f>VLOOKUP(B185,[3]invoicing!$C:$AI,33,FALSE)</f>
        <v/>
      </c>
    </row>
    <row r="186" spans="1:14" ht="16.5" thickTop="1" thickBot="1" x14ac:dyDescent="0.3">
      <c r="A186" s="5" t="s">
        <v>474</v>
      </c>
      <c r="B186" s="81">
        <v>89609</v>
      </c>
      <c r="C186" s="82" t="s">
        <v>20</v>
      </c>
      <c r="D186" s="49">
        <v>46094</v>
      </c>
      <c r="E186" s="49">
        <v>46114</v>
      </c>
      <c r="F186" s="49">
        <v>46184</v>
      </c>
      <c r="G186" s="45">
        <v>0</v>
      </c>
      <c r="H186" s="10"/>
      <c r="I186" s="11"/>
      <c r="J186" s="11">
        <f>IFERROR(VLOOKUP(B186,'May 26'!B:G,6,FALSE),0)</f>
        <v>6258.05</v>
      </c>
      <c r="K186" s="11">
        <f>J186-G186</f>
        <v>6258.05</v>
      </c>
      <c r="L186" s="11" t="s">
        <v>613</v>
      </c>
      <c r="N186" s="79" t="str">
        <f>VLOOKUP(B186,[3]invoicing!$C:$AI,33,FALSE)</f>
        <v/>
      </c>
    </row>
    <row r="187" spans="1:14" ht="16.5" thickTop="1" thickBot="1" x14ac:dyDescent="0.3">
      <c r="A187" s="5" t="s">
        <v>341</v>
      </c>
      <c r="B187" s="6">
        <v>87599</v>
      </c>
      <c r="C187" s="7" t="s">
        <v>27</v>
      </c>
      <c r="D187" s="39">
        <v>46080</v>
      </c>
      <c r="E187" s="39" t="s">
        <v>13</v>
      </c>
      <c r="F187" s="39" t="s">
        <v>13</v>
      </c>
      <c r="G187" s="9">
        <v>51424.45</v>
      </c>
      <c r="H187" s="10">
        <v>73834.55</v>
      </c>
      <c r="I187" s="11">
        <v>125259</v>
      </c>
      <c r="J187" s="11">
        <f>IFERROR(VLOOKUP(B187,'May 26'!B:G,6,FALSE),0)</f>
        <v>51424.45</v>
      </c>
      <c r="K187" s="11">
        <v>0</v>
      </c>
      <c r="L187" s="11">
        <f t="shared" ref="L187:L200" si="16">G187-J187</f>
        <v>0</v>
      </c>
    </row>
    <row r="188" spans="1:14" ht="16.5" thickTop="1" thickBot="1" x14ac:dyDescent="0.3">
      <c r="A188" s="5" t="s">
        <v>721</v>
      </c>
      <c r="B188" s="6">
        <v>87059</v>
      </c>
      <c r="C188" s="7" t="s">
        <v>14</v>
      </c>
      <c r="D188" s="39">
        <v>46188</v>
      </c>
      <c r="E188" s="39" t="s">
        <v>13</v>
      </c>
      <c r="F188" s="39" t="s">
        <v>13</v>
      </c>
      <c r="G188" s="9">
        <v>25737</v>
      </c>
      <c r="H188" s="10">
        <f>I188-G188</f>
        <v>25737</v>
      </c>
      <c r="I188" s="11">
        <v>51474</v>
      </c>
      <c r="J188" s="11">
        <f>IFERROR(VLOOKUP(B188,'May 26'!B:G,6,FALSE),0)</f>
        <v>0</v>
      </c>
      <c r="K188" s="11">
        <v>0</v>
      </c>
      <c r="L188" s="11">
        <f t="shared" si="16"/>
        <v>25737</v>
      </c>
    </row>
    <row r="189" spans="1:14" ht="16.5" thickTop="1" thickBot="1" x14ac:dyDescent="0.3">
      <c r="A189" s="5" t="s">
        <v>110</v>
      </c>
      <c r="B189" s="6">
        <v>84075</v>
      </c>
      <c r="C189" s="7" t="s">
        <v>14</v>
      </c>
      <c r="D189" s="39">
        <v>45894</v>
      </c>
      <c r="E189" s="39">
        <v>46154</v>
      </c>
      <c r="F189" s="39" t="s">
        <v>350</v>
      </c>
      <c r="G189" s="9">
        <v>13567</v>
      </c>
      <c r="H189" s="10">
        <v>13566</v>
      </c>
      <c r="I189" s="11">
        <v>27133</v>
      </c>
      <c r="J189" s="11">
        <f>IFERROR(VLOOKUP(B189,'May 26'!B:G,6,FALSE),0)</f>
        <v>13567</v>
      </c>
      <c r="K189" s="11">
        <v>0</v>
      </c>
      <c r="L189" s="11">
        <f t="shared" si="16"/>
        <v>0</v>
      </c>
      <c r="N189" s="79" t="str">
        <f>VLOOKUP(B189,[3]invoicing!$C:$AI,33,FALSE)</f>
        <v/>
      </c>
    </row>
    <row r="190" spans="1:14" ht="16.5" thickTop="1" thickBot="1" x14ac:dyDescent="0.3">
      <c r="A190" s="5" t="s">
        <v>97</v>
      </c>
      <c r="B190" s="6">
        <v>84726</v>
      </c>
      <c r="C190" s="7" t="s">
        <v>14</v>
      </c>
      <c r="D190" s="39">
        <v>45845</v>
      </c>
      <c r="E190" s="39">
        <v>46141</v>
      </c>
      <c r="F190" s="39" t="s">
        <v>351</v>
      </c>
      <c r="G190" s="9">
        <v>231351</v>
      </c>
      <c r="H190" s="10">
        <v>231350</v>
      </c>
      <c r="I190" s="11">
        <v>462701</v>
      </c>
      <c r="J190" s="11">
        <f>IFERROR(VLOOKUP(B190,'May 26'!B:G,6,FALSE),0)</f>
        <v>231351</v>
      </c>
      <c r="K190" s="11">
        <v>0</v>
      </c>
      <c r="L190" s="11">
        <f t="shared" si="16"/>
        <v>0</v>
      </c>
      <c r="N190" s="79" t="str">
        <f>VLOOKUP(B190,[3]invoicing!$C:$AI,33,FALSE)</f>
        <v/>
      </c>
    </row>
    <row r="191" spans="1:14" ht="16.5" thickTop="1" thickBot="1" x14ac:dyDescent="0.3">
      <c r="A191" s="5" t="s">
        <v>96</v>
      </c>
      <c r="B191" s="6">
        <v>84719</v>
      </c>
      <c r="C191" s="7" t="s">
        <v>14</v>
      </c>
      <c r="D191" s="39">
        <v>45845</v>
      </c>
      <c r="E191" s="39">
        <v>46133</v>
      </c>
      <c r="F191" s="39" t="s">
        <v>351</v>
      </c>
      <c r="G191" s="9">
        <v>416603</v>
      </c>
      <c r="H191" s="10">
        <v>416602</v>
      </c>
      <c r="I191" s="11">
        <v>833205</v>
      </c>
      <c r="J191" s="11">
        <f>IFERROR(VLOOKUP(B191,'May 26'!B:G,6,FALSE),0)</f>
        <v>416603</v>
      </c>
      <c r="K191" s="11">
        <v>0</v>
      </c>
      <c r="L191" s="11">
        <f t="shared" si="16"/>
        <v>0</v>
      </c>
      <c r="N191" s="79" t="str">
        <f>VLOOKUP(B191,[3]invoicing!$C:$AI,33,FALSE)</f>
        <v/>
      </c>
    </row>
    <row r="192" spans="1:14" ht="16.5" thickTop="1" thickBot="1" x14ac:dyDescent="0.3">
      <c r="A192" s="5" t="s">
        <v>659</v>
      </c>
      <c r="B192" s="6">
        <v>88243</v>
      </c>
      <c r="C192" s="7" t="s">
        <v>27</v>
      </c>
      <c r="D192" s="39" t="s">
        <v>668</v>
      </c>
      <c r="E192" s="39">
        <v>46181</v>
      </c>
      <c r="F192" s="39" t="s">
        <v>577</v>
      </c>
      <c r="G192" s="9">
        <v>11197</v>
      </c>
      <c r="H192" s="10">
        <f>I192-G192</f>
        <v>11196</v>
      </c>
      <c r="I192" s="11">
        <v>22393</v>
      </c>
      <c r="J192" s="11">
        <f>IFERROR(VLOOKUP(B192,'May 26'!B:G,6,FALSE),0)</f>
        <v>11197</v>
      </c>
      <c r="K192" s="11">
        <v>0</v>
      </c>
      <c r="L192" s="11">
        <f t="shared" si="16"/>
        <v>0</v>
      </c>
      <c r="N192" s="79" t="str">
        <f>VLOOKUP(B192,[3]invoicing!$C:$AI,33,FALSE)</f>
        <v/>
      </c>
    </row>
    <row r="193" spans="1:14" ht="16.5" thickTop="1" thickBot="1" x14ac:dyDescent="0.3">
      <c r="A193" s="5" t="s">
        <v>694</v>
      </c>
      <c r="B193" s="6">
        <v>88512</v>
      </c>
      <c r="C193" s="7" t="s">
        <v>14</v>
      </c>
      <c r="D193" s="39">
        <v>46171</v>
      </c>
      <c r="E193" s="39" t="s">
        <v>13</v>
      </c>
      <c r="F193" s="39" t="s">
        <v>13</v>
      </c>
      <c r="G193" s="9">
        <v>33240</v>
      </c>
      <c r="H193" s="10">
        <f>I193-G193</f>
        <v>33240</v>
      </c>
      <c r="I193" s="11">
        <v>66480</v>
      </c>
      <c r="J193" s="11">
        <f>IFERROR(VLOOKUP(B193,'May 26'!B:G,6,FALSE),0)</f>
        <v>33240</v>
      </c>
      <c r="K193" s="11"/>
      <c r="L193" s="11">
        <f t="shared" si="16"/>
        <v>0</v>
      </c>
      <c r="N193" s="79" t="str">
        <f>VLOOKUP(B193,[3]invoicing!$C:$AI,33,FALSE)</f>
        <v/>
      </c>
    </row>
    <row r="194" spans="1:14" ht="16.5" thickTop="1" thickBot="1" x14ac:dyDescent="0.3">
      <c r="A194" s="5" t="s">
        <v>261</v>
      </c>
      <c r="B194" s="6">
        <v>88206</v>
      </c>
      <c r="C194" s="7" t="s">
        <v>14</v>
      </c>
      <c r="D194" s="39">
        <v>46050</v>
      </c>
      <c r="E194" s="39">
        <v>46182</v>
      </c>
      <c r="F194" s="39" t="s">
        <v>643</v>
      </c>
      <c r="G194" s="9">
        <v>42008</v>
      </c>
      <c r="H194" s="10">
        <v>42008</v>
      </c>
      <c r="I194" s="11">
        <v>126426</v>
      </c>
      <c r="J194" s="11">
        <f>IFERROR(VLOOKUP(B194,'May 26'!B:G,6,FALSE),0)</f>
        <v>42008</v>
      </c>
      <c r="K194" s="11">
        <v>0</v>
      </c>
      <c r="L194" s="11">
        <f t="shared" si="16"/>
        <v>0</v>
      </c>
    </row>
    <row r="195" spans="1:14" ht="16.5" thickTop="1" thickBot="1" x14ac:dyDescent="0.3">
      <c r="A195" s="5" t="s">
        <v>608</v>
      </c>
      <c r="B195" s="6">
        <v>89471</v>
      </c>
      <c r="C195" s="7" t="s">
        <v>32</v>
      </c>
      <c r="D195" s="39">
        <v>46118</v>
      </c>
      <c r="E195" s="39">
        <v>46175</v>
      </c>
      <c r="F195" s="39" t="s">
        <v>353</v>
      </c>
      <c r="G195" s="19">
        <v>22066</v>
      </c>
      <c r="H195" s="10">
        <f>I195-G195</f>
        <v>0</v>
      </c>
      <c r="I195" s="11">
        <v>22066</v>
      </c>
      <c r="J195" s="11">
        <f>IFERROR(VLOOKUP(B195,'May 26'!B:G,6,FALSE),0)</f>
        <v>22066</v>
      </c>
      <c r="K195" s="11">
        <v>0</v>
      </c>
      <c r="L195" s="11">
        <f t="shared" si="16"/>
        <v>0</v>
      </c>
      <c r="N195" s="79" t="str">
        <f>VLOOKUP(B195,[3]invoicing!$C:$AI,33,FALSE)</f>
        <v/>
      </c>
    </row>
    <row r="196" spans="1:14" ht="16.5" thickTop="1" thickBot="1" x14ac:dyDescent="0.3">
      <c r="A196" s="5" t="s">
        <v>656</v>
      </c>
      <c r="B196" s="6">
        <v>90634</v>
      </c>
      <c r="C196" s="7" t="s">
        <v>23</v>
      </c>
      <c r="D196" s="39" t="s">
        <v>667</v>
      </c>
      <c r="E196" s="39">
        <v>46199</v>
      </c>
      <c r="F196" s="39" t="s">
        <v>353</v>
      </c>
      <c r="G196" s="9">
        <v>49603</v>
      </c>
      <c r="H196" s="10">
        <f>I196-G196</f>
        <v>38770</v>
      </c>
      <c r="I196" s="11">
        <v>88373</v>
      </c>
      <c r="J196" s="11">
        <f>IFERROR(VLOOKUP(B196,'May 26'!B:G,6,FALSE),0)</f>
        <v>49603</v>
      </c>
      <c r="K196" s="11">
        <v>0</v>
      </c>
      <c r="L196" s="11">
        <f t="shared" si="16"/>
        <v>0</v>
      </c>
    </row>
    <row r="197" spans="1:14" ht="16.5" thickTop="1" thickBot="1" x14ac:dyDescent="0.3">
      <c r="A197" s="5" t="s">
        <v>513</v>
      </c>
      <c r="B197" s="6">
        <v>86157</v>
      </c>
      <c r="C197" s="7" t="s">
        <v>23</v>
      </c>
      <c r="D197" s="39">
        <v>46101</v>
      </c>
      <c r="E197" s="39" t="s">
        <v>13</v>
      </c>
      <c r="F197" s="39" t="s">
        <v>13</v>
      </c>
      <c r="G197" s="9">
        <v>255026</v>
      </c>
      <c r="H197" s="10">
        <v>255025</v>
      </c>
      <c r="I197" s="11">
        <v>510051</v>
      </c>
      <c r="J197" s="11">
        <f>IFERROR(VLOOKUP(B197,'May 26'!B:G,6,FALSE),0)</f>
        <v>255026</v>
      </c>
      <c r="K197" s="11">
        <v>0</v>
      </c>
      <c r="L197" s="11">
        <f t="shared" si="16"/>
        <v>0</v>
      </c>
      <c r="N197" s="79" t="str">
        <f>VLOOKUP(B197,[3]invoicing!$C:$AI,33,FALSE)</f>
        <v/>
      </c>
    </row>
    <row r="198" spans="1:14" ht="16.5" thickTop="1" thickBot="1" x14ac:dyDescent="0.3">
      <c r="A198" s="5" t="s">
        <v>233</v>
      </c>
      <c r="B198" s="6">
        <v>86089</v>
      </c>
      <c r="C198" s="7" t="s">
        <v>23</v>
      </c>
      <c r="D198" s="39">
        <v>46038</v>
      </c>
      <c r="E198" s="39" t="s">
        <v>13</v>
      </c>
      <c r="F198" s="39" t="s">
        <v>13</v>
      </c>
      <c r="G198" s="9">
        <v>416889.25</v>
      </c>
      <c r="H198" s="10">
        <v>412013.75</v>
      </c>
      <c r="I198" s="11">
        <v>828903</v>
      </c>
      <c r="J198" s="11">
        <f>IFERROR(VLOOKUP(B198,'May 26'!B:G,6,FALSE),0)</f>
        <v>416889.25</v>
      </c>
      <c r="K198" s="11">
        <v>0</v>
      </c>
      <c r="L198" s="11">
        <f t="shared" si="16"/>
        <v>0</v>
      </c>
    </row>
    <row r="199" spans="1:14" ht="16.5" thickTop="1" thickBot="1" x14ac:dyDescent="0.3">
      <c r="A199" s="5" t="s">
        <v>289</v>
      </c>
      <c r="B199" s="6">
        <v>87805</v>
      </c>
      <c r="C199" s="7" t="s">
        <v>33</v>
      </c>
      <c r="D199" s="39">
        <v>46065</v>
      </c>
      <c r="E199" s="39" t="s">
        <v>13</v>
      </c>
      <c r="F199" s="39" t="s">
        <v>13</v>
      </c>
      <c r="G199" s="9">
        <v>3646</v>
      </c>
      <c r="H199" s="10">
        <v>13048</v>
      </c>
      <c r="I199" s="11">
        <v>16694</v>
      </c>
      <c r="J199" s="11">
        <f>IFERROR(VLOOKUP(B199,'May 26'!B:G,6,FALSE),0)</f>
        <v>3646</v>
      </c>
      <c r="K199" s="11">
        <v>0</v>
      </c>
      <c r="L199" s="11">
        <f t="shared" si="16"/>
        <v>0</v>
      </c>
    </row>
    <row r="200" spans="1:14" ht="16.5" thickTop="1" thickBot="1" x14ac:dyDescent="0.3">
      <c r="A200" s="5" t="s">
        <v>665</v>
      </c>
      <c r="B200" s="6">
        <v>90372</v>
      </c>
      <c r="C200" s="7" t="s">
        <v>23</v>
      </c>
      <c r="D200" s="39" t="s">
        <v>670</v>
      </c>
      <c r="E200" s="39">
        <v>46199</v>
      </c>
      <c r="F200" s="39" t="s">
        <v>353</v>
      </c>
      <c r="G200" s="9">
        <v>24466.02</v>
      </c>
      <c r="H200" s="10">
        <f>I200-G200</f>
        <v>24466.01</v>
      </c>
      <c r="I200" s="11">
        <v>48932.03</v>
      </c>
      <c r="J200" s="11">
        <f>IFERROR(VLOOKUP(B200,'May 26'!B:G,6,FALSE),0)</f>
        <v>24466.02</v>
      </c>
      <c r="K200" s="11">
        <v>0</v>
      </c>
      <c r="L200" s="11">
        <f t="shared" si="16"/>
        <v>0</v>
      </c>
      <c r="N200" s="79" t="str">
        <f>VLOOKUP(B200,[3]invoicing!$C:$AI,33,FALSE)</f>
        <v/>
      </c>
    </row>
    <row r="201" spans="1:14" ht="16.5" thickTop="1" thickBot="1" x14ac:dyDescent="0.3">
      <c r="A201" s="5" t="s">
        <v>379</v>
      </c>
      <c r="B201" s="81">
        <v>89201</v>
      </c>
      <c r="C201" s="82" t="s">
        <v>57</v>
      </c>
      <c r="D201" s="49">
        <v>46093</v>
      </c>
      <c r="E201" s="49">
        <v>46141</v>
      </c>
      <c r="F201" s="49">
        <v>46188</v>
      </c>
      <c r="G201" s="45">
        <v>0</v>
      </c>
      <c r="H201" s="10"/>
      <c r="I201" s="11"/>
      <c r="J201" s="11">
        <f>IFERROR(VLOOKUP(B201,'May 26'!B:G,6,FALSE),0)</f>
        <v>29243</v>
      </c>
      <c r="K201" s="11">
        <f>J201-G201</f>
        <v>29243</v>
      </c>
      <c r="L201" s="11" t="s">
        <v>613</v>
      </c>
      <c r="N201" s="79" t="str">
        <f>VLOOKUP(B201,[3]invoicing!$C:$AI,33,FALSE)</f>
        <v/>
      </c>
    </row>
    <row r="202" spans="1:14" ht="16.5" thickTop="1" thickBot="1" x14ac:dyDescent="0.3">
      <c r="A202" s="5" t="s">
        <v>279</v>
      </c>
      <c r="B202" s="81">
        <v>88322</v>
      </c>
      <c r="C202" s="82" t="s">
        <v>32</v>
      </c>
      <c r="D202" s="49">
        <v>46062</v>
      </c>
      <c r="E202" s="49">
        <v>46163</v>
      </c>
      <c r="F202" s="49">
        <v>46202</v>
      </c>
      <c r="G202" s="45">
        <v>0</v>
      </c>
      <c r="H202" s="10"/>
      <c r="I202" s="11"/>
      <c r="J202" s="11">
        <f>IFERROR(VLOOKUP(B202,'May 26'!B:G,6,FALSE),0)</f>
        <v>11708</v>
      </c>
      <c r="K202" s="11">
        <f>J202-G202</f>
        <v>11708</v>
      </c>
      <c r="L202" s="11" t="s">
        <v>613</v>
      </c>
      <c r="N202" s="79" t="str">
        <f>VLOOKUP(B202,[3]invoicing!$C:$AI,33,FALSE)</f>
        <v/>
      </c>
    </row>
    <row r="203" spans="1:14" ht="16.5" thickTop="1" thickBot="1" x14ac:dyDescent="0.3">
      <c r="A203" s="5" t="s">
        <v>94</v>
      </c>
      <c r="B203" s="6">
        <v>85860</v>
      </c>
      <c r="C203" s="7" t="s">
        <v>38</v>
      </c>
      <c r="D203" s="39">
        <v>45826</v>
      </c>
      <c r="E203" s="39" t="s">
        <v>13</v>
      </c>
      <c r="F203" s="39" t="s">
        <v>13</v>
      </c>
      <c r="G203" s="9">
        <v>68221</v>
      </c>
      <c r="H203" s="10">
        <v>75946</v>
      </c>
      <c r="I203" s="11">
        <v>144167</v>
      </c>
      <c r="J203" s="11">
        <f>IFERROR(VLOOKUP(B203,'May 26'!B:G,6,FALSE),0)</f>
        <v>68221</v>
      </c>
      <c r="K203" s="11">
        <v>0</v>
      </c>
      <c r="L203" s="11">
        <f>G203-J203</f>
        <v>0</v>
      </c>
      <c r="N203" s="79" t="str">
        <f>VLOOKUP(B203,[3]invoicing!$C:$AI,33,FALSE)</f>
        <v/>
      </c>
    </row>
    <row r="204" spans="1:14" ht="16.5" thickTop="1" thickBot="1" x14ac:dyDescent="0.3">
      <c r="A204" s="5" t="s">
        <v>604</v>
      </c>
      <c r="B204" s="81">
        <v>88832</v>
      </c>
      <c r="C204" s="82" t="s">
        <v>40</v>
      </c>
      <c r="D204" s="49">
        <v>46126</v>
      </c>
      <c r="E204" s="49">
        <v>46150</v>
      </c>
      <c r="F204" s="49">
        <v>46192</v>
      </c>
      <c r="G204" s="45">
        <v>0</v>
      </c>
      <c r="H204" s="10"/>
      <c r="I204" s="11"/>
      <c r="J204" s="11">
        <f>IFERROR(VLOOKUP(B204,'May 26'!B:G,6,FALSE),0)</f>
        <v>5556</v>
      </c>
      <c r="K204" s="11">
        <f>J204-G204</f>
        <v>5556</v>
      </c>
      <c r="L204" s="11" t="s">
        <v>613</v>
      </c>
      <c r="N204" s="79" t="str">
        <f>VLOOKUP(B204,[3]invoicing!$C:$AI,33,FALSE)</f>
        <v/>
      </c>
    </row>
    <row r="205" spans="1:14" ht="16.5" thickTop="1" thickBot="1" x14ac:dyDescent="0.3">
      <c r="A205" s="5" t="s">
        <v>681</v>
      </c>
      <c r="B205" s="6">
        <v>90840</v>
      </c>
      <c r="C205" s="7" t="s">
        <v>40</v>
      </c>
      <c r="D205" s="39">
        <v>46164</v>
      </c>
      <c r="E205" s="39">
        <v>46196</v>
      </c>
      <c r="F205" s="39" t="s">
        <v>643</v>
      </c>
      <c r="G205" s="9">
        <v>728.02</v>
      </c>
      <c r="H205" s="10">
        <f>I205-G205</f>
        <v>728.01</v>
      </c>
      <c r="I205" s="11">
        <v>1456.03</v>
      </c>
      <c r="J205" s="11">
        <f>IFERROR(VLOOKUP(B205,'May 26'!B:G,6,FALSE),0)</f>
        <v>728.02</v>
      </c>
      <c r="K205" s="11"/>
      <c r="L205" s="11">
        <f t="shared" ref="L205:L216" si="17">G205-J205</f>
        <v>0</v>
      </c>
      <c r="N205" s="79" t="str">
        <f>VLOOKUP(B205,[3]invoicing!$C:$AI,33,FALSE)</f>
        <v/>
      </c>
    </row>
    <row r="206" spans="1:14" ht="16.5" thickTop="1" thickBot="1" x14ac:dyDescent="0.3">
      <c r="A206" s="5" t="s">
        <v>276</v>
      </c>
      <c r="B206" s="6">
        <v>88397</v>
      </c>
      <c r="C206" s="7" t="s">
        <v>19</v>
      </c>
      <c r="D206" s="39">
        <v>46062</v>
      </c>
      <c r="E206" s="39" t="s">
        <v>13</v>
      </c>
      <c r="F206" s="39" t="s">
        <v>13</v>
      </c>
      <c r="G206" s="9">
        <v>59154.25</v>
      </c>
      <c r="H206" s="10">
        <v>181512.75</v>
      </c>
      <c r="I206" s="11">
        <v>240667</v>
      </c>
      <c r="J206" s="11">
        <f>IFERROR(VLOOKUP(B206,'May 26'!B:G,6,FALSE),0)</f>
        <v>59154.25</v>
      </c>
      <c r="K206" s="11">
        <v>0</v>
      </c>
      <c r="L206" s="11">
        <f t="shared" si="17"/>
        <v>0</v>
      </c>
      <c r="N206" s="79" t="str">
        <f>VLOOKUP(B206,[3]invoicing!$C:$AI,33,FALSE)</f>
        <v/>
      </c>
    </row>
    <row r="207" spans="1:14" ht="16.5" thickTop="1" thickBot="1" x14ac:dyDescent="0.3">
      <c r="A207" s="5" t="s">
        <v>661</v>
      </c>
      <c r="B207" s="6">
        <v>90359</v>
      </c>
      <c r="C207" s="7" t="s">
        <v>21</v>
      </c>
      <c r="D207" s="39" t="s">
        <v>670</v>
      </c>
      <c r="E207" s="39" t="s">
        <v>13</v>
      </c>
      <c r="F207" s="39" t="s">
        <v>13</v>
      </c>
      <c r="G207" s="9">
        <v>6614</v>
      </c>
      <c r="H207" s="10">
        <f>I207-G207</f>
        <v>6613.75</v>
      </c>
      <c r="I207" s="11">
        <v>13227.75</v>
      </c>
      <c r="J207" s="11">
        <f>IFERROR(VLOOKUP(B207,'May 26'!B:G,6,FALSE),0)</f>
        <v>6614</v>
      </c>
      <c r="K207" s="11">
        <v>0</v>
      </c>
      <c r="L207" s="11">
        <f t="shared" si="17"/>
        <v>0</v>
      </c>
      <c r="N207" s="79" t="str">
        <f>VLOOKUP(B207,[3]invoicing!$C:$AI,33,FALSE)</f>
        <v/>
      </c>
    </row>
    <row r="208" spans="1:14" ht="16.5" thickTop="1" thickBot="1" x14ac:dyDescent="0.3">
      <c r="A208" s="5" t="s">
        <v>190</v>
      </c>
      <c r="B208" s="6">
        <v>84246</v>
      </c>
      <c r="C208" s="7" t="s">
        <v>21</v>
      </c>
      <c r="D208" s="39">
        <v>45995</v>
      </c>
      <c r="E208" s="39" t="s">
        <v>13</v>
      </c>
      <c r="F208" s="39" t="s">
        <v>13</v>
      </c>
      <c r="G208" s="9">
        <v>17115</v>
      </c>
      <c r="H208" s="10">
        <v>17115</v>
      </c>
      <c r="I208" s="11">
        <v>34230</v>
      </c>
      <c r="J208" s="11">
        <f>IFERROR(VLOOKUP(B208,'May 26'!B:G,6,FALSE),0)</f>
        <v>17115</v>
      </c>
      <c r="K208" s="11">
        <v>0</v>
      </c>
      <c r="L208" s="11">
        <f t="shared" si="17"/>
        <v>0</v>
      </c>
      <c r="N208" s="79" t="str">
        <f>VLOOKUP(B208,[3]invoicing!$C:$AI,33,FALSE)</f>
        <v/>
      </c>
    </row>
    <row r="209" spans="1:14" ht="16.5" thickTop="1" thickBot="1" x14ac:dyDescent="0.3">
      <c r="A209" s="5" t="s">
        <v>676</v>
      </c>
      <c r="B209" s="6">
        <v>90686</v>
      </c>
      <c r="C209" s="7" t="s">
        <v>11</v>
      </c>
      <c r="D209" s="39">
        <v>46162</v>
      </c>
      <c r="E209" s="39">
        <v>46191</v>
      </c>
      <c r="F209" s="39" t="s">
        <v>643</v>
      </c>
      <c r="G209" s="9">
        <v>10685.52</v>
      </c>
      <c r="H209" s="10">
        <f>I209-G209</f>
        <v>10685.52</v>
      </c>
      <c r="I209" s="11">
        <v>21371.040000000001</v>
      </c>
      <c r="J209" s="11">
        <f>IFERROR(VLOOKUP(B209,'May 26'!B:G,6,FALSE),0)</f>
        <v>10685.52</v>
      </c>
      <c r="K209" s="11"/>
      <c r="L209" s="11">
        <f t="shared" si="17"/>
        <v>0</v>
      </c>
      <c r="N209" s="79" t="str">
        <f>VLOOKUP(B209,[3]invoicing!$C:$AI,33,FALSE)</f>
        <v/>
      </c>
    </row>
    <row r="210" spans="1:14" ht="16.5" thickTop="1" thickBot="1" x14ac:dyDescent="0.3">
      <c r="A210" s="5" t="s">
        <v>633</v>
      </c>
      <c r="B210" s="6">
        <v>90484</v>
      </c>
      <c r="C210" s="7" t="s">
        <v>21</v>
      </c>
      <c r="D210" s="39">
        <v>46139</v>
      </c>
      <c r="E210" s="39">
        <v>46168</v>
      </c>
      <c r="F210" s="39" t="s">
        <v>643</v>
      </c>
      <c r="G210" s="9">
        <v>15984</v>
      </c>
      <c r="H210" s="10">
        <f>I210-G210</f>
        <v>15983</v>
      </c>
      <c r="I210" s="11">
        <v>31967</v>
      </c>
      <c r="J210" s="11">
        <f>IFERROR(VLOOKUP(B210,'May 26'!B:G,6,FALSE),0)</f>
        <v>15984</v>
      </c>
      <c r="K210" s="11">
        <f>IF(G210=0,J210-G210,0)</f>
        <v>0</v>
      </c>
      <c r="L210" s="11">
        <f t="shared" si="17"/>
        <v>0</v>
      </c>
      <c r="N210" s="79" t="str">
        <f>VLOOKUP(B210,[3]invoicing!$C:$AI,33,FALSE)</f>
        <v/>
      </c>
    </row>
    <row r="211" spans="1:14" ht="16.5" thickTop="1" thickBot="1" x14ac:dyDescent="0.3">
      <c r="A211" s="5" t="s">
        <v>100</v>
      </c>
      <c r="B211" s="6">
        <v>84221</v>
      </c>
      <c r="C211" s="7" t="s">
        <v>58</v>
      </c>
      <c r="D211" s="39">
        <v>45863</v>
      </c>
      <c r="E211" s="39">
        <v>46177</v>
      </c>
      <c r="F211" s="39" t="s">
        <v>643</v>
      </c>
      <c r="G211" s="9">
        <v>132329</v>
      </c>
      <c r="H211" s="10">
        <v>196483</v>
      </c>
      <c r="I211" s="11">
        <v>264658</v>
      </c>
      <c r="J211" s="11">
        <f>IFERROR(VLOOKUP(B211,'May 26'!B:G,6,FALSE),0)</f>
        <v>132329</v>
      </c>
      <c r="K211" s="11">
        <v>0</v>
      </c>
      <c r="L211" s="11">
        <f t="shared" si="17"/>
        <v>0</v>
      </c>
    </row>
    <row r="212" spans="1:14" ht="16.5" thickTop="1" thickBot="1" x14ac:dyDescent="0.3">
      <c r="A212" s="5" t="s">
        <v>325</v>
      </c>
      <c r="B212" s="6">
        <v>87450</v>
      </c>
      <c r="C212" s="7" t="s">
        <v>327</v>
      </c>
      <c r="D212" s="39">
        <v>46073</v>
      </c>
      <c r="E212" s="39" t="s">
        <v>13</v>
      </c>
      <c r="F212" s="39" t="s">
        <v>13</v>
      </c>
      <c r="G212" s="9">
        <v>9898</v>
      </c>
      <c r="H212" s="10">
        <v>29693</v>
      </c>
      <c r="I212" s="11">
        <v>39591</v>
      </c>
      <c r="J212" s="11">
        <f>IFERROR(VLOOKUP(B212,'May 26'!B:G,6,FALSE),0)</f>
        <v>9898</v>
      </c>
      <c r="K212" s="11">
        <v>0</v>
      </c>
      <c r="L212" s="11">
        <f t="shared" si="17"/>
        <v>0</v>
      </c>
      <c r="N212" s="79" t="str">
        <f>VLOOKUP(B212,[3]invoicing!$C:$AI,33,FALSE)</f>
        <v/>
      </c>
    </row>
    <row r="213" spans="1:14" ht="16.5" thickTop="1" thickBot="1" x14ac:dyDescent="0.3">
      <c r="A213" s="5" t="s">
        <v>695</v>
      </c>
      <c r="B213" s="6">
        <v>89137</v>
      </c>
      <c r="C213" s="7" t="s">
        <v>697</v>
      </c>
      <c r="D213" s="39">
        <v>46171</v>
      </c>
      <c r="E213" s="39">
        <v>46197</v>
      </c>
      <c r="F213" s="39" t="s">
        <v>353</v>
      </c>
      <c r="G213" s="9">
        <v>17698</v>
      </c>
      <c r="H213" s="10">
        <f>I213-G213</f>
        <v>17698</v>
      </c>
      <c r="I213" s="11">
        <v>35396</v>
      </c>
      <c r="J213" s="11">
        <f>IFERROR(VLOOKUP(B213,'May 26'!B:G,6,FALSE),0)</f>
        <v>17698</v>
      </c>
      <c r="K213" s="11"/>
      <c r="L213" s="11">
        <f t="shared" si="17"/>
        <v>0</v>
      </c>
      <c r="N213" s="79" t="str">
        <f>VLOOKUP(B213,[3]invoicing!$C:$AI,33,FALSE)</f>
        <v/>
      </c>
    </row>
    <row r="214" spans="1:14" ht="16.5" thickTop="1" thickBot="1" x14ac:dyDescent="0.3">
      <c r="A214" s="5" t="s">
        <v>691</v>
      </c>
      <c r="B214" s="6">
        <v>90031</v>
      </c>
      <c r="C214" s="7" t="s">
        <v>14</v>
      </c>
      <c r="D214" s="39">
        <v>46170</v>
      </c>
      <c r="E214" s="39" t="s">
        <v>13</v>
      </c>
      <c r="F214" s="39" t="s">
        <v>13</v>
      </c>
      <c r="G214" s="9">
        <v>80668</v>
      </c>
      <c r="H214" s="10">
        <f>I214-G214</f>
        <v>80667</v>
      </c>
      <c r="I214" s="11">
        <v>161335</v>
      </c>
      <c r="J214" s="11">
        <f>IFERROR(VLOOKUP(B214,'May 26'!B:G,6,FALSE),0)</f>
        <v>80668</v>
      </c>
      <c r="K214" s="11"/>
      <c r="L214" s="11">
        <f t="shared" si="17"/>
        <v>0</v>
      </c>
      <c r="N214" s="79" t="str">
        <f>VLOOKUP(B214,[3]invoicing!$C:$AI,33,FALSE)</f>
        <v/>
      </c>
    </row>
    <row r="215" spans="1:14" ht="16.5" thickTop="1" thickBot="1" x14ac:dyDescent="0.3">
      <c r="A215" s="5" t="s">
        <v>333</v>
      </c>
      <c r="B215" s="6">
        <v>86704</v>
      </c>
      <c r="C215" s="7" t="s">
        <v>33</v>
      </c>
      <c r="D215" s="39">
        <v>46076</v>
      </c>
      <c r="E215" s="39" t="s">
        <v>13</v>
      </c>
      <c r="F215" s="39" t="s">
        <v>13</v>
      </c>
      <c r="G215" s="9">
        <v>90025</v>
      </c>
      <c r="H215" s="10">
        <v>90024</v>
      </c>
      <c r="I215" s="11">
        <v>180049</v>
      </c>
      <c r="J215" s="11">
        <f>IFERROR(VLOOKUP(B215,'May 26'!B:G,6,FALSE),0)</f>
        <v>90025</v>
      </c>
      <c r="K215" s="11">
        <v>0</v>
      </c>
      <c r="L215" s="11">
        <f t="shared" si="17"/>
        <v>0</v>
      </c>
      <c r="N215" s="79" t="str">
        <f>VLOOKUP(B215,[3]invoicing!$C:$AI,33,FALSE)</f>
        <v/>
      </c>
    </row>
    <row r="216" spans="1:14" ht="16.5" thickTop="1" thickBot="1" x14ac:dyDescent="0.3">
      <c r="A216" s="5" t="s">
        <v>715</v>
      </c>
      <c r="B216" s="6">
        <v>87035</v>
      </c>
      <c r="C216" s="7" t="s">
        <v>14</v>
      </c>
      <c r="D216" s="39">
        <v>46182</v>
      </c>
      <c r="E216" s="39" t="s">
        <v>13</v>
      </c>
      <c r="F216" s="39" t="s">
        <v>13</v>
      </c>
      <c r="G216" s="9">
        <v>48949</v>
      </c>
      <c r="H216" s="10">
        <f>I216-G216</f>
        <v>48948</v>
      </c>
      <c r="I216" s="11">
        <v>97897</v>
      </c>
      <c r="J216" s="11">
        <f>IFERROR(VLOOKUP(B216,'May 26'!B:G,6,FALSE),0)</f>
        <v>0</v>
      </c>
      <c r="K216" s="11">
        <v>0</v>
      </c>
      <c r="L216" s="11">
        <f t="shared" si="17"/>
        <v>48949</v>
      </c>
      <c r="N216" s="79" t="str">
        <f>VLOOKUP(B216,[3]invoicing!$C:$AI,33,FALSE)</f>
        <v/>
      </c>
    </row>
    <row r="217" spans="1:14" ht="16.5" thickTop="1" thickBot="1" x14ac:dyDescent="0.3">
      <c r="A217" s="5" t="s">
        <v>111</v>
      </c>
      <c r="B217" s="81">
        <v>82413</v>
      </c>
      <c r="C217" s="82" t="s">
        <v>27</v>
      </c>
      <c r="D217" s="49">
        <v>45895</v>
      </c>
      <c r="E217" s="49">
        <v>46134</v>
      </c>
      <c r="F217" s="49">
        <v>46202</v>
      </c>
      <c r="G217" s="45">
        <v>0</v>
      </c>
      <c r="H217" s="10"/>
      <c r="I217" s="11"/>
      <c r="J217" s="11">
        <f>IFERROR(VLOOKUP(B217,'May 26'!B:G,6,FALSE),0)</f>
        <v>16601</v>
      </c>
      <c r="K217" s="11">
        <f>J217-G217</f>
        <v>16601</v>
      </c>
      <c r="L217" s="11" t="s">
        <v>613</v>
      </c>
      <c r="N217" s="79" t="str">
        <f>VLOOKUP(B217,[3]invoicing!$C:$AI,33,FALSE)</f>
        <v/>
      </c>
    </row>
    <row r="218" spans="1:14" ht="16.5" thickTop="1" thickBot="1" x14ac:dyDescent="0.3">
      <c r="A218" s="5" t="s">
        <v>125</v>
      </c>
      <c r="B218" s="6">
        <v>86988</v>
      </c>
      <c r="C218" s="7" t="s">
        <v>32</v>
      </c>
      <c r="D218" s="39">
        <v>45929</v>
      </c>
      <c r="E218" s="39">
        <v>46161</v>
      </c>
      <c r="F218" s="39" t="s">
        <v>577</v>
      </c>
      <c r="G218" s="9">
        <v>61093</v>
      </c>
      <c r="H218" s="10">
        <v>61093</v>
      </c>
      <c r="I218" s="11">
        <v>122186</v>
      </c>
      <c r="J218" s="11">
        <f>IFERROR(VLOOKUP(B218,'May 26'!B:G,6,FALSE),0)</f>
        <v>61093</v>
      </c>
      <c r="K218" s="11">
        <v>0</v>
      </c>
      <c r="L218" s="11">
        <f>G218-J218</f>
        <v>0</v>
      </c>
      <c r="N218" s="79" t="str">
        <f>VLOOKUP(B218,[3]invoicing!$C:$AI,33,FALSE)</f>
        <v/>
      </c>
    </row>
    <row r="219" spans="1:14" ht="16.5" thickTop="1" thickBot="1" x14ac:dyDescent="0.3">
      <c r="A219" s="5" t="s">
        <v>651</v>
      </c>
      <c r="B219" s="81">
        <v>90237</v>
      </c>
      <c r="C219" s="82" t="s">
        <v>32</v>
      </c>
      <c r="D219" s="49">
        <v>46149</v>
      </c>
      <c r="E219" s="49">
        <v>46163</v>
      </c>
      <c r="F219" s="49">
        <v>46202</v>
      </c>
      <c r="G219" s="45">
        <v>0</v>
      </c>
      <c r="H219" s="10"/>
      <c r="I219" s="11"/>
      <c r="J219" s="11">
        <f>IFERROR(VLOOKUP(B219,'May 26'!B:G,6,FALSE),0)</f>
        <v>12222.57</v>
      </c>
      <c r="K219" s="11">
        <f>J219-G219</f>
        <v>12222.57</v>
      </c>
      <c r="L219" s="11" t="s">
        <v>613</v>
      </c>
      <c r="N219" s="79" t="str">
        <f>VLOOKUP(B219,[3]invoicing!$C:$AI,33,FALSE)</f>
        <v/>
      </c>
    </row>
    <row r="220" spans="1:14" ht="16.5" thickTop="1" thickBot="1" x14ac:dyDescent="0.3">
      <c r="A220" s="5"/>
      <c r="B220" s="6"/>
      <c r="C220" s="7"/>
      <c r="D220" s="39"/>
      <c r="E220" s="39"/>
      <c r="F220" s="39"/>
      <c r="G220" s="9"/>
      <c r="H220" s="10"/>
      <c r="I220" s="11"/>
      <c r="J220" s="11"/>
      <c r="K220" s="11"/>
      <c r="L220" s="11"/>
    </row>
    <row r="221" spans="1:14" ht="16.5" thickTop="1" thickBot="1" x14ac:dyDescent="0.3">
      <c r="A221" s="22" t="s">
        <v>698</v>
      </c>
      <c r="B221" s="23"/>
      <c r="C221" s="24" t="s">
        <v>115</v>
      </c>
      <c r="D221" s="25" t="s">
        <v>53</v>
      </c>
      <c r="E221" s="26"/>
      <c r="F221" s="27"/>
      <c r="G221" s="28">
        <f t="shared" ref="G221:L221" si="18">SUM(G2:G220)</f>
        <v>7952385.799999998</v>
      </c>
      <c r="H221" s="28">
        <f t="shared" si="18"/>
        <v>7679356.5599999977</v>
      </c>
      <c r="I221" s="28">
        <f t="shared" si="18"/>
        <v>15641066.859999998</v>
      </c>
      <c r="J221" s="28">
        <f t="shared" si="18"/>
        <v>7723438.4299999988</v>
      </c>
      <c r="K221" s="28">
        <f t="shared" si="18"/>
        <v>907950.86999999988</v>
      </c>
      <c r="L221" s="28">
        <f t="shared" si="18"/>
        <v>1125484.53</v>
      </c>
    </row>
    <row r="222" spans="1:14" ht="15.75" thickTop="1" x14ac:dyDescent="0.25">
      <c r="J222" s="33">
        <f>J221-'May 26'!G219</f>
        <v>0</v>
      </c>
      <c r="L222" s="33"/>
    </row>
    <row r="223" spans="1:14" x14ac:dyDescent="0.25">
      <c r="L223" s="33"/>
    </row>
    <row r="224" spans="1:14" x14ac:dyDescent="0.25">
      <c r="A224" t="s">
        <v>63</v>
      </c>
      <c r="D224" s="30" t="s">
        <v>63</v>
      </c>
      <c r="F224" s="35" t="s">
        <v>9</v>
      </c>
      <c r="G224" s="36">
        <f>J221</f>
        <v>7723438.4299999988</v>
      </c>
      <c r="J224" s="33"/>
    </row>
    <row r="225" spans="1:14" x14ac:dyDescent="0.25">
      <c r="F225" s="31" t="s">
        <v>492</v>
      </c>
      <c r="G225" s="32">
        <f>G221</f>
        <v>7952385.799999998</v>
      </c>
      <c r="L225" s="33"/>
    </row>
    <row r="226" spans="1:14" x14ac:dyDescent="0.25">
      <c r="F226" s="35" t="s">
        <v>493</v>
      </c>
      <c r="G226" s="36">
        <f>G221-G224</f>
        <v>228947.36999999918</v>
      </c>
      <c r="H226" s="33"/>
      <c r="I226" s="38">
        <f>G221</f>
        <v>7952385.799999998</v>
      </c>
    </row>
    <row r="227" spans="1:14" x14ac:dyDescent="0.25">
      <c r="I227" s="38">
        <f>-7952385.8</f>
        <v>-7952385.7999999998</v>
      </c>
      <c r="J227" t="s">
        <v>55</v>
      </c>
      <c r="K227" s="34" t="s">
        <v>85</v>
      </c>
    </row>
    <row r="228" spans="1:14" x14ac:dyDescent="0.25">
      <c r="F228" s="31" t="s">
        <v>56</v>
      </c>
      <c r="G228" s="32">
        <f>G225+I227</f>
        <v>0</v>
      </c>
      <c r="I228">
        <v>0</v>
      </c>
    </row>
    <row r="229" spans="1:14" s="34" customFormat="1" x14ac:dyDescent="0.25">
      <c r="A229"/>
      <c r="B229" s="29"/>
      <c r="C229"/>
      <c r="D229" s="30"/>
      <c r="E229"/>
      <c r="F229" s="31"/>
      <c r="G229" s="32"/>
      <c r="H229"/>
      <c r="I229" s="37">
        <f>I226++I227</f>
        <v>0</v>
      </c>
      <c r="J229" t="s">
        <v>742</v>
      </c>
      <c r="L229"/>
      <c r="N229" s="79"/>
    </row>
  </sheetData>
  <autoFilter ref="A1:N219" xr:uid="{EA880DEE-2FDA-42F8-AA49-FF9FB96C7B45}"/>
  <sortState xmlns:xlrd2="http://schemas.microsoft.com/office/spreadsheetml/2017/richdata2" ref="A2:N219">
    <sortCondition ref="A2:A219"/>
  </sortState>
  <conditionalFormatting sqref="A36:A118">
    <cfRule type="duplicateValues" dxfId="17" priority="122"/>
  </conditionalFormatting>
  <conditionalFormatting sqref="A223:A230">
    <cfRule type="duplicateValues" dxfId="16" priority="2"/>
  </conditionalFormatting>
  <conditionalFormatting sqref="A231:A1048576 A1:A35 A119:A222">
    <cfRule type="duplicateValues" dxfId="15" priority="3"/>
  </conditionalFormatting>
  <conditionalFormatting sqref="B1:B1048576">
    <cfRule type="duplicateValues" dxfId="1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2F46-E2E5-4176-B097-8ACAD881A6F1}">
  <sheetPr filterMode="1"/>
  <dimension ref="A1:N233"/>
  <sheetViews>
    <sheetView zoomScaleNormal="100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72.140625" customWidth="1"/>
    <col min="2" max="2" width="13.28515625" style="29" customWidth="1"/>
    <col min="3" max="3" width="11.28515625" customWidth="1"/>
    <col min="4" max="4" width="13.42578125" style="30" customWidth="1"/>
    <col min="5" max="5" width="19.140625" customWidth="1"/>
    <col min="6" max="6" width="32.85546875" style="31" customWidth="1"/>
    <col min="7" max="7" width="16" style="32" customWidth="1"/>
    <col min="8" max="8" width="17.42578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4" max="14" width="13.42578125" style="79" bestFit="1" customWidth="1"/>
  </cols>
  <sheetData>
    <row r="1" spans="1:14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4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 t="s">
        <v>13</v>
      </c>
      <c r="F2" s="39" t="s">
        <v>13</v>
      </c>
      <c r="G2" s="19">
        <v>51110.14</v>
      </c>
      <c r="H2" s="10">
        <v>0</v>
      </c>
      <c r="I2" s="11">
        <v>51110.14</v>
      </c>
      <c r="J2" s="11">
        <f>IFERROR(VLOOKUP(B2,'Jun 26'!B:G,6,FALSE),0)</f>
        <v>51110.14</v>
      </c>
      <c r="K2" s="11">
        <v>0</v>
      </c>
      <c r="L2" s="11">
        <f t="shared" ref="L2:L7" si="0">G2-J2</f>
        <v>0</v>
      </c>
      <c r="N2" s="33">
        <f>L2-K2</f>
        <v>0</v>
      </c>
    </row>
    <row r="3" spans="1:14" ht="16.5" thickTop="1" thickBot="1" x14ac:dyDescent="0.3">
      <c r="A3" s="60" t="s">
        <v>730</v>
      </c>
      <c r="B3" s="6">
        <v>88164</v>
      </c>
      <c r="C3" s="7" t="s">
        <v>14</v>
      </c>
      <c r="D3" s="39">
        <v>46195</v>
      </c>
      <c r="E3" s="39" t="s">
        <v>13</v>
      </c>
      <c r="F3" s="39" t="s">
        <v>13</v>
      </c>
      <c r="G3" s="9">
        <v>22283</v>
      </c>
      <c r="H3" s="10">
        <f>I3-G3</f>
        <v>22282</v>
      </c>
      <c r="I3" s="11">
        <v>44565</v>
      </c>
      <c r="J3" s="11">
        <f>IFERROR(VLOOKUP(B3,'Jun 26'!B:G,6,FALSE),0)</f>
        <v>22283</v>
      </c>
      <c r="K3" s="11">
        <v>0</v>
      </c>
      <c r="L3" s="11">
        <f t="shared" si="0"/>
        <v>0</v>
      </c>
      <c r="N3" s="33">
        <f t="shared" ref="N3:N66" si="1">L3-K3</f>
        <v>0</v>
      </c>
    </row>
    <row r="4" spans="1:14" ht="16.5" thickTop="1" thickBot="1" x14ac:dyDescent="0.3">
      <c r="A4" s="5" t="s">
        <v>318</v>
      </c>
      <c r="B4" s="6">
        <v>87616</v>
      </c>
      <c r="C4" s="7" t="s">
        <v>15</v>
      </c>
      <c r="D4" s="39">
        <v>46069</v>
      </c>
      <c r="E4" s="39" t="s">
        <v>13</v>
      </c>
      <c r="F4" s="39" t="s">
        <v>13</v>
      </c>
      <c r="G4" s="9">
        <v>35586</v>
      </c>
      <c r="H4" s="10">
        <v>9375</v>
      </c>
      <c r="I4" s="11">
        <v>44961</v>
      </c>
      <c r="J4" s="11">
        <f>IFERROR(VLOOKUP(B4,'Jun 26'!B:G,6,FALSE),0)</f>
        <v>35586</v>
      </c>
      <c r="K4" s="11">
        <v>0</v>
      </c>
      <c r="L4" s="11">
        <f t="shared" si="0"/>
        <v>0</v>
      </c>
      <c r="N4" s="33">
        <f t="shared" si="1"/>
        <v>0</v>
      </c>
    </row>
    <row r="5" spans="1:14" ht="16.5" thickTop="1" thickBot="1" x14ac:dyDescent="0.3">
      <c r="A5" s="5" t="s">
        <v>189</v>
      </c>
      <c r="B5" s="6">
        <v>87185</v>
      </c>
      <c r="C5" s="7" t="s">
        <v>21</v>
      </c>
      <c r="D5" s="39">
        <v>45995</v>
      </c>
      <c r="E5" s="39" t="s">
        <v>13</v>
      </c>
      <c r="F5" s="39" t="s">
        <v>13</v>
      </c>
      <c r="G5" s="9">
        <v>31515</v>
      </c>
      <c r="H5" s="10">
        <v>31514</v>
      </c>
      <c r="I5" s="11">
        <v>63029</v>
      </c>
      <c r="J5" s="11">
        <f>IFERROR(VLOOKUP(B5,'Jun 26'!B:G,6,FALSE),0)</f>
        <v>31515</v>
      </c>
      <c r="K5" s="11">
        <v>0</v>
      </c>
      <c r="L5" s="11">
        <f t="shared" si="0"/>
        <v>0</v>
      </c>
      <c r="N5" s="33">
        <f t="shared" si="1"/>
        <v>0</v>
      </c>
    </row>
    <row r="6" spans="1:14" ht="16.5" hidden="1" thickTop="1" thickBot="1" x14ac:dyDescent="0.3">
      <c r="A6" s="5" t="s">
        <v>497</v>
      </c>
      <c r="B6" s="81">
        <v>87836</v>
      </c>
      <c r="C6" s="82" t="s">
        <v>17</v>
      </c>
      <c r="D6" s="49">
        <v>46098</v>
      </c>
      <c r="E6" s="49">
        <v>46191</v>
      </c>
      <c r="F6" s="49">
        <v>46226</v>
      </c>
      <c r="G6" s="45">
        <v>0</v>
      </c>
      <c r="H6" s="58">
        <v>0</v>
      </c>
      <c r="I6" s="59">
        <v>0</v>
      </c>
      <c r="J6" s="59">
        <f>IFERROR(VLOOKUP(B6,'Jun 26'!B:G,6,FALSE),0)</f>
        <v>18709</v>
      </c>
      <c r="K6" s="59">
        <f>IF(G6=0,J6-G6,0)</f>
        <v>18709</v>
      </c>
      <c r="L6" s="59" t="s">
        <v>613</v>
      </c>
      <c r="N6" s="33">
        <v>-18709</v>
      </c>
    </row>
    <row r="7" spans="1:14" ht="16.5" thickTop="1" thickBot="1" x14ac:dyDescent="0.3">
      <c r="A7" s="5" t="s">
        <v>649</v>
      </c>
      <c r="B7" s="6">
        <v>88159</v>
      </c>
      <c r="C7" s="7" t="s">
        <v>14</v>
      </c>
      <c r="D7" s="39">
        <v>46148</v>
      </c>
      <c r="E7" s="39" t="s">
        <v>13</v>
      </c>
      <c r="F7" s="39" t="s">
        <v>13</v>
      </c>
      <c r="G7" s="9">
        <v>8819</v>
      </c>
      <c r="H7" s="10">
        <f>I7-G7</f>
        <v>8818</v>
      </c>
      <c r="I7" s="11">
        <v>17637</v>
      </c>
      <c r="J7" s="11">
        <f>IFERROR(VLOOKUP(B7,'Jun 26'!B:G,6,FALSE),0)</f>
        <v>8819</v>
      </c>
      <c r="K7" s="11">
        <v>0</v>
      </c>
      <c r="L7" s="11">
        <f t="shared" si="0"/>
        <v>0</v>
      </c>
      <c r="N7" s="33">
        <f t="shared" si="1"/>
        <v>0</v>
      </c>
    </row>
    <row r="8" spans="1:14" ht="16.5" thickTop="1" thickBot="1" x14ac:dyDescent="0.3">
      <c r="A8" s="5" t="s">
        <v>709</v>
      </c>
      <c r="B8" s="6">
        <v>89869</v>
      </c>
      <c r="C8" s="7" t="s">
        <v>21</v>
      </c>
      <c r="D8" s="39">
        <v>46181</v>
      </c>
      <c r="E8" s="39" t="s">
        <v>13</v>
      </c>
      <c r="F8" s="39" t="s">
        <v>13</v>
      </c>
      <c r="G8" s="9">
        <v>6204</v>
      </c>
      <c r="H8" s="10">
        <f>I8-G8</f>
        <v>7888.2199999999993</v>
      </c>
      <c r="I8" s="11">
        <v>14092.22</v>
      </c>
      <c r="J8" s="11">
        <f>IFERROR(VLOOKUP(B8,'Jun 26'!B:G,6,FALSE),0)</f>
        <v>6204</v>
      </c>
      <c r="K8" s="11">
        <v>0</v>
      </c>
      <c r="L8" s="11">
        <f t="shared" ref="L8:L14" si="2">G8-J8</f>
        <v>0</v>
      </c>
      <c r="N8" s="33">
        <f t="shared" si="1"/>
        <v>0</v>
      </c>
    </row>
    <row r="9" spans="1:14" ht="16.5" thickTop="1" thickBot="1" x14ac:dyDescent="0.3">
      <c r="A9" s="5" t="s">
        <v>169</v>
      </c>
      <c r="B9" s="6">
        <v>87022</v>
      </c>
      <c r="C9" s="7" t="s">
        <v>14</v>
      </c>
      <c r="D9" s="39">
        <v>45981</v>
      </c>
      <c r="E9" s="39" t="s">
        <v>13</v>
      </c>
      <c r="F9" s="39" t="s">
        <v>13</v>
      </c>
      <c r="G9" s="9">
        <v>60823</v>
      </c>
      <c r="H9" s="10">
        <v>60822</v>
      </c>
      <c r="I9" s="11">
        <v>121645</v>
      </c>
      <c r="J9" s="11">
        <f>IFERROR(VLOOKUP(B9,'Jun 26'!B:G,6,FALSE),0)</f>
        <v>60823</v>
      </c>
      <c r="K9" s="11">
        <v>0</v>
      </c>
      <c r="L9" s="11">
        <f t="shared" si="2"/>
        <v>0</v>
      </c>
      <c r="N9" s="33">
        <f t="shared" si="1"/>
        <v>0</v>
      </c>
    </row>
    <row r="10" spans="1:14" ht="16.5" thickTop="1" thickBot="1" x14ac:dyDescent="0.3">
      <c r="A10" s="12" t="s">
        <v>718</v>
      </c>
      <c r="B10" s="13">
        <v>89319</v>
      </c>
      <c r="C10" s="14" t="s">
        <v>634</v>
      </c>
      <c r="D10" s="40">
        <v>46182</v>
      </c>
      <c r="E10" s="40" t="s">
        <v>13</v>
      </c>
      <c r="F10" s="40" t="s">
        <v>13</v>
      </c>
      <c r="G10" s="16">
        <f>35841+10000+31298.86</f>
        <v>77139.86</v>
      </c>
      <c r="H10" s="17">
        <f>I10-G10</f>
        <v>0</v>
      </c>
      <c r="I10" s="18">
        <v>77139.86</v>
      </c>
      <c r="J10" s="18">
        <f>IFERROR(VLOOKUP(B10,'Jun 26'!B:G,6,FALSE),0)</f>
        <v>35841</v>
      </c>
      <c r="K10" s="18">
        <v>0</v>
      </c>
      <c r="L10" s="18">
        <f t="shared" si="2"/>
        <v>41298.86</v>
      </c>
      <c r="N10" s="33">
        <f t="shared" si="1"/>
        <v>41298.86</v>
      </c>
    </row>
    <row r="11" spans="1:14" ht="16.5" hidden="1" thickTop="1" thickBot="1" x14ac:dyDescent="0.3">
      <c r="A11" s="5" t="s">
        <v>636</v>
      </c>
      <c r="B11" s="81">
        <v>90185</v>
      </c>
      <c r="C11" s="81" t="s">
        <v>21</v>
      </c>
      <c r="D11" s="49">
        <v>46140</v>
      </c>
      <c r="E11" s="49">
        <v>46188</v>
      </c>
      <c r="F11" s="49">
        <v>46223</v>
      </c>
      <c r="G11" s="45">
        <v>0</v>
      </c>
      <c r="H11" s="58">
        <v>0</v>
      </c>
      <c r="I11" s="59">
        <v>0</v>
      </c>
      <c r="J11" s="59">
        <f>IFERROR(VLOOKUP(B11,'Jun 26'!B:G,6,FALSE),0)</f>
        <v>7191</v>
      </c>
      <c r="K11" s="59">
        <f>IF(G11=0,J11-G11,0)</f>
        <v>7191</v>
      </c>
      <c r="L11" s="59" t="s">
        <v>613</v>
      </c>
      <c r="N11" s="33">
        <v>-7191</v>
      </c>
    </row>
    <row r="12" spans="1:14" ht="16.5" thickTop="1" thickBot="1" x14ac:dyDescent="0.3">
      <c r="A12" s="5" t="s">
        <v>733</v>
      </c>
      <c r="B12" s="6">
        <v>89197</v>
      </c>
      <c r="C12" s="7" t="s">
        <v>11</v>
      </c>
      <c r="D12" s="39">
        <v>46198</v>
      </c>
      <c r="E12" s="39" t="s">
        <v>13</v>
      </c>
      <c r="F12" s="39" t="s">
        <v>13</v>
      </c>
      <c r="G12" s="9">
        <v>19024</v>
      </c>
      <c r="H12" s="10">
        <f>I12-G12</f>
        <v>19022.129999999997</v>
      </c>
      <c r="I12" s="11">
        <v>38046.129999999997</v>
      </c>
      <c r="J12" s="11">
        <f>IFERROR(VLOOKUP(B12,'Jun 26'!B:G,6,FALSE),0)</f>
        <v>19024</v>
      </c>
      <c r="K12" s="11">
        <v>0</v>
      </c>
      <c r="L12" s="11">
        <f t="shared" si="2"/>
        <v>0</v>
      </c>
      <c r="N12" s="33">
        <f t="shared" si="1"/>
        <v>0</v>
      </c>
    </row>
    <row r="13" spans="1:14" ht="16.5" thickTop="1" thickBot="1" x14ac:dyDescent="0.3">
      <c r="A13" s="5" t="s">
        <v>647</v>
      </c>
      <c r="B13" s="6">
        <v>89731</v>
      </c>
      <c r="C13" s="7" t="s">
        <v>23</v>
      </c>
      <c r="D13" s="39">
        <v>46147</v>
      </c>
      <c r="E13" s="39" t="s">
        <v>13</v>
      </c>
      <c r="F13" s="39" t="s">
        <v>13</v>
      </c>
      <c r="G13" s="9">
        <v>13338.01</v>
      </c>
      <c r="H13" s="10">
        <f>I13-G13</f>
        <v>13336.99</v>
      </c>
      <c r="I13" s="11">
        <v>26675</v>
      </c>
      <c r="J13" s="11">
        <f>IFERROR(VLOOKUP(B13,'Jun 26'!B:G,6,FALSE),0)</f>
        <v>13338.01</v>
      </c>
      <c r="K13" s="11">
        <v>0</v>
      </c>
      <c r="L13" s="11">
        <f t="shared" si="2"/>
        <v>0</v>
      </c>
      <c r="N13" s="33">
        <f t="shared" si="1"/>
        <v>0</v>
      </c>
    </row>
    <row r="14" spans="1:14" ht="16.5" hidden="1" thickTop="1" thickBot="1" x14ac:dyDescent="0.3">
      <c r="A14" s="5" t="s">
        <v>270</v>
      </c>
      <c r="B14" s="13">
        <v>88674</v>
      </c>
      <c r="C14" s="14" t="s">
        <v>31</v>
      </c>
      <c r="D14" s="40">
        <v>46055</v>
      </c>
      <c r="E14" s="40">
        <v>46132</v>
      </c>
      <c r="F14" s="40">
        <v>46227</v>
      </c>
      <c r="G14" s="16">
        <v>488171</v>
      </c>
      <c r="H14" s="17">
        <v>0</v>
      </c>
      <c r="I14" s="18">
        <v>0</v>
      </c>
      <c r="J14" s="18">
        <f>IFERROR(VLOOKUP(B14,'Jun 26'!B:G,6,FALSE),0)</f>
        <v>238760</v>
      </c>
      <c r="K14" s="18">
        <f>IF(G14=0,J14-G14,0)</f>
        <v>0</v>
      </c>
      <c r="L14" s="18">
        <f t="shared" si="2"/>
        <v>249411</v>
      </c>
      <c r="N14" s="33">
        <v>-238760</v>
      </c>
    </row>
    <row r="15" spans="1:14" ht="16.5" thickTop="1" thickBot="1" x14ac:dyDescent="0.3">
      <c r="A15" s="5" t="s">
        <v>144</v>
      </c>
      <c r="B15" s="6">
        <v>85791</v>
      </c>
      <c r="C15" s="7" t="s">
        <v>23</v>
      </c>
      <c r="D15" s="39">
        <v>45959</v>
      </c>
      <c r="E15" s="39" t="s">
        <v>13</v>
      </c>
      <c r="F15" s="39" t="s">
        <v>13</v>
      </c>
      <c r="G15" s="9">
        <v>50992</v>
      </c>
      <c r="H15" s="10">
        <f>I15-G15</f>
        <v>50992</v>
      </c>
      <c r="I15" s="11">
        <v>101984</v>
      </c>
      <c r="J15" s="11">
        <f>IFERROR(VLOOKUP(B15,'Jun 26'!B:G,6,FALSE),0)</f>
        <v>50992</v>
      </c>
      <c r="K15" s="11">
        <v>0</v>
      </c>
      <c r="L15" s="11">
        <f t="shared" ref="L15:L22" si="3">G15-J15</f>
        <v>0</v>
      </c>
      <c r="N15" s="33">
        <f t="shared" si="1"/>
        <v>0</v>
      </c>
    </row>
    <row r="16" spans="1:14" ht="16.5" thickTop="1" thickBot="1" x14ac:dyDescent="0.3">
      <c r="A16" s="5" t="s">
        <v>635</v>
      </c>
      <c r="B16" s="6">
        <v>89792</v>
      </c>
      <c r="C16" s="6" t="s">
        <v>23</v>
      </c>
      <c r="D16" s="39">
        <v>46140</v>
      </c>
      <c r="E16" s="39" t="s">
        <v>13</v>
      </c>
      <c r="F16" s="39" t="s">
        <v>13</v>
      </c>
      <c r="G16" s="9">
        <v>34278</v>
      </c>
      <c r="H16" s="10">
        <f>I16-G16</f>
        <v>34278</v>
      </c>
      <c r="I16" s="11">
        <v>68556</v>
      </c>
      <c r="J16" s="11">
        <f>IFERROR(VLOOKUP(B16,'Jun 26'!B:G,6,FALSE),0)</f>
        <v>34278</v>
      </c>
      <c r="K16" s="11">
        <f>IF(G16=0,J16-G16,0)</f>
        <v>0</v>
      </c>
      <c r="L16" s="11">
        <f t="shared" si="3"/>
        <v>0</v>
      </c>
      <c r="N16" s="33">
        <f t="shared" si="1"/>
        <v>0</v>
      </c>
    </row>
    <row r="17" spans="1:14" ht="16.5" thickTop="1" thickBot="1" x14ac:dyDescent="0.3">
      <c r="A17" s="5" t="s">
        <v>660</v>
      </c>
      <c r="B17" s="6">
        <v>90329</v>
      </c>
      <c r="C17" s="7" t="s">
        <v>23</v>
      </c>
      <c r="D17" s="39" t="s">
        <v>669</v>
      </c>
      <c r="E17" s="39">
        <v>46191</v>
      </c>
      <c r="F17" s="39" t="s">
        <v>643</v>
      </c>
      <c r="G17" s="9">
        <v>8966.25</v>
      </c>
      <c r="H17" s="10">
        <f>I17-G17</f>
        <v>8966.2999999999993</v>
      </c>
      <c r="I17" s="11">
        <v>17932.55</v>
      </c>
      <c r="J17" s="11">
        <f>IFERROR(VLOOKUP(B17,'Jun 26'!B:G,6,FALSE),0)</f>
        <v>8966.25</v>
      </c>
      <c r="K17" s="11">
        <v>0</v>
      </c>
      <c r="L17" s="11">
        <f t="shared" si="3"/>
        <v>0</v>
      </c>
      <c r="N17" s="33">
        <f t="shared" si="1"/>
        <v>0</v>
      </c>
    </row>
    <row r="18" spans="1:14" ht="16.5" thickTop="1" thickBot="1" x14ac:dyDescent="0.3">
      <c r="A18" s="5" t="s">
        <v>145</v>
      </c>
      <c r="B18" s="6">
        <v>83690</v>
      </c>
      <c r="C18" s="7" t="s">
        <v>23</v>
      </c>
      <c r="D18" s="39">
        <v>45959</v>
      </c>
      <c r="E18" s="39" t="s">
        <v>13</v>
      </c>
      <c r="F18" s="39" t="s">
        <v>13</v>
      </c>
      <c r="G18" s="9">
        <v>200341.5</v>
      </c>
      <c r="H18" s="10">
        <f>I18-G18</f>
        <v>205952.5</v>
      </c>
      <c r="I18" s="11">
        <v>406294</v>
      </c>
      <c r="J18" s="11">
        <f>IFERROR(VLOOKUP(B18,'Jun 26'!B:G,6,FALSE),0)</f>
        <v>200341.5</v>
      </c>
      <c r="K18" s="11">
        <v>0</v>
      </c>
      <c r="L18" s="11">
        <f t="shared" si="3"/>
        <v>0</v>
      </c>
      <c r="N18" s="33">
        <f t="shared" si="1"/>
        <v>0</v>
      </c>
    </row>
    <row r="19" spans="1:14" ht="16.5" thickTop="1" thickBot="1" x14ac:dyDescent="0.3">
      <c r="A19" s="5" t="s">
        <v>227</v>
      </c>
      <c r="B19" s="81">
        <v>86318</v>
      </c>
      <c r="C19" s="82" t="s">
        <v>14</v>
      </c>
      <c r="D19" s="49">
        <v>46030</v>
      </c>
      <c r="E19" s="49">
        <v>46140</v>
      </c>
      <c r="F19" s="49" t="s">
        <v>577</v>
      </c>
      <c r="G19" s="45">
        <v>0</v>
      </c>
      <c r="H19" s="58">
        <v>0</v>
      </c>
      <c r="I19" s="59">
        <v>0</v>
      </c>
      <c r="J19" s="59">
        <f>IFERROR(VLOOKUP(B19,'Jun 26'!B:G,6,FALSE),0)</f>
        <v>31398</v>
      </c>
      <c r="K19" s="59">
        <f>IF(G19=0,J19-G19,0)</f>
        <v>31398</v>
      </c>
      <c r="L19" s="59" t="s">
        <v>613</v>
      </c>
      <c r="N19" s="33" t="e">
        <f t="shared" si="1"/>
        <v>#VALUE!</v>
      </c>
    </row>
    <row r="20" spans="1:14" ht="16.5" thickTop="1" thickBot="1" x14ac:dyDescent="0.3">
      <c r="A20" s="5" t="s">
        <v>708</v>
      </c>
      <c r="B20" s="6">
        <v>88510</v>
      </c>
      <c r="C20" s="7" t="s">
        <v>23</v>
      </c>
      <c r="D20" s="39">
        <v>46181</v>
      </c>
      <c r="E20" s="39" t="s">
        <v>13</v>
      </c>
      <c r="F20" s="39" t="s">
        <v>13</v>
      </c>
      <c r="G20" s="9">
        <v>15005</v>
      </c>
      <c r="H20" s="10">
        <f>I20-G20</f>
        <v>15004</v>
      </c>
      <c r="I20" s="11">
        <v>30009</v>
      </c>
      <c r="J20" s="11">
        <f>IFERROR(VLOOKUP(B20,'Jun 26'!B:G,6,FALSE),0)</f>
        <v>15005</v>
      </c>
      <c r="K20" s="11">
        <v>0</v>
      </c>
      <c r="L20" s="11">
        <f t="shared" si="3"/>
        <v>0</v>
      </c>
      <c r="N20" s="33">
        <f t="shared" si="1"/>
        <v>0</v>
      </c>
    </row>
    <row r="21" spans="1:14" ht="16.5" thickTop="1" thickBot="1" x14ac:dyDescent="0.3">
      <c r="A21" s="5" t="s">
        <v>684</v>
      </c>
      <c r="B21" s="6">
        <v>89873</v>
      </c>
      <c r="C21" s="7" t="s">
        <v>23</v>
      </c>
      <c r="D21" s="39">
        <v>46168</v>
      </c>
      <c r="E21" s="39" t="s">
        <v>13</v>
      </c>
      <c r="F21" s="39" t="s">
        <v>13</v>
      </c>
      <c r="G21" s="9">
        <v>165000</v>
      </c>
      <c r="H21" s="10">
        <f>I21-G21</f>
        <v>165000</v>
      </c>
      <c r="I21" s="11">
        <v>330000</v>
      </c>
      <c r="J21" s="11">
        <f>IFERROR(VLOOKUP(B21,'Jun 26'!B:G,6,FALSE),0)</f>
        <v>165000</v>
      </c>
      <c r="K21" s="11"/>
      <c r="L21" s="11">
        <f t="shared" si="3"/>
        <v>0</v>
      </c>
      <c r="N21" s="33">
        <f t="shared" si="1"/>
        <v>0</v>
      </c>
    </row>
    <row r="22" spans="1:14" ht="16.5" thickTop="1" thickBot="1" x14ac:dyDescent="0.3">
      <c r="A22" s="5" t="s">
        <v>685</v>
      </c>
      <c r="B22" s="6">
        <v>90207</v>
      </c>
      <c r="C22" s="7" t="s">
        <v>23</v>
      </c>
      <c r="D22" s="39">
        <v>46168</v>
      </c>
      <c r="E22" s="39" t="s">
        <v>13</v>
      </c>
      <c r="F22" s="39" t="s">
        <v>13</v>
      </c>
      <c r="G22" s="9">
        <v>7754</v>
      </c>
      <c r="H22" s="10">
        <f>I22-G22</f>
        <v>2185</v>
      </c>
      <c r="I22" s="11">
        <v>9939</v>
      </c>
      <c r="J22" s="11">
        <f>IFERROR(VLOOKUP(B22,'Jun 26'!B:G,6,FALSE),0)</f>
        <v>7754</v>
      </c>
      <c r="K22" s="11"/>
      <c r="L22" s="11">
        <f t="shared" si="3"/>
        <v>0</v>
      </c>
      <c r="N22" s="33">
        <f t="shared" si="1"/>
        <v>0</v>
      </c>
    </row>
    <row r="23" spans="1:14" ht="16.5" thickTop="1" thickBot="1" x14ac:dyDescent="0.3">
      <c r="A23" s="5" t="s">
        <v>584</v>
      </c>
      <c r="B23" s="6">
        <v>89607</v>
      </c>
      <c r="C23" s="7" t="s">
        <v>27</v>
      </c>
      <c r="D23" s="39">
        <v>46126</v>
      </c>
      <c r="E23" s="39" t="s">
        <v>13</v>
      </c>
      <c r="F23" s="39" t="s">
        <v>13</v>
      </c>
      <c r="G23" s="9">
        <v>19335</v>
      </c>
      <c r="H23" s="10">
        <f>I23-G23</f>
        <v>19335</v>
      </c>
      <c r="I23" s="11">
        <v>38670</v>
      </c>
      <c r="J23" s="11">
        <f>IFERROR(VLOOKUP(B23,'Jun 26'!B:G,6,FALSE),0)</f>
        <v>19335</v>
      </c>
      <c r="K23" s="11">
        <v>0</v>
      </c>
      <c r="L23" s="11">
        <f>G23-J23</f>
        <v>0</v>
      </c>
      <c r="N23" s="33">
        <f t="shared" si="1"/>
        <v>0</v>
      </c>
    </row>
    <row r="24" spans="1:14" ht="16.5" hidden="1" thickTop="1" thickBot="1" x14ac:dyDescent="0.3">
      <c r="A24" s="5" t="s">
        <v>615</v>
      </c>
      <c r="B24" s="81">
        <v>90005</v>
      </c>
      <c r="C24" s="82" t="s">
        <v>23</v>
      </c>
      <c r="D24" s="49">
        <v>46128</v>
      </c>
      <c r="E24" s="49">
        <v>46168</v>
      </c>
      <c r="F24" s="49">
        <v>46217</v>
      </c>
      <c r="G24" s="45">
        <v>0</v>
      </c>
      <c r="H24" s="58">
        <v>0</v>
      </c>
      <c r="I24" s="59">
        <v>0</v>
      </c>
      <c r="J24" s="59">
        <f>IFERROR(VLOOKUP(B24,'Jun 26'!B:G,6,FALSE),0)</f>
        <v>9786</v>
      </c>
      <c r="K24" s="59">
        <f>IF(G24=0,J24-G24,0)</f>
        <v>9786</v>
      </c>
      <c r="L24" s="59" t="s">
        <v>613</v>
      </c>
      <c r="N24" s="33">
        <v>-9786</v>
      </c>
    </row>
    <row r="25" spans="1:14" ht="16.5" thickTop="1" thickBot="1" x14ac:dyDescent="0.3">
      <c r="A25" s="5" t="s">
        <v>215</v>
      </c>
      <c r="B25" s="81">
        <v>88227</v>
      </c>
      <c r="C25" s="82" t="s">
        <v>14</v>
      </c>
      <c r="D25" s="49">
        <v>46020</v>
      </c>
      <c r="E25" s="49">
        <v>46133</v>
      </c>
      <c r="F25" s="49" t="s">
        <v>643</v>
      </c>
      <c r="G25" s="45">
        <v>0</v>
      </c>
      <c r="H25" s="58">
        <v>0</v>
      </c>
      <c r="I25" s="59">
        <v>0</v>
      </c>
      <c r="J25" s="59">
        <f>IFERROR(VLOOKUP(B25,'Jun 26'!B:G,6,FALSE),0)</f>
        <v>32005</v>
      </c>
      <c r="K25" s="59">
        <f>IF(G25=0,J25-G25,0)</f>
        <v>32005</v>
      </c>
      <c r="L25" s="59" t="s">
        <v>613</v>
      </c>
      <c r="N25" s="33" t="e">
        <f t="shared" si="1"/>
        <v>#VALUE!</v>
      </c>
    </row>
    <row r="26" spans="1:14" ht="16.5" thickTop="1" thickBot="1" x14ac:dyDescent="0.3">
      <c r="A26" s="5" t="s">
        <v>502</v>
      </c>
      <c r="B26" s="6">
        <v>84966</v>
      </c>
      <c r="C26" s="7" t="s">
        <v>14</v>
      </c>
      <c r="D26" s="39">
        <v>46099</v>
      </c>
      <c r="E26" s="39" t="s">
        <v>13</v>
      </c>
      <c r="F26" s="39" t="s">
        <v>13</v>
      </c>
      <c r="G26" s="9">
        <v>39804</v>
      </c>
      <c r="H26" s="10">
        <v>39803</v>
      </c>
      <c r="I26" s="11">
        <v>79607</v>
      </c>
      <c r="J26" s="11">
        <f>IFERROR(VLOOKUP(B26,'Jun 26'!B:G,6,FALSE),0)</f>
        <v>39804</v>
      </c>
      <c r="K26" s="11">
        <v>0</v>
      </c>
      <c r="L26" s="11">
        <f t="shared" ref="L26:L29" si="4">G26-J26</f>
        <v>0</v>
      </c>
      <c r="N26" s="33">
        <f t="shared" si="1"/>
        <v>0</v>
      </c>
    </row>
    <row r="27" spans="1:14" ht="16.5" thickTop="1" thickBot="1" x14ac:dyDescent="0.3">
      <c r="A27" s="5" t="s">
        <v>699</v>
      </c>
      <c r="B27" s="6">
        <v>91001</v>
      </c>
      <c r="C27" s="7" t="s">
        <v>57</v>
      </c>
      <c r="D27" s="39">
        <v>46175</v>
      </c>
      <c r="E27" s="39">
        <v>46198</v>
      </c>
      <c r="F27" s="39" t="s">
        <v>353</v>
      </c>
      <c r="G27" s="9">
        <v>14017.3</v>
      </c>
      <c r="H27" s="10">
        <f>I27-G27</f>
        <v>14017.29</v>
      </c>
      <c r="I27" s="11">
        <v>28034.59</v>
      </c>
      <c r="J27" s="11">
        <f>IFERROR(VLOOKUP(B27,'Jun 26'!B:G,6,FALSE),0)</f>
        <v>14017.3</v>
      </c>
      <c r="K27" s="11">
        <v>0</v>
      </c>
      <c r="L27" s="11">
        <f t="shared" si="4"/>
        <v>0</v>
      </c>
      <c r="N27" s="33">
        <f t="shared" si="1"/>
        <v>0</v>
      </c>
    </row>
    <row r="28" spans="1:14" ht="16.5" thickTop="1" thickBot="1" x14ac:dyDescent="0.3">
      <c r="A28" s="20" t="s">
        <v>24</v>
      </c>
      <c r="B28" s="13" t="s">
        <v>89</v>
      </c>
      <c r="C28" s="14"/>
      <c r="D28" s="40">
        <v>44712</v>
      </c>
      <c r="E28" s="40" t="s">
        <v>13</v>
      </c>
      <c r="F28" s="40" t="s">
        <v>13</v>
      </c>
      <c r="G28" s="21">
        <v>4108</v>
      </c>
      <c r="H28" s="17">
        <v>0</v>
      </c>
      <c r="I28" s="18">
        <v>4108</v>
      </c>
      <c r="J28" s="18">
        <f>IFERROR(VLOOKUP(B28,'Jun 26'!B:G,6,FALSE),0)</f>
        <v>4108</v>
      </c>
      <c r="K28" s="18">
        <v>0</v>
      </c>
      <c r="L28" s="18">
        <f t="shared" si="4"/>
        <v>0</v>
      </c>
      <c r="N28" s="33">
        <f t="shared" si="1"/>
        <v>0</v>
      </c>
    </row>
    <row r="29" spans="1:14" ht="16.5" thickTop="1" thickBot="1" x14ac:dyDescent="0.3">
      <c r="A29" s="5" t="s">
        <v>674</v>
      </c>
      <c r="B29" s="6">
        <v>90923</v>
      </c>
      <c r="C29" s="7" t="s">
        <v>21</v>
      </c>
      <c r="D29" s="39">
        <v>46160</v>
      </c>
      <c r="E29" s="39" t="s">
        <v>13</v>
      </c>
      <c r="F29" s="39" t="s">
        <v>13</v>
      </c>
      <c r="G29" s="9">
        <v>7275.85</v>
      </c>
      <c r="H29" s="10">
        <f>I29-G29</f>
        <v>7275.84</v>
      </c>
      <c r="I29" s="11">
        <v>14551.69</v>
      </c>
      <c r="J29" s="11">
        <f>IFERROR(VLOOKUP(B29,'Jun 26'!B:G,6,FALSE),0)</f>
        <v>7275.85</v>
      </c>
      <c r="K29" s="11"/>
      <c r="L29" s="11">
        <f t="shared" si="4"/>
        <v>0</v>
      </c>
      <c r="N29" s="33">
        <f t="shared" si="1"/>
        <v>0</v>
      </c>
    </row>
    <row r="30" spans="1:14" ht="16.5" thickTop="1" thickBot="1" x14ac:dyDescent="0.3">
      <c r="A30" s="5" t="s">
        <v>508</v>
      </c>
      <c r="B30" s="6">
        <v>89296</v>
      </c>
      <c r="C30" s="7" t="s">
        <v>509</v>
      </c>
      <c r="D30" s="39">
        <v>46100</v>
      </c>
      <c r="E30" s="39">
        <v>46162</v>
      </c>
      <c r="F30" s="39" t="s">
        <v>353</v>
      </c>
      <c r="G30" s="9">
        <v>109253</v>
      </c>
      <c r="H30" s="10">
        <v>109253</v>
      </c>
      <c r="I30" s="11">
        <v>224986</v>
      </c>
      <c r="J30" s="11">
        <f>IFERROR(VLOOKUP(B30,'Jun 26'!B:G,6,FALSE),0)</f>
        <v>109253</v>
      </c>
      <c r="K30" s="11">
        <v>0</v>
      </c>
      <c r="L30" s="11">
        <f t="shared" ref="L30:L37" si="5">G30-J30</f>
        <v>0</v>
      </c>
      <c r="N30" s="33">
        <f t="shared" si="1"/>
        <v>0</v>
      </c>
    </row>
    <row r="31" spans="1:14" ht="16.5" thickTop="1" thickBot="1" x14ac:dyDescent="0.3">
      <c r="A31" s="5" t="s">
        <v>274</v>
      </c>
      <c r="B31" s="6">
        <v>88868</v>
      </c>
      <c r="C31" s="7" t="s">
        <v>45</v>
      </c>
      <c r="D31" s="39">
        <v>46059</v>
      </c>
      <c r="E31" s="39">
        <v>46181</v>
      </c>
      <c r="F31" s="39" t="s">
        <v>643</v>
      </c>
      <c r="G31" s="9">
        <v>17321</v>
      </c>
      <c r="H31" s="10">
        <v>17321</v>
      </c>
      <c r="I31" s="11">
        <v>35424</v>
      </c>
      <c r="J31" s="11">
        <f>IFERROR(VLOOKUP(B31,'Jun 26'!B:G,6,FALSE),0)</f>
        <v>17321</v>
      </c>
      <c r="K31" s="11">
        <v>0</v>
      </c>
      <c r="L31" s="11">
        <f t="shared" si="5"/>
        <v>0</v>
      </c>
      <c r="N31" s="33">
        <f t="shared" si="1"/>
        <v>0</v>
      </c>
    </row>
    <row r="32" spans="1:14" ht="16.5" thickTop="1" thickBot="1" x14ac:dyDescent="0.3">
      <c r="A32" s="5" t="s">
        <v>586</v>
      </c>
      <c r="B32" s="6">
        <v>88845</v>
      </c>
      <c r="C32" s="7" t="s">
        <v>14</v>
      </c>
      <c r="D32" s="39">
        <v>46115</v>
      </c>
      <c r="E32" s="39" t="s">
        <v>13</v>
      </c>
      <c r="F32" s="39" t="s">
        <v>13</v>
      </c>
      <c r="G32" s="9">
        <v>51819</v>
      </c>
      <c r="H32" s="10">
        <f t="shared" ref="H32:H37" si="6">I32-G32</f>
        <v>51818</v>
      </c>
      <c r="I32" s="11">
        <v>103637</v>
      </c>
      <c r="J32" s="11">
        <f>IFERROR(VLOOKUP(B32,'Jun 26'!B:G,6,FALSE),0)</f>
        <v>51819</v>
      </c>
      <c r="K32" s="11">
        <v>0</v>
      </c>
      <c r="L32" s="11">
        <f t="shared" si="5"/>
        <v>0</v>
      </c>
      <c r="N32" s="33">
        <f t="shared" si="1"/>
        <v>0</v>
      </c>
    </row>
    <row r="33" spans="1:14" ht="16.5" thickTop="1" thickBot="1" x14ac:dyDescent="0.3">
      <c r="A33" s="5" t="s">
        <v>622</v>
      </c>
      <c r="B33" s="6">
        <v>89829</v>
      </c>
      <c r="C33" s="7" t="s">
        <v>27</v>
      </c>
      <c r="D33" s="39">
        <v>46134</v>
      </c>
      <c r="E33" s="39">
        <v>46183</v>
      </c>
      <c r="F33" s="39" t="s">
        <v>350</v>
      </c>
      <c r="G33" s="9">
        <v>90746</v>
      </c>
      <c r="H33" s="10">
        <f t="shared" si="6"/>
        <v>90746</v>
      </c>
      <c r="I33" s="11">
        <v>181492</v>
      </c>
      <c r="J33" s="11">
        <f>IFERROR(VLOOKUP(B33,'Jun 26'!B:G,6,FALSE),0)</f>
        <v>90746</v>
      </c>
      <c r="K33" s="11">
        <f>IF(G33=0,J33-G33,0)</f>
        <v>0</v>
      </c>
      <c r="L33" s="11">
        <f t="shared" si="5"/>
        <v>0</v>
      </c>
      <c r="N33" s="33">
        <f t="shared" si="1"/>
        <v>0</v>
      </c>
    </row>
    <row r="34" spans="1:14" ht="16.5" thickTop="1" thickBot="1" x14ac:dyDescent="0.3">
      <c r="A34" s="5" t="s">
        <v>641</v>
      </c>
      <c r="B34" s="6">
        <v>89254</v>
      </c>
      <c r="C34" s="6" t="s">
        <v>18</v>
      </c>
      <c r="D34" s="39">
        <v>46142</v>
      </c>
      <c r="E34" s="39" t="s">
        <v>13</v>
      </c>
      <c r="F34" s="39" t="s">
        <v>13</v>
      </c>
      <c r="G34" s="9">
        <v>8136</v>
      </c>
      <c r="H34" s="10">
        <f t="shared" si="6"/>
        <v>8136</v>
      </c>
      <c r="I34" s="11">
        <v>16272</v>
      </c>
      <c r="J34" s="11">
        <f>IFERROR(VLOOKUP(B34,'Jun 26'!B:G,6,FALSE),0)</f>
        <v>8136</v>
      </c>
      <c r="K34" s="11">
        <f>IF(G34=0,J34-G34,0)</f>
        <v>0</v>
      </c>
      <c r="L34" s="11">
        <f t="shared" si="5"/>
        <v>0</v>
      </c>
      <c r="N34" s="33">
        <f t="shared" si="1"/>
        <v>0</v>
      </c>
    </row>
    <row r="35" spans="1:14" ht="16.5" thickTop="1" thickBot="1" x14ac:dyDescent="0.3">
      <c r="A35" s="5" t="s">
        <v>687</v>
      </c>
      <c r="B35" s="6">
        <v>91035</v>
      </c>
      <c r="C35" s="7" t="s">
        <v>14</v>
      </c>
      <c r="D35" s="39">
        <v>46169</v>
      </c>
      <c r="E35" s="39" t="s">
        <v>13</v>
      </c>
      <c r="F35" s="39" t="s">
        <v>13</v>
      </c>
      <c r="G35" s="9">
        <f>19766.41+14755.42</f>
        <v>34521.83</v>
      </c>
      <c r="H35" s="10">
        <f t="shared" si="6"/>
        <v>19768.239999999998</v>
      </c>
      <c r="I35" s="11">
        <v>54290.07</v>
      </c>
      <c r="J35" s="11">
        <f>IFERROR(VLOOKUP(B35,'Jun 26'!B:G,6,FALSE),0)</f>
        <v>19766.41</v>
      </c>
      <c r="K35" s="11"/>
      <c r="L35" s="11">
        <f t="shared" si="5"/>
        <v>14755.420000000002</v>
      </c>
      <c r="N35" s="33">
        <f t="shared" si="1"/>
        <v>14755.420000000002</v>
      </c>
    </row>
    <row r="36" spans="1:14" ht="16.5" thickTop="1" thickBot="1" x14ac:dyDescent="0.3">
      <c r="A36" s="5" t="s">
        <v>637</v>
      </c>
      <c r="B36" s="6">
        <v>90388</v>
      </c>
      <c r="C36" s="6" t="s">
        <v>283</v>
      </c>
      <c r="D36" s="39">
        <v>46140</v>
      </c>
      <c r="E36" s="39" t="s">
        <v>13</v>
      </c>
      <c r="F36" s="39" t="s">
        <v>13</v>
      </c>
      <c r="G36" s="9">
        <v>25275</v>
      </c>
      <c r="H36" s="10">
        <f t="shared" si="6"/>
        <v>25275.260000000002</v>
      </c>
      <c r="I36" s="11">
        <v>50550.26</v>
      </c>
      <c r="J36" s="11">
        <f>IFERROR(VLOOKUP(B36,'Jun 26'!B:G,6,FALSE),0)</f>
        <v>25275</v>
      </c>
      <c r="K36" s="11">
        <f>IF(G36=0,J36-G36,0)</f>
        <v>0</v>
      </c>
      <c r="L36" s="11">
        <f t="shared" si="5"/>
        <v>0</v>
      </c>
      <c r="N36" s="33">
        <f t="shared" si="1"/>
        <v>0</v>
      </c>
    </row>
    <row r="37" spans="1:14" ht="16.5" thickTop="1" thickBot="1" x14ac:dyDescent="0.3">
      <c r="A37" s="5" t="s">
        <v>729</v>
      </c>
      <c r="B37" s="6">
        <v>90595</v>
      </c>
      <c r="C37" s="6" t="s">
        <v>21</v>
      </c>
      <c r="D37" s="39">
        <v>46195</v>
      </c>
      <c r="E37" s="39">
        <v>46175</v>
      </c>
      <c r="F37" s="39" t="s">
        <v>743</v>
      </c>
      <c r="G37" s="19">
        <v>5569.3</v>
      </c>
      <c r="H37" s="10">
        <f t="shared" si="6"/>
        <v>0</v>
      </c>
      <c r="I37" s="11">
        <v>5569.3</v>
      </c>
      <c r="J37" s="11">
        <f>IFERROR(VLOOKUP(B37,'Jun 26'!B:G,6,FALSE),0)</f>
        <v>5569.3</v>
      </c>
      <c r="K37" s="11">
        <v>0</v>
      </c>
      <c r="L37" s="11">
        <f t="shared" si="5"/>
        <v>0</v>
      </c>
      <c r="N37" s="33">
        <f t="shared" si="1"/>
        <v>0</v>
      </c>
    </row>
    <row r="38" spans="1:14" ht="16.5" thickTop="1" thickBot="1" x14ac:dyDescent="0.3">
      <c r="A38" s="5" t="s">
        <v>75</v>
      </c>
      <c r="B38" s="6">
        <v>83108</v>
      </c>
      <c r="C38" s="7" t="s">
        <v>76</v>
      </c>
      <c r="D38" s="39">
        <v>45764</v>
      </c>
      <c r="E38" s="39" t="s">
        <v>13</v>
      </c>
      <c r="F38" s="39" t="s">
        <v>13</v>
      </c>
      <c r="G38" s="9">
        <v>172204.5</v>
      </c>
      <c r="H38" s="10">
        <v>172204.5</v>
      </c>
      <c r="I38" s="11">
        <v>344409</v>
      </c>
      <c r="J38" s="11">
        <f>IFERROR(VLOOKUP(B38,'Jun 26'!B:G,6,FALSE),0)</f>
        <v>172204.5</v>
      </c>
      <c r="K38" s="11">
        <v>0</v>
      </c>
      <c r="L38" s="11">
        <f>G38-J38</f>
        <v>0</v>
      </c>
      <c r="N38" s="33">
        <f t="shared" si="1"/>
        <v>0</v>
      </c>
    </row>
    <row r="39" spans="1:14" ht="16.5" hidden="1" thickTop="1" thickBot="1" x14ac:dyDescent="0.3">
      <c r="A39" s="5" t="s">
        <v>138</v>
      </c>
      <c r="B39" s="81">
        <v>84134</v>
      </c>
      <c r="C39" s="82" t="s">
        <v>14</v>
      </c>
      <c r="D39" s="49">
        <v>45945</v>
      </c>
      <c r="E39" s="49">
        <v>46091</v>
      </c>
      <c r="F39" s="49">
        <v>46227</v>
      </c>
      <c r="G39" s="45">
        <v>0</v>
      </c>
      <c r="H39" s="58">
        <v>0</v>
      </c>
      <c r="I39" s="59">
        <v>0</v>
      </c>
      <c r="J39" s="59">
        <f>IFERROR(VLOOKUP(B39,'Jun 26'!B:G,6,FALSE),0)</f>
        <v>64205</v>
      </c>
      <c r="K39" s="59">
        <f>IF(G39=0,J39-G39,0)</f>
        <v>64205</v>
      </c>
      <c r="L39" s="59" t="s">
        <v>613</v>
      </c>
      <c r="N39" s="33">
        <v>-64205</v>
      </c>
    </row>
    <row r="40" spans="1:14" ht="16.5" thickTop="1" thickBot="1" x14ac:dyDescent="0.3">
      <c r="A40" s="5" t="s">
        <v>378</v>
      </c>
      <c r="B40" s="6">
        <v>85777</v>
      </c>
      <c r="C40" s="7" t="s">
        <v>37</v>
      </c>
      <c r="D40" s="39">
        <v>46093</v>
      </c>
      <c r="E40" s="39" t="s">
        <v>13</v>
      </c>
      <c r="F40" s="39" t="s">
        <v>13</v>
      </c>
      <c r="G40" s="9">
        <v>17769</v>
      </c>
      <c r="H40" s="10">
        <v>168389</v>
      </c>
      <c r="I40" s="11">
        <v>168779</v>
      </c>
      <c r="J40" s="11">
        <f>IFERROR(VLOOKUP(B40,'Jun 26'!B:G,6,FALSE),0)</f>
        <v>17769</v>
      </c>
      <c r="K40" s="11">
        <v>0</v>
      </c>
      <c r="L40" s="11">
        <f>G40-J40</f>
        <v>0</v>
      </c>
      <c r="N40" s="33">
        <f t="shared" si="1"/>
        <v>0</v>
      </c>
    </row>
    <row r="41" spans="1:14" ht="16.5" thickTop="1" thickBot="1" x14ac:dyDescent="0.3">
      <c r="A41" s="5" t="s">
        <v>663</v>
      </c>
      <c r="B41" s="6">
        <v>90600</v>
      </c>
      <c r="C41" s="7" t="s">
        <v>21</v>
      </c>
      <c r="D41" s="39" t="s">
        <v>670</v>
      </c>
      <c r="E41" s="39">
        <v>46189</v>
      </c>
      <c r="F41" s="39" t="s">
        <v>351</v>
      </c>
      <c r="G41" s="19">
        <v>84439.3</v>
      </c>
      <c r="H41" s="10">
        <f>I41-G41</f>
        <v>0</v>
      </c>
      <c r="I41" s="11">
        <v>84439.3</v>
      </c>
      <c r="J41" s="11">
        <f>IFERROR(VLOOKUP(B41,'Jun 26'!B:G,6,FALSE),0)</f>
        <v>84439.3</v>
      </c>
      <c r="K41" s="11">
        <v>0</v>
      </c>
      <c r="L41" s="11">
        <f t="shared" ref="L41:L50" si="7">G41-J41</f>
        <v>0</v>
      </c>
      <c r="N41" s="33">
        <f t="shared" si="1"/>
        <v>0</v>
      </c>
    </row>
    <row r="42" spans="1:14" ht="16.5" thickTop="1" thickBot="1" x14ac:dyDescent="0.3">
      <c r="A42" s="5" t="s">
        <v>623</v>
      </c>
      <c r="B42" s="81">
        <v>89338</v>
      </c>
      <c r="C42" s="82" t="s">
        <v>19</v>
      </c>
      <c r="D42" s="49">
        <v>46134</v>
      </c>
      <c r="E42" s="49" t="s">
        <v>13</v>
      </c>
      <c r="F42" s="49" t="s">
        <v>13</v>
      </c>
      <c r="G42" s="45">
        <v>0</v>
      </c>
      <c r="H42" s="58">
        <v>0</v>
      </c>
      <c r="I42" s="59">
        <v>0</v>
      </c>
      <c r="J42" s="59">
        <f>IFERROR(VLOOKUP(B42,'Jun 26'!B:G,6,FALSE),0)</f>
        <v>14498</v>
      </c>
      <c r="K42" s="59">
        <f>IF(G42=0,J42-G42,0)</f>
        <v>14498</v>
      </c>
      <c r="L42" s="59" t="s">
        <v>613</v>
      </c>
      <c r="N42" s="33" t="e">
        <f t="shared" si="1"/>
        <v>#VALUE!</v>
      </c>
    </row>
    <row r="43" spans="1:14" ht="16.5" hidden="1" thickTop="1" thickBot="1" x14ac:dyDescent="0.3">
      <c r="A43" s="5" t="s">
        <v>569</v>
      </c>
      <c r="B43" s="81">
        <v>83204</v>
      </c>
      <c r="C43" s="82" t="s">
        <v>14</v>
      </c>
      <c r="D43" s="49">
        <v>46108</v>
      </c>
      <c r="E43" s="49">
        <v>46148</v>
      </c>
      <c r="F43" s="49">
        <v>46217</v>
      </c>
      <c r="G43" s="45">
        <v>0</v>
      </c>
      <c r="H43" s="58">
        <v>0</v>
      </c>
      <c r="I43" s="59">
        <v>0</v>
      </c>
      <c r="J43" s="59">
        <f>IFERROR(VLOOKUP(B43,'Jun 26'!B:G,6,FALSE),0)</f>
        <v>44368</v>
      </c>
      <c r="K43" s="59">
        <f>IF(G43=0,J43-G43,0)</f>
        <v>44368</v>
      </c>
      <c r="L43" s="59" t="s">
        <v>613</v>
      </c>
      <c r="N43" s="33">
        <v>-44368</v>
      </c>
    </row>
    <row r="44" spans="1:14" ht="16.5" thickTop="1" thickBot="1" x14ac:dyDescent="0.3">
      <c r="A44" s="5" t="s">
        <v>375</v>
      </c>
      <c r="B44" s="6">
        <v>88756</v>
      </c>
      <c r="C44" s="7" t="s">
        <v>23</v>
      </c>
      <c r="D44" s="39">
        <v>46092</v>
      </c>
      <c r="E44" s="39" t="s">
        <v>13</v>
      </c>
      <c r="F44" s="39" t="s">
        <v>13</v>
      </c>
      <c r="G44" s="9">
        <v>160000</v>
      </c>
      <c r="H44" s="10">
        <v>158239</v>
      </c>
      <c r="I44" s="11">
        <v>318239</v>
      </c>
      <c r="J44" s="11">
        <f>IFERROR(VLOOKUP(B44,'Jun 26'!B:G,6,FALSE),0)</f>
        <v>160000</v>
      </c>
      <c r="K44" s="11">
        <v>0</v>
      </c>
      <c r="L44" s="11">
        <f t="shared" si="7"/>
        <v>0</v>
      </c>
      <c r="N44" s="33">
        <f t="shared" si="1"/>
        <v>0</v>
      </c>
    </row>
    <row r="45" spans="1:14" ht="16.5" thickTop="1" thickBot="1" x14ac:dyDescent="0.3">
      <c r="A45" s="5" t="s">
        <v>720</v>
      </c>
      <c r="B45" s="6">
        <v>90858</v>
      </c>
      <c r="C45" s="7" t="s">
        <v>23</v>
      </c>
      <c r="D45" s="39">
        <v>46185</v>
      </c>
      <c r="E45" s="39" t="s">
        <v>13</v>
      </c>
      <c r="F45" s="39" t="s">
        <v>13</v>
      </c>
      <c r="G45" s="9">
        <v>6717</v>
      </c>
      <c r="H45" s="10">
        <f>I45-G45</f>
        <v>6717</v>
      </c>
      <c r="I45" s="11">
        <v>13434</v>
      </c>
      <c r="J45" s="11">
        <f>IFERROR(VLOOKUP(B45,'Jun 26'!B:G,6,FALSE),0)</f>
        <v>6717</v>
      </c>
      <c r="K45" s="11">
        <v>0</v>
      </c>
      <c r="L45" s="11">
        <f t="shared" si="7"/>
        <v>0</v>
      </c>
      <c r="N45" s="33">
        <f t="shared" si="1"/>
        <v>0</v>
      </c>
    </row>
    <row r="46" spans="1:14" ht="16.5" thickTop="1" thickBot="1" x14ac:dyDescent="0.3">
      <c r="A46" s="5" t="s">
        <v>711</v>
      </c>
      <c r="B46" s="6">
        <v>90442</v>
      </c>
      <c r="C46" s="7" t="s">
        <v>23</v>
      </c>
      <c r="D46" s="39">
        <v>46181</v>
      </c>
      <c r="E46" s="39" t="s">
        <v>13</v>
      </c>
      <c r="F46" s="39" t="s">
        <v>13</v>
      </c>
      <c r="G46" s="9">
        <v>40000</v>
      </c>
      <c r="H46" s="10">
        <f>I46-G46</f>
        <v>32316</v>
      </c>
      <c r="I46" s="11">
        <v>72316</v>
      </c>
      <c r="J46" s="11">
        <f>IFERROR(VLOOKUP(B46,'Jun 26'!B:G,6,FALSE),0)</f>
        <v>40000</v>
      </c>
      <c r="K46" s="11">
        <v>0</v>
      </c>
      <c r="L46" s="11">
        <f t="shared" si="7"/>
        <v>0</v>
      </c>
      <c r="N46" s="33">
        <f t="shared" si="1"/>
        <v>0</v>
      </c>
    </row>
    <row r="47" spans="1:14" ht="16.5" thickTop="1" thickBot="1" x14ac:dyDescent="0.3">
      <c r="A47" s="5" t="s">
        <v>323</v>
      </c>
      <c r="B47" s="81">
        <v>88511</v>
      </c>
      <c r="C47" s="82" t="s">
        <v>23</v>
      </c>
      <c r="D47" s="49">
        <v>46072</v>
      </c>
      <c r="E47" s="49">
        <v>46162</v>
      </c>
      <c r="F47" s="49" t="s">
        <v>577</v>
      </c>
      <c r="G47" s="45">
        <v>0</v>
      </c>
      <c r="H47" s="58">
        <v>0</v>
      </c>
      <c r="I47" s="59">
        <v>0</v>
      </c>
      <c r="J47" s="59">
        <f>IFERROR(VLOOKUP(B47,'Jun 26'!B:G,6,FALSE),0)</f>
        <v>19222</v>
      </c>
      <c r="K47" s="59">
        <f>IF(G47=0,J47-G47,0)</f>
        <v>19222</v>
      </c>
      <c r="L47" s="59" t="s">
        <v>613</v>
      </c>
      <c r="N47" s="33" t="e">
        <f t="shared" si="1"/>
        <v>#VALUE!</v>
      </c>
    </row>
    <row r="48" spans="1:14" ht="16.5" thickTop="1" thickBot="1" x14ac:dyDescent="0.3">
      <c r="A48" s="5" t="s">
        <v>223</v>
      </c>
      <c r="B48" s="6">
        <v>83729</v>
      </c>
      <c r="C48" s="7" t="s">
        <v>23</v>
      </c>
      <c r="D48" s="39">
        <v>46028</v>
      </c>
      <c r="E48" s="39">
        <v>46155</v>
      </c>
      <c r="F48" s="39" t="s">
        <v>353</v>
      </c>
      <c r="G48" s="9">
        <v>31223</v>
      </c>
      <c r="H48" s="10">
        <v>27501</v>
      </c>
      <c r="I48" s="11">
        <v>58724</v>
      </c>
      <c r="J48" s="11">
        <f>IFERROR(VLOOKUP(B48,'Jun 26'!B:G,6,FALSE),0)</f>
        <v>31223</v>
      </c>
      <c r="K48" s="11">
        <v>0</v>
      </c>
      <c r="L48" s="11">
        <f t="shared" si="7"/>
        <v>0</v>
      </c>
      <c r="N48" s="33">
        <f t="shared" si="1"/>
        <v>0</v>
      </c>
    </row>
    <row r="49" spans="1:14" ht="16.5" hidden="1" thickTop="1" thickBot="1" x14ac:dyDescent="0.3">
      <c r="A49" s="5" t="s">
        <v>679</v>
      </c>
      <c r="B49" s="81">
        <v>90688</v>
      </c>
      <c r="C49" s="82" t="s">
        <v>11</v>
      </c>
      <c r="D49" s="49">
        <v>46163</v>
      </c>
      <c r="E49" s="49">
        <v>46184</v>
      </c>
      <c r="F49" s="49">
        <v>46213</v>
      </c>
      <c r="G49" s="45">
        <v>0</v>
      </c>
      <c r="H49" s="58">
        <f>I49-G49</f>
        <v>23455.11</v>
      </c>
      <c r="I49" s="59">
        <v>23455.11</v>
      </c>
      <c r="J49" s="59">
        <f>IFERROR(VLOOKUP(B49,'Jun 26'!B:G,6,FALSE),0)</f>
        <v>11700</v>
      </c>
      <c r="K49" s="59">
        <f>J49-G49</f>
        <v>11700</v>
      </c>
      <c r="L49" s="59" t="s">
        <v>613</v>
      </c>
      <c r="N49" s="33">
        <v>-11700</v>
      </c>
    </row>
    <row r="50" spans="1:14" ht="16.5" thickTop="1" thickBot="1" x14ac:dyDescent="0.3">
      <c r="A50" s="5" t="s">
        <v>504</v>
      </c>
      <c r="B50" s="6">
        <v>85504</v>
      </c>
      <c r="C50" s="7" t="s">
        <v>38</v>
      </c>
      <c r="D50" s="39">
        <v>46100</v>
      </c>
      <c r="E50" s="39" t="s">
        <v>13</v>
      </c>
      <c r="F50" s="39" t="s">
        <v>13</v>
      </c>
      <c r="G50" s="9">
        <v>151068</v>
      </c>
      <c r="H50" s="10">
        <v>151068</v>
      </c>
      <c r="I50" s="11">
        <v>302136</v>
      </c>
      <c r="J50" s="11">
        <f>IFERROR(VLOOKUP(B50,'Jun 26'!B:G,6,FALSE),0)</f>
        <v>151068</v>
      </c>
      <c r="K50" s="11">
        <v>0</v>
      </c>
      <c r="L50" s="11">
        <f t="shared" si="7"/>
        <v>0</v>
      </c>
      <c r="N50" s="33">
        <f t="shared" si="1"/>
        <v>0</v>
      </c>
    </row>
    <row r="51" spans="1:14" ht="16.5" thickTop="1" thickBot="1" x14ac:dyDescent="0.3">
      <c r="A51" s="5" t="s">
        <v>701</v>
      </c>
      <c r="B51" s="6">
        <v>90853</v>
      </c>
      <c r="C51" s="7" t="s">
        <v>40</v>
      </c>
      <c r="D51" s="39">
        <v>46177</v>
      </c>
      <c r="E51" s="39">
        <v>46202</v>
      </c>
      <c r="F51" s="39" t="s">
        <v>353</v>
      </c>
      <c r="G51" s="9">
        <v>48347</v>
      </c>
      <c r="H51" s="10">
        <f>I51-G51</f>
        <v>48346</v>
      </c>
      <c r="I51" s="11">
        <v>96693</v>
      </c>
      <c r="J51" s="11">
        <f>IFERROR(VLOOKUP(B51,'Jun 26'!B:G,6,FALSE),0)</f>
        <v>48347</v>
      </c>
      <c r="K51" s="11">
        <v>0</v>
      </c>
      <c r="L51" s="11">
        <f>G51-J51</f>
        <v>0</v>
      </c>
      <c r="N51" s="33">
        <f t="shared" si="1"/>
        <v>0</v>
      </c>
    </row>
    <row r="52" spans="1:14" ht="16.5" thickTop="1" thickBot="1" x14ac:dyDescent="0.3">
      <c r="A52" s="5" t="s">
        <v>640</v>
      </c>
      <c r="B52" s="6">
        <v>89324</v>
      </c>
      <c r="C52" s="6" t="s">
        <v>31</v>
      </c>
      <c r="D52" s="39">
        <v>46141</v>
      </c>
      <c r="E52" s="39">
        <v>46197</v>
      </c>
      <c r="F52" s="39" t="s">
        <v>643</v>
      </c>
      <c r="G52" s="9">
        <v>15963</v>
      </c>
      <c r="H52" s="10">
        <f>I52-G52</f>
        <v>15962</v>
      </c>
      <c r="I52" s="11">
        <v>31925</v>
      </c>
      <c r="J52" s="11">
        <f>IFERROR(VLOOKUP(B52,'Jun 26'!B:G,6,FALSE),0)</f>
        <v>15963</v>
      </c>
      <c r="K52" s="11">
        <f>IF(G52=0,J52-G52,0)</f>
        <v>0</v>
      </c>
      <c r="L52" s="11">
        <f>G52-J52</f>
        <v>0</v>
      </c>
      <c r="N52" s="33">
        <f t="shared" si="1"/>
        <v>0</v>
      </c>
    </row>
    <row r="53" spans="1:14" ht="16.5" thickTop="1" thickBot="1" x14ac:dyDescent="0.3">
      <c r="A53" s="5" t="s">
        <v>174</v>
      </c>
      <c r="B53" s="6">
        <v>86960</v>
      </c>
      <c r="C53" s="7" t="s">
        <v>38</v>
      </c>
      <c r="D53" s="39">
        <v>45986</v>
      </c>
      <c r="E53" s="39" t="s">
        <v>13</v>
      </c>
      <c r="F53" s="39" t="s">
        <v>13</v>
      </c>
      <c r="G53" s="9">
        <f>8962+8962</f>
        <v>17924</v>
      </c>
      <c r="H53" s="10">
        <v>26885</v>
      </c>
      <c r="I53" s="11">
        <v>39102</v>
      </c>
      <c r="J53" s="11">
        <f>IFERROR(VLOOKUP(B53,'Jun 26'!B:G,6,FALSE),0)</f>
        <v>8962</v>
      </c>
      <c r="K53" s="11">
        <v>0</v>
      </c>
      <c r="L53" s="11">
        <f>G53-J53</f>
        <v>8962</v>
      </c>
      <c r="N53" s="33">
        <f t="shared" si="1"/>
        <v>8962</v>
      </c>
    </row>
    <row r="54" spans="1:14" ht="16.5" thickTop="1" thickBot="1" x14ac:dyDescent="0.3">
      <c r="A54" s="5" t="s">
        <v>710</v>
      </c>
      <c r="B54" s="6">
        <v>90706</v>
      </c>
      <c r="C54" s="7" t="s">
        <v>14</v>
      </c>
      <c r="D54" s="39">
        <v>46181</v>
      </c>
      <c r="E54" s="39" t="s">
        <v>13</v>
      </c>
      <c r="F54" s="39" t="s">
        <v>13</v>
      </c>
      <c r="G54" s="9">
        <v>30536</v>
      </c>
      <c r="H54" s="10">
        <f>I54-G54</f>
        <v>30536</v>
      </c>
      <c r="I54" s="11">
        <v>61072</v>
      </c>
      <c r="J54" s="11">
        <f>IFERROR(VLOOKUP(B54,'Jun 26'!B:G,6,FALSE),0)</f>
        <v>30536</v>
      </c>
      <c r="K54" s="11">
        <v>0</v>
      </c>
      <c r="L54" s="11">
        <f t="shared" ref="L54:L76" si="8">G54-J54</f>
        <v>0</v>
      </c>
      <c r="N54" s="33">
        <f t="shared" si="1"/>
        <v>0</v>
      </c>
    </row>
    <row r="55" spans="1:14" ht="16.5" thickTop="1" thickBot="1" x14ac:dyDescent="0.3">
      <c r="A55" s="5" t="s">
        <v>587</v>
      </c>
      <c r="B55" s="6">
        <v>85987</v>
      </c>
      <c r="C55" s="7" t="s">
        <v>14</v>
      </c>
      <c r="D55" s="39">
        <v>46115</v>
      </c>
      <c r="E55" s="39">
        <v>46177</v>
      </c>
      <c r="F55" s="39" t="s">
        <v>643</v>
      </c>
      <c r="G55" s="9">
        <v>68043</v>
      </c>
      <c r="H55" s="10">
        <f>I55-G55</f>
        <v>68042</v>
      </c>
      <c r="I55" s="11">
        <v>136085</v>
      </c>
      <c r="J55" s="11">
        <f>IFERROR(VLOOKUP(B55,'Jun 26'!B:G,6,FALSE),0)</f>
        <v>68043</v>
      </c>
      <c r="K55" s="11">
        <v>0</v>
      </c>
      <c r="L55" s="11">
        <f t="shared" si="8"/>
        <v>0</v>
      </c>
      <c r="N55" s="33">
        <f t="shared" si="1"/>
        <v>0</v>
      </c>
    </row>
    <row r="56" spans="1:14" ht="16.5" thickTop="1" thickBot="1" x14ac:dyDescent="0.3">
      <c r="A56" s="5" t="s">
        <v>382</v>
      </c>
      <c r="B56" s="6">
        <v>84161</v>
      </c>
      <c r="C56" s="7" t="s">
        <v>76</v>
      </c>
      <c r="D56" s="39">
        <v>46013</v>
      </c>
      <c r="E56" s="39" t="s">
        <v>13</v>
      </c>
      <c r="F56" s="39" t="s">
        <v>13</v>
      </c>
      <c r="G56" s="9">
        <v>176687</v>
      </c>
      <c r="H56" s="10">
        <v>176686</v>
      </c>
      <c r="I56" s="11">
        <v>353373</v>
      </c>
      <c r="J56" s="11">
        <f>IFERROR(VLOOKUP(B56,'Jun 26'!B:G,6,FALSE),0)</f>
        <v>176687</v>
      </c>
      <c r="K56" s="11">
        <v>0</v>
      </c>
      <c r="L56" s="11">
        <f t="shared" si="8"/>
        <v>0</v>
      </c>
      <c r="N56" s="33">
        <f t="shared" si="1"/>
        <v>0</v>
      </c>
    </row>
    <row r="57" spans="1:14" ht="16.5" thickTop="1" thickBot="1" x14ac:dyDescent="0.3">
      <c r="A57" s="5" t="s">
        <v>101</v>
      </c>
      <c r="B57" s="6" t="s">
        <v>219</v>
      </c>
      <c r="C57" s="7" t="s">
        <v>76</v>
      </c>
      <c r="D57" s="39">
        <v>45868</v>
      </c>
      <c r="E57" s="39" t="s">
        <v>13</v>
      </c>
      <c r="F57" s="39" t="s">
        <v>13</v>
      </c>
      <c r="G57" s="9">
        <v>114974</v>
      </c>
      <c r="H57" s="10">
        <v>114973</v>
      </c>
      <c r="I57" s="11">
        <v>229947</v>
      </c>
      <c r="J57" s="11">
        <f>IFERROR(VLOOKUP(B57,'Jun 26'!B:G,6,FALSE),0)</f>
        <v>114974</v>
      </c>
      <c r="K57" s="11">
        <v>0</v>
      </c>
      <c r="L57" s="11">
        <f t="shared" si="8"/>
        <v>0</v>
      </c>
      <c r="N57" s="33">
        <f t="shared" si="1"/>
        <v>0</v>
      </c>
    </row>
    <row r="58" spans="1:14" ht="16.5" thickTop="1" thickBot="1" x14ac:dyDescent="0.3">
      <c r="A58" s="5" t="s">
        <v>286</v>
      </c>
      <c r="B58" s="6">
        <v>87492</v>
      </c>
      <c r="C58" s="7" t="s">
        <v>295</v>
      </c>
      <c r="D58" s="39">
        <v>46063</v>
      </c>
      <c r="E58" s="39" t="s">
        <v>13</v>
      </c>
      <c r="F58" s="39" t="s">
        <v>13</v>
      </c>
      <c r="G58" s="9">
        <v>22079</v>
      </c>
      <c r="H58" s="10">
        <v>22079</v>
      </c>
      <c r="I58" s="11">
        <v>44158</v>
      </c>
      <c r="J58" s="11">
        <f>IFERROR(VLOOKUP(B58,'Jun 26'!B:G,6,FALSE),0)</f>
        <v>22079</v>
      </c>
      <c r="K58" s="11">
        <v>0</v>
      </c>
      <c r="L58" s="11">
        <f t="shared" si="8"/>
        <v>0</v>
      </c>
      <c r="N58" s="33">
        <f t="shared" si="1"/>
        <v>0</v>
      </c>
    </row>
    <row r="59" spans="1:14" ht="16.5" hidden="1" thickTop="1" thickBot="1" x14ac:dyDescent="0.3">
      <c r="A59" s="5" t="s">
        <v>589</v>
      </c>
      <c r="B59" s="81">
        <v>88818</v>
      </c>
      <c r="C59" s="82" t="s">
        <v>610</v>
      </c>
      <c r="D59" s="49">
        <v>46121</v>
      </c>
      <c r="E59" s="49">
        <v>46181</v>
      </c>
      <c r="F59" s="49">
        <v>46227</v>
      </c>
      <c r="G59" s="45">
        <v>0</v>
      </c>
      <c r="H59" s="58">
        <v>0</v>
      </c>
      <c r="I59" s="59">
        <v>0</v>
      </c>
      <c r="J59" s="59">
        <f>IFERROR(VLOOKUP(B59,'Jun 26'!B:G,6,FALSE),0)</f>
        <v>15127</v>
      </c>
      <c r="K59" s="59">
        <f>IF(G59=0,J59-G59,0)</f>
        <v>15127</v>
      </c>
      <c r="L59" s="59" t="s">
        <v>613</v>
      </c>
      <c r="N59" s="33">
        <v>-15127</v>
      </c>
    </row>
    <row r="60" spans="1:14" ht="16.5" thickTop="1" thickBot="1" x14ac:dyDescent="0.3">
      <c r="A60" s="5" t="s">
        <v>330</v>
      </c>
      <c r="B60" s="6">
        <v>88082</v>
      </c>
      <c r="C60" s="7" t="s">
        <v>14</v>
      </c>
      <c r="D60" s="39">
        <v>46076</v>
      </c>
      <c r="E60" s="39" t="s">
        <v>13</v>
      </c>
      <c r="F60" s="39" t="s">
        <v>13</v>
      </c>
      <c r="G60" s="9">
        <f>35295+4818</f>
        <v>40113</v>
      </c>
      <c r="H60" s="10">
        <v>35294</v>
      </c>
      <c r="I60" s="11">
        <v>70589</v>
      </c>
      <c r="J60" s="11">
        <f>IFERROR(VLOOKUP(B60,'Jun 26'!B:G,6,FALSE),0)</f>
        <v>35295</v>
      </c>
      <c r="K60" s="11">
        <v>0</v>
      </c>
      <c r="L60" s="11">
        <f t="shared" si="8"/>
        <v>4818</v>
      </c>
      <c r="N60" s="33">
        <f t="shared" si="1"/>
        <v>4818</v>
      </c>
    </row>
    <row r="61" spans="1:14" ht="16.5" thickTop="1" thickBot="1" x14ac:dyDescent="0.3">
      <c r="A61" s="5" t="s">
        <v>693</v>
      </c>
      <c r="B61" s="6">
        <v>89539</v>
      </c>
      <c r="C61" s="7" t="s">
        <v>14</v>
      </c>
      <c r="D61" s="39">
        <v>46170</v>
      </c>
      <c r="E61" s="39" t="s">
        <v>13</v>
      </c>
      <c r="F61" s="39" t="s">
        <v>13</v>
      </c>
      <c r="G61" s="9">
        <v>32606</v>
      </c>
      <c r="H61" s="10">
        <f>I61-G61</f>
        <v>32606</v>
      </c>
      <c r="I61" s="11">
        <v>65212</v>
      </c>
      <c r="J61" s="11">
        <f>IFERROR(VLOOKUP(B61,'Jun 26'!B:G,6,FALSE),0)</f>
        <v>32606</v>
      </c>
      <c r="K61" s="11"/>
      <c r="L61" s="11">
        <f t="shared" si="8"/>
        <v>0</v>
      </c>
      <c r="N61" s="33">
        <f t="shared" si="1"/>
        <v>0</v>
      </c>
    </row>
    <row r="62" spans="1:14" ht="16.5" thickTop="1" thickBot="1" x14ac:dyDescent="0.3">
      <c r="A62" s="5" t="s">
        <v>363</v>
      </c>
      <c r="B62" s="6">
        <v>88012</v>
      </c>
      <c r="C62" s="7" t="s">
        <v>17</v>
      </c>
      <c r="D62" s="39">
        <v>46086</v>
      </c>
      <c r="E62" s="39" t="s">
        <v>13</v>
      </c>
      <c r="F62" s="39" t="s">
        <v>13</v>
      </c>
      <c r="G62" s="9">
        <v>25461</v>
      </c>
      <c r="H62" s="10">
        <v>25461</v>
      </c>
      <c r="I62" s="11">
        <v>51937</v>
      </c>
      <c r="J62" s="11">
        <f>IFERROR(VLOOKUP(B62,'Jun 26'!B:G,6,FALSE),0)</f>
        <v>25461</v>
      </c>
      <c r="K62" s="11">
        <v>0</v>
      </c>
      <c r="L62" s="11">
        <f t="shared" si="8"/>
        <v>0</v>
      </c>
      <c r="N62" s="33">
        <f t="shared" si="1"/>
        <v>0</v>
      </c>
    </row>
    <row r="63" spans="1:14" ht="16.5" thickTop="1" thickBot="1" x14ac:dyDescent="0.3">
      <c r="A63" s="5" t="s">
        <v>657</v>
      </c>
      <c r="B63" s="6">
        <v>90365</v>
      </c>
      <c r="C63" s="7" t="s">
        <v>38</v>
      </c>
      <c r="D63" s="39" t="s">
        <v>667</v>
      </c>
      <c r="E63" s="39" t="s">
        <v>13</v>
      </c>
      <c r="F63" s="39" t="s">
        <v>13</v>
      </c>
      <c r="G63" s="9">
        <v>12373</v>
      </c>
      <c r="H63" s="10">
        <f t="shared" ref="H63:H72" si="9">I63-G63</f>
        <v>12372.529999999999</v>
      </c>
      <c r="I63" s="11">
        <v>24745.53</v>
      </c>
      <c r="J63" s="11">
        <f>IFERROR(VLOOKUP(B63,'Jun 26'!B:G,6,FALSE),0)</f>
        <v>12373</v>
      </c>
      <c r="K63" s="11">
        <v>0</v>
      </c>
      <c r="L63" s="11">
        <f t="shared" si="8"/>
        <v>0</v>
      </c>
      <c r="N63" s="33">
        <f t="shared" si="1"/>
        <v>0</v>
      </c>
    </row>
    <row r="64" spans="1:14" ht="16.5" thickTop="1" thickBot="1" x14ac:dyDescent="0.3">
      <c r="A64" s="5" t="s">
        <v>652</v>
      </c>
      <c r="B64" s="6">
        <v>88675</v>
      </c>
      <c r="C64" s="7" t="s">
        <v>21</v>
      </c>
      <c r="D64" s="39">
        <v>46149</v>
      </c>
      <c r="E64" s="39" t="s">
        <v>13</v>
      </c>
      <c r="F64" s="39" t="s">
        <v>13</v>
      </c>
      <c r="G64" s="19">
        <v>51194.18</v>
      </c>
      <c r="H64" s="10">
        <f t="shared" si="9"/>
        <v>0</v>
      </c>
      <c r="I64" s="11">
        <v>51194.18</v>
      </c>
      <c r="J64" s="11">
        <f>IFERROR(VLOOKUP(B64,'Jun 26'!B:G,6,FALSE),0)</f>
        <v>51194.18</v>
      </c>
      <c r="K64" s="11">
        <v>0</v>
      </c>
      <c r="L64" s="11">
        <f t="shared" si="8"/>
        <v>0</v>
      </c>
      <c r="N64" s="33">
        <f t="shared" si="1"/>
        <v>0</v>
      </c>
    </row>
    <row r="65" spans="1:14" ht="16.5" thickTop="1" thickBot="1" x14ac:dyDescent="0.3">
      <c r="A65" s="5" t="s">
        <v>678</v>
      </c>
      <c r="B65" s="6">
        <v>90930</v>
      </c>
      <c r="C65" s="7" t="s">
        <v>40</v>
      </c>
      <c r="D65" s="39">
        <v>46163</v>
      </c>
      <c r="E65" s="39" t="s">
        <v>13</v>
      </c>
      <c r="F65" s="39" t="s">
        <v>13</v>
      </c>
      <c r="G65" s="9">
        <v>28888.91</v>
      </c>
      <c r="H65" s="10">
        <f t="shared" si="9"/>
        <v>32567.420000000002</v>
      </c>
      <c r="I65" s="11">
        <v>61456.33</v>
      </c>
      <c r="J65" s="11">
        <f>IFERROR(VLOOKUP(B65,'Jun 26'!B:G,6,FALSE),0)</f>
        <v>28888.91</v>
      </c>
      <c r="K65" s="11"/>
      <c r="L65" s="11">
        <f t="shared" si="8"/>
        <v>0</v>
      </c>
      <c r="N65" s="33">
        <f t="shared" si="1"/>
        <v>0</v>
      </c>
    </row>
    <row r="66" spans="1:14" ht="16.5" thickTop="1" thickBot="1" x14ac:dyDescent="0.3">
      <c r="A66" s="5" t="s">
        <v>590</v>
      </c>
      <c r="B66" s="6">
        <v>89287</v>
      </c>
      <c r="C66" s="7" t="s">
        <v>62</v>
      </c>
      <c r="D66" s="39">
        <v>46113</v>
      </c>
      <c r="E66" s="39" t="s">
        <v>13</v>
      </c>
      <c r="F66" s="39" t="s">
        <v>13</v>
      </c>
      <c r="G66" s="9">
        <v>89586</v>
      </c>
      <c r="H66" s="10">
        <f t="shared" si="9"/>
        <v>89585</v>
      </c>
      <c r="I66" s="11">
        <v>179171</v>
      </c>
      <c r="J66" s="11">
        <f>IFERROR(VLOOKUP(B66,'Jun 26'!B:G,6,FALSE),0)</f>
        <v>89586</v>
      </c>
      <c r="K66" s="11">
        <v>0</v>
      </c>
      <c r="L66" s="11">
        <f t="shared" si="8"/>
        <v>0</v>
      </c>
      <c r="N66" s="33">
        <f t="shared" si="1"/>
        <v>0</v>
      </c>
    </row>
    <row r="67" spans="1:14" ht="16.5" hidden="1" thickTop="1" thickBot="1" x14ac:dyDescent="0.3">
      <c r="A67" s="5" t="s">
        <v>664</v>
      </c>
      <c r="B67" s="81">
        <v>90716</v>
      </c>
      <c r="C67" s="82" t="s">
        <v>21</v>
      </c>
      <c r="D67" s="49" t="s">
        <v>670</v>
      </c>
      <c r="E67" s="49">
        <v>46188</v>
      </c>
      <c r="F67" s="49">
        <v>46224</v>
      </c>
      <c r="G67" s="45">
        <v>0</v>
      </c>
      <c r="H67" s="58">
        <v>0</v>
      </c>
      <c r="I67" s="59">
        <v>0</v>
      </c>
      <c r="J67" s="59">
        <f>IFERROR(VLOOKUP(B67,'Jun 26'!B:G,6,FALSE),0)</f>
        <v>11932</v>
      </c>
      <c r="K67" s="59">
        <f>IF(G67=0,J67-G67,0)</f>
        <v>11932</v>
      </c>
      <c r="L67" s="59" t="s">
        <v>613</v>
      </c>
      <c r="N67" s="33">
        <v>-11932</v>
      </c>
    </row>
    <row r="68" spans="1:14" ht="16.5" thickTop="1" thickBot="1" x14ac:dyDescent="0.3">
      <c r="A68" s="5" t="s">
        <v>719</v>
      </c>
      <c r="B68" s="6">
        <v>89541</v>
      </c>
      <c r="C68" s="7" t="s">
        <v>38</v>
      </c>
      <c r="D68" s="39">
        <v>46185</v>
      </c>
      <c r="E68" s="39" t="s">
        <v>13</v>
      </c>
      <c r="F68" s="39" t="s">
        <v>13</v>
      </c>
      <c r="G68" s="9">
        <v>9278.2800000000007</v>
      </c>
      <c r="H68" s="10">
        <f t="shared" si="9"/>
        <v>7903.7199999999993</v>
      </c>
      <c r="I68" s="11">
        <v>17182</v>
      </c>
      <c r="J68" s="11">
        <f>IFERROR(VLOOKUP(B68,'Jun 26'!B:G,6,FALSE),0)</f>
        <v>9278.2800000000007</v>
      </c>
      <c r="K68" s="11">
        <v>0</v>
      </c>
      <c r="L68" s="11">
        <f t="shared" si="8"/>
        <v>0</v>
      </c>
      <c r="N68" s="33">
        <f t="shared" ref="N68:N130" si="10">L68-K68</f>
        <v>0</v>
      </c>
    </row>
    <row r="69" spans="1:14" ht="16.5" hidden="1" thickTop="1" thickBot="1" x14ac:dyDescent="0.3">
      <c r="A69" s="5" t="s">
        <v>591</v>
      </c>
      <c r="B69" s="81">
        <v>89055</v>
      </c>
      <c r="C69" s="82" t="s">
        <v>14</v>
      </c>
      <c r="D69" s="49">
        <v>46120</v>
      </c>
      <c r="E69" s="49">
        <v>46163</v>
      </c>
      <c r="F69" s="49">
        <v>46210</v>
      </c>
      <c r="G69" s="45">
        <v>0</v>
      </c>
      <c r="H69" s="58">
        <f t="shared" si="9"/>
        <v>17164</v>
      </c>
      <c r="I69" s="59">
        <v>17164</v>
      </c>
      <c r="J69" s="59">
        <f>IFERROR(VLOOKUP(B69,'Jun 26'!B:G,6,FALSE),0)</f>
        <v>8582</v>
      </c>
      <c r="K69" s="59">
        <f>J69-G69</f>
        <v>8582</v>
      </c>
      <c r="L69" s="59" t="s">
        <v>613</v>
      </c>
      <c r="N69" s="33">
        <v>-8582</v>
      </c>
    </row>
    <row r="70" spans="1:14" ht="16.5" thickTop="1" thickBot="1" x14ac:dyDescent="0.3">
      <c r="A70" s="5" t="s">
        <v>592</v>
      </c>
      <c r="B70" s="6">
        <v>87359</v>
      </c>
      <c r="C70" s="7" t="s">
        <v>612</v>
      </c>
      <c r="D70" s="39">
        <v>46125</v>
      </c>
      <c r="E70" s="39" t="s">
        <v>13</v>
      </c>
      <c r="F70" s="39" t="s">
        <v>13</v>
      </c>
      <c r="G70" s="9">
        <f>19467+9639</f>
        <v>29106</v>
      </c>
      <c r="H70" s="10">
        <f t="shared" si="9"/>
        <v>19466</v>
      </c>
      <c r="I70" s="11">
        <v>48572</v>
      </c>
      <c r="J70" s="11">
        <f>IFERROR(VLOOKUP(B70,'Jun 26'!B:G,6,FALSE),0)</f>
        <v>19467</v>
      </c>
      <c r="K70" s="11">
        <v>0</v>
      </c>
      <c r="L70" s="11">
        <f t="shared" si="8"/>
        <v>9639</v>
      </c>
      <c r="N70" s="33">
        <f t="shared" si="10"/>
        <v>9639</v>
      </c>
    </row>
    <row r="71" spans="1:14" ht="16.5" thickTop="1" thickBot="1" x14ac:dyDescent="0.3">
      <c r="A71" s="12" t="s">
        <v>593</v>
      </c>
      <c r="B71" s="13">
        <v>89412</v>
      </c>
      <c r="C71" s="14" t="s">
        <v>23</v>
      </c>
      <c r="D71" s="40">
        <v>46126</v>
      </c>
      <c r="E71" s="40">
        <v>46191</v>
      </c>
      <c r="F71" s="40" t="s">
        <v>643</v>
      </c>
      <c r="G71" s="16">
        <v>20897</v>
      </c>
      <c r="H71" s="17">
        <f t="shared" si="9"/>
        <v>9706</v>
      </c>
      <c r="I71" s="18">
        <v>30603</v>
      </c>
      <c r="J71" s="11">
        <f>IFERROR(VLOOKUP(B71,'Jun 26'!B:G,6,FALSE),0)</f>
        <v>20897</v>
      </c>
      <c r="K71" s="18">
        <v>0</v>
      </c>
      <c r="L71" s="18">
        <f t="shared" si="8"/>
        <v>0</v>
      </c>
      <c r="N71" s="33">
        <f t="shared" si="10"/>
        <v>0</v>
      </c>
    </row>
    <row r="72" spans="1:14" ht="16.5" thickTop="1" thickBot="1" x14ac:dyDescent="0.3">
      <c r="A72" s="12" t="s">
        <v>594</v>
      </c>
      <c r="B72" s="13">
        <v>89867</v>
      </c>
      <c r="C72" s="14" t="s">
        <v>23</v>
      </c>
      <c r="D72" s="40">
        <v>46126</v>
      </c>
      <c r="E72" s="40">
        <v>46192</v>
      </c>
      <c r="F72" s="40" t="s">
        <v>643</v>
      </c>
      <c r="G72" s="16">
        <v>14271.62</v>
      </c>
      <c r="H72" s="17">
        <f t="shared" si="9"/>
        <v>7648.6299999999992</v>
      </c>
      <c r="I72" s="18">
        <v>21920.25</v>
      </c>
      <c r="J72" s="11">
        <f>IFERROR(VLOOKUP(B72,'Jun 26'!B:G,6,FALSE),0)</f>
        <v>14271.62</v>
      </c>
      <c r="K72" s="18">
        <v>0</v>
      </c>
      <c r="L72" s="18">
        <f t="shared" si="8"/>
        <v>0</v>
      </c>
      <c r="N72" s="33">
        <f t="shared" si="10"/>
        <v>0</v>
      </c>
    </row>
    <row r="73" spans="1:14" ht="16.5" hidden="1" thickTop="1" thickBot="1" x14ac:dyDescent="0.3">
      <c r="A73" s="5" t="s">
        <v>70</v>
      </c>
      <c r="B73" s="81">
        <v>82632</v>
      </c>
      <c r="C73" s="82" t="s">
        <v>71</v>
      </c>
      <c r="D73" s="49">
        <v>45758</v>
      </c>
      <c r="E73" s="49">
        <v>46146</v>
      </c>
      <c r="F73" s="49">
        <v>46217</v>
      </c>
      <c r="G73" s="45">
        <v>0</v>
      </c>
      <c r="H73" s="58">
        <v>0</v>
      </c>
      <c r="I73" s="59">
        <v>0</v>
      </c>
      <c r="J73" s="59">
        <f>IFERROR(VLOOKUP(B73,'Jun 26'!B:G,6,FALSE),0)</f>
        <v>109478</v>
      </c>
      <c r="K73" s="59">
        <f>IF(G73=0,J73-G73,0)</f>
        <v>109478</v>
      </c>
      <c r="L73" s="59" t="s">
        <v>613</v>
      </c>
      <c r="N73" s="33">
        <v>-109478</v>
      </c>
    </row>
    <row r="74" spans="1:14" ht="16.5" thickTop="1" thickBot="1" x14ac:dyDescent="0.3">
      <c r="A74" s="5" t="s">
        <v>686</v>
      </c>
      <c r="B74" s="6">
        <v>87391</v>
      </c>
      <c r="C74" s="7" t="s">
        <v>19</v>
      </c>
      <c r="D74" s="39">
        <v>46168</v>
      </c>
      <c r="E74" s="39" t="s">
        <v>13</v>
      </c>
      <c r="F74" s="39" t="s">
        <v>13</v>
      </c>
      <c r="G74" s="9">
        <v>60000</v>
      </c>
      <c r="H74" s="10">
        <f>I74-G74</f>
        <v>42519</v>
      </c>
      <c r="I74" s="11">
        <v>102519</v>
      </c>
      <c r="J74" s="11">
        <f>IFERROR(VLOOKUP(B74,'Jun 26'!B:G,6,FALSE),0)</f>
        <v>60000</v>
      </c>
      <c r="K74" s="11"/>
      <c r="L74" s="11">
        <f t="shared" si="8"/>
        <v>0</v>
      </c>
      <c r="N74" s="33">
        <f t="shared" si="10"/>
        <v>0</v>
      </c>
    </row>
    <row r="75" spans="1:14" ht="16.5" hidden="1" thickTop="1" thickBot="1" x14ac:dyDescent="0.3">
      <c r="A75" s="5" t="s">
        <v>666</v>
      </c>
      <c r="B75" s="81">
        <v>90134</v>
      </c>
      <c r="C75" s="82" t="s">
        <v>19</v>
      </c>
      <c r="D75" s="49" t="s">
        <v>670</v>
      </c>
      <c r="E75" s="49">
        <v>46169</v>
      </c>
      <c r="F75" s="49">
        <v>46217</v>
      </c>
      <c r="G75" s="45">
        <v>0</v>
      </c>
      <c r="H75" s="58">
        <v>0</v>
      </c>
      <c r="I75" s="59">
        <v>0</v>
      </c>
      <c r="J75" s="59">
        <f>IFERROR(VLOOKUP(B75,'Jun 26'!B:G,6,FALSE),0)</f>
        <v>19000</v>
      </c>
      <c r="K75" s="59">
        <f>IF(G75=0,J75-G75,0)</f>
        <v>19000</v>
      </c>
      <c r="L75" s="59" t="s">
        <v>613</v>
      </c>
      <c r="N75" s="33">
        <v>-19000</v>
      </c>
    </row>
    <row r="76" spans="1:14" ht="16.5" thickTop="1" thickBot="1" x14ac:dyDescent="0.3">
      <c r="A76" s="5" t="s">
        <v>103</v>
      </c>
      <c r="B76" s="6">
        <v>84210</v>
      </c>
      <c r="C76" s="7" t="s">
        <v>44</v>
      </c>
      <c r="D76" s="39">
        <v>45876</v>
      </c>
      <c r="E76" s="39">
        <v>46164</v>
      </c>
      <c r="F76" s="39" t="s">
        <v>353</v>
      </c>
      <c r="G76" s="9">
        <v>31567</v>
      </c>
      <c r="H76" s="10">
        <v>46437</v>
      </c>
      <c r="I76" s="11">
        <v>78004</v>
      </c>
      <c r="J76" s="11">
        <f>IFERROR(VLOOKUP(B76,'Jun 26'!B:G,6,FALSE),0)</f>
        <v>31567</v>
      </c>
      <c r="K76" s="11">
        <v>0</v>
      </c>
      <c r="L76" s="11">
        <f t="shared" si="8"/>
        <v>0</v>
      </c>
      <c r="N76" s="33">
        <f t="shared" si="10"/>
        <v>0</v>
      </c>
    </row>
    <row r="77" spans="1:14" ht="16.5" hidden="1" thickTop="1" thickBot="1" x14ac:dyDescent="0.3">
      <c r="A77" s="5" t="s">
        <v>231</v>
      </c>
      <c r="B77" s="81">
        <v>88433</v>
      </c>
      <c r="C77" s="82" t="s">
        <v>14</v>
      </c>
      <c r="D77" s="49">
        <v>46036</v>
      </c>
      <c r="E77" s="49">
        <v>46155</v>
      </c>
      <c r="F77" s="49">
        <v>46209</v>
      </c>
      <c r="G77" s="45">
        <v>0</v>
      </c>
      <c r="H77" s="58">
        <v>0</v>
      </c>
      <c r="I77" s="59">
        <v>0</v>
      </c>
      <c r="J77" s="59">
        <f>IFERROR(VLOOKUP(B77,'Jun 26'!B:G,6,FALSE),0)</f>
        <v>84942.5</v>
      </c>
      <c r="K77" s="59">
        <f>J77-G77</f>
        <v>84942.5</v>
      </c>
      <c r="L77" s="59" t="s">
        <v>613</v>
      </c>
      <c r="N77" s="33">
        <v>-84942.5</v>
      </c>
    </row>
    <row r="78" spans="1:14" ht="16.5" thickTop="1" thickBot="1" x14ac:dyDescent="0.3">
      <c r="A78" s="5" t="s">
        <v>626</v>
      </c>
      <c r="B78" s="6">
        <v>88155</v>
      </c>
      <c r="C78" s="7" t="s">
        <v>23</v>
      </c>
      <c r="D78" s="39">
        <v>46135</v>
      </c>
      <c r="E78" s="39">
        <v>46163</v>
      </c>
      <c r="F78" s="39" t="s">
        <v>643</v>
      </c>
      <c r="G78" s="9">
        <v>26625</v>
      </c>
      <c r="H78" s="10">
        <f>I78-G78</f>
        <v>26625</v>
      </c>
      <c r="I78" s="11">
        <v>53250</v>
      </c>
      <c r="J78" s="11">
        <f>IFERROR(VLOOKUP(B78,'Jun 26'!B:G,6,FALSE),0)</f>
        <v>26625</v>
      </c>
      <c r="K78" s="11">
        <f>IF(G78=0,J78-G78,0)</f>
        <v>0</v>
      </c>
      <c r="L78" s="11">
        <f t="shared" ref="L78:L87" si="11">G78-J78</f>
        <v>0</v>
      </c>
      <c r="N78" s="33">
        <f t="shared" si="10"/>
        <v>0</v>
      </c>
    </row>
    <row r="79" spans="1:14" ht="16.5" thickTop="1" thickBot="1" x14ac:dyDescent="0.3">
      <c r="A79" s="5" t="s">
        <v>203</v>
      </c>
      <c r="B79" s="6">
        <v>87488</v>
      </c>
      <c r="C79" s="7" t="s">
        <v>14</v>
      </c>
      <c r="D79" s="39">
        <v>46007</v>
      </c>
      <c r="E79" s="39">
        <v>46195</v>
      </c>
      <c r="F79" s="39" t="s">
        <v>643</v>
      </c>
      <c r="G79" s="9">
        <v>17613</v>
      </c>
      <c r="H79" s="10">
        <v>17612</v>
      </c>
      <c r="I79" s="11">
        <v>35225</v>
      </c>
      <c r="J79" s="11">
        <f>IFERROR(VLOOKUP(B79,'Jun 26'!B:G,6,FALSE),0)</f>
        <v>17613</v>
      </c>
      <c r="K79" s="11">
        <v>0</v>
      </c>
      <c r="L79" s="11">
        <f t="shared" si="11"/>
        <v>0</v>
      </c>
      <c r="N79" s="33">
        <f t="shared" si="10"/>
        <v>0</v>
      </c>
    </row>
    <row r="80" spans="1:14" ht="16.5" thickTop="1" thickBot="1" x14ac:dyDescent="0.3">
      <c r="A80" s="5" t="s">
        <v>510</v>
      </c>
      <c r="B80" s="6">
        <v>89316</v>
      </c>
      <c r="C80" s="7" t="s">
        <v>511</v>
      </c>
      <c r="D80" s="39">
        <v>46100</v>
      </c>
      <c r="E80" s="39">
        <v>46174</v>
      </c>
      <c r="F80" s="39" t="s">
        <v>351</v>
      </c>
      <c r="G80" s="9">
        <v>56063</v>
      </c>
      <c r="H80" s="10">
        <v>56063</v>
      </c>
      <c r="I80" s="11">
        <v>112126</v>
      </c>
      <c r="J80" s="11">
        <f>IFERROR(VLOOKUP(B80,'Jun 26'!B:G,6,FALSE),0)</f>
        <v>56063</v>
      </c>
      <c r="K80" s="11">
        <v>0</v>
      </c>
      <c r="L80" s="11">
        <f t="shared" si="11"/>
        <v>0</v>
      </c>
      <c r="N80" s="33">
        <f t="shared" si="10"/>
        <v>0</v>
      </c>
    </row>
    <row r="81" spans="1:14" ht="16.5" thickTop="1" thickBot="1" x14ac:dyDescent="0.3">
      <c r="A81" s="5" t="s">
        <v>673</v>
      </c>
      <c r="B81" s="6">
        <v>90536</v>
      </c>
      <c r="C81" s="7" t="s">
        <v>23</v>
      </c>
      <c r="D81" s="39">
        <v>46160</v>
      </c>
      <c r="E81" s="39" t="s">
        <v>13</v>
      </c>
      <c r="F81" s="39" t="s">
        <v>13</v>
      </c>
      <c r="G81" s="9">
        <v>9055.57</v>
      </c>
      <c r="H81" s="10">
        <f>I81-G81</f>
        <v>9055.57</v>
      </c>
      <c r="I81" s="11">
        <v>18111.14</v>
      </c>
      <c r="J81" s="11">
        <f>IFERROR(VLOOKUP(B81,'Jun 26'!B:G,6,FALSE),0)</f>
        <v>9055.57</v>
      </c>
      <c r="K81" s="11"/>
      <c r="L81" s="11">
        <f t="shared" si="11"/>
        <v>0</v>
      </c>
      <c r="N81" s="33">
        <f t="shared" si="10"/>
        <v>0</v>
      </c>
    </row>
    <row r="82" spans="1:14" ht="16.5" thickTop="1" thickBot="1" x14ac:dyDescent="0.3">
      <c r="A82" s="5" t="s">
        <v>724</v>
      </c>
      <c r="B82" s="6">
        <v>90305</v>
      </c>
      <c r="C82" s="7" t="s">
        <v>23</v>
      </c>
      <c r="D82" s="39">
        <v>46188</v>
      </c>
      <c r="E82" s="39" t="s">
        <v>13</v>
      </c>
      <c r="F82" s="39" t="s">
        <v>13</v>
      </c>
      <c r="G82" s="9">
        <v>6823.18</v>
      </c>
      <c r="H82" s="10">
        <f>I82-G82</f>
        <v>6823.18</v>
      </c>
      <c r="I82" s="11">
        <v>13646.36</v>
      </c>
      <c r="J82" s="11">
        <f>IFERROR(VLOOKUP(B82,'Jun 26'!B:G,6,FALSE),0)</f>
        <v>6823.18</v>
      </c>
      <c r="K82" s="11">
        <v>0</v>
      </c>
      <c r="L82" s="11">
        <f t="shared" si="11"/>
        <v>0</v>
      </c>
      <c r="N82" s="33">
        <f t="shared" si="10"/>
        <v>0</v>
      </c>
    </row>
    <row r="83" spans="1:14" ht="16.5" thickTop="1" thickBot="1" x14ac:dyDescent="0.3">
      <c r="A83" s="5" t="s">
        <v>723</v>
      </c>
      <c r="B83" s="6">
        <v>86579</v>
      </c>
      <c r="C83" s="7" t="s">
        <v>23</v>
      </c>
      <c r="D83" s="39">
        <v>46188</v>
      </c>
      <c r="E83" s="39" t="s">
        <v>13</v>
      </c>
      <c r="F83" s="39" t="s">
        <v>13</v>
      </c>
      <c r="G83" s="9">
        <v>69123</v>
      </c>
      <c r="H83" s="10">
        <f>I83-G83</f>
        <v>66195</v>
      </c>
      <c r="I83" s="11">
        <v>135318</v>
      </c>
      <c r="J83" s="11">
        <f>IFERROR(VLOOKUP(B83,'Jun 26'!B:G,6,FALSE),0)</f>
        <v>69123</v>
      </c>
      <c r="K83" s="11">
        <v>0</v>
      </c>
      <c r="L83" s="11">
        <f t="shared" si="11"/>
        <v>0</v>
      </c>
      <c r="N83" s="33">
        <f t="shared" si="10"/>
        <v>0</v>
      </c>
    </row>
    <row r="84" spans="1:14" ht="16.5" hidden="1" thickTop="1" thickBot="1" x14ac:dyDescent="0.3">
      <c r="A84" s="5" t="s">
        <v>514</v>
      </c>
      <c r="B84" s="81">
        <v>86904</v>
      </c>
      <c r="C84" s="82" t="s">
        <v>23</v>
      </c>
      <c r="D84" s="49">
        <v>46105</v>
      </c>
      <c r="E84" s="49">
        <v>46163</v>
      </c>
      <c r="F84" s="49">
        <v>46211</v>
      </c>
      <c r="G84" s="45">
        <v>0</v>
      </c>
      <c r="H84" s="58">
        <v>6515</v>
      </c>
      <c r="I84" s="59">
        <v>13031</v>
      </c>
      <c r="J84" s="59">
        <f>IFERROR(VLOOKUP(B84,'Jun 26'!B:G,6,FALSE),0)</f>
        <v>6516</v>
      </c>
      <c r="K84" s="59">
        <f t="shared" ref="K84:K85" si="12">J84-G84</f>
        <v>6516</v>
      </c>
      <c r="L84" s="59" t="s">
        <v>613</v>
      </c>
      <c r="N84" s="33">
        <v>-6516</v>
      </c>
    </row>
    <row r="85" spans="1:14" ht="16.5" hidden="1" thickTop="1" thickBot="1" x14ac:dyDescent="0.3">
      <c r="A85" s="5" t="s">
        <v>658</v>
      </c>
      <c r="B85" s="81">
        <v>87965</v>
      </c>
      <c r="C85" s="82" t="s">
        <v>23</v>
      </c>
      <c r="D85" s="49" t="s">
        <v>668</v>
      </c>
      <c r="E85" s="49">
        <v>46181</v>
      </c>
      <c r="F85" s="49">
        <v>46213</v>
      </c>
      <c r="G85" s="45">
        <v>0</v>
      </c>
      <c r="H85" s="58">
        <f>I85-G85</f>
        <v>17510</v>
      </c>
      <c r="I85" s="59">
        <v>17510</v>
      </c>
      <c r="J85" s="59">
        <f>IFERROR(VLOOKUP(B85,'Jun 26'!B:G,6,FALSE),0)</f>
        <v>8755</v>
      </c>
      <c r="K85" s="59">
        <f t="shared" si="12"/>
        <v>8755</v>
      </c>
      <c r="L85" s="59" t="s">
        <v>613</v>
      </c>
      <c r="N85" s="33">
        <v>-8755</v>
      </c>
    </row>
    <row r="86" spans="1:14" ht="16.5" thickTop="1" thickBot="1" x14ac:dyDescent="0.3">
      <c r="A86" s="5" t="s">
        <v>627</v>
      </c>
      <c r="B86" s="6">
        <v>89168</v>
      </c>
      <c r="C86" s="7" t="s">
        <v>23</v>
      </c>
      <c r="D86" s="39">
        <v>46136</v>
      </c>
      <c r="E86" s="39" t="s">
        <v>13</v>
      </c>
      <c r="F86" s="39" t="s">
        <v>13</v>
      </c>
      <c r="G86" s="9">
        <v>30691</v>
      </c>
      <c r="H86" s="10">
        <f>I86-G86</f>
        <v>30691</v>
      </c>
      <c r="I86" s="11">
        <v>61382</v>
      </c>
      <c r="J86" s="11">
        <f>IFERROR(VLOOKUP(B86,'Jun 26'!B:G,6,FALSE),0)</f>
        <v>30691</v>
      </c>
      <c r="K86" s="11">
        <f>IF(G86=0,J86-G86,0)</f>
        <v>0</v>
      </c>
      <c r="L86" s="11">
        <f t="shared" si="11"/>
        <v>0</v>
      </c>
      <c r="N86" s="33">
        <f t="shared" si="10"/>
        <v>0</v>
      </c>
    </row>
    <row r="87" spans="1:14" ht="16.5" thickTop="1" thickBot="1" x14ac:dyDescent="0.3">
      <c r="A87" s="5" t="s">
        <v>717</v>
      </c>
      <c r="B87" s="6">
        <v>90956</v>
      </c>
      <c r="C87" s="7" t="s">
        <v>21</v>
      </c>
      <c r="D87" s="39">
        <v>46182</v>
      </c>
      <c r="E87" s="39" t="s">
        <v>13</v>
      </c>
      <c r="F87" s="39" t="s">
        <v>13</v>
      </c>
      <c r="G87" s="9">
        <v>5694.98</v>
      </c>
      <c r="H87" s="10">
        <f>I87-G87</f>
        <v>5694.9700000000012</v>
      </c>
      <c r="I87" s="11">
        <v>11389.95</v>
      </c>
      <c r="J87" s="11">
        <f>IFERROR(VLOOKUP(B87,'Jun 26'!B:G,6,FALSE),0)</f>
        <v>5694.98</v>
      </c>
      <c r="K87" s="11">
        <v>0</v>
      </c>
      <c r="L87" s="11">
        <f t="shared" si="11"/>
        <v>0</v>
      </c>
      <c r="N87" s="33">
        <f t="shared" si="10"/>
        <v>0</v>
      </c>
    </row>
    <row r="88" spans="1:14" ht="16.5" hidden="1" thickTop="1" thickBot="1" x14ac:dyDescent="0.3">
      <c r="A88" s="5" t="s">
        <v>650</v>
      </c>
      <c r="B88" s="81">
        <v>90566</v>
      </c>
      <c r="C88" s="82" t="s">
        <v>23</v>
      </c>
      <c r="D88" s="49">
        <v>46148</v>
      </c>
      <c r="E88" s="49">
        <v>46191</v>
      </c>
      <c r="F88" s="49">
        <v>46220</v>
      </c>
      <c r="G88" s="45">
        <v>0</v>
      </c>
      <c r="H88" s="58">
        <v>0</v>
      </c>
      <c r="I88" s="59">
        <v>0</v>
      </c>
      <c r="J88" s="59">
        <f>IFERROR(VLOOKUP(B88,'Jun 26'!B:G,6,FALSE),0)</f>
        <v>19409.04</v>
      </c>
      <c r="K88" s="59">
        <f>IF(G88=0,J88-G88,0)</f>
        <v>19409.04</v>
      </c>
      <c r="L88" s="59" t="s">
        <v>613</v>
      </c>
      <c r="N88" s="33">
        <v>-19409.04</v>
      </c>
    </row>
    <row r="89" spans="1:14" ht="16.5" thickTop="1" thickBot="1" x14ac:dyDescent="0.3">
      <c r="A89" s="5" t="s">
        <v>675</v>
      </c>
      <c r="B89" s="6">
        <v>90809</v>
      </c>
      <c r="C89" s="7" t="s">
        <v>21</v>
      </c>
      <c r="D89" s="39">
        <v>46162</v>
      </c>
      <c r="E89" s="39" t="s">
        <v>13</v>
      </c>
      <c r="F89" s="39" t="s">
        <v>13</v>
      </c>
      <c r="G89" s="9">
        <v>44300</v>
      </c>
      <c r="H89" s="10">
        <f t="shared" ref="H89:H95" si="13">I89-G89</f>
        <v>44290.17</v>
      </c>
      <c r="I89" s="11">
        <v>88590.17</v>
      </c>
      <c r="J89" s="11">
        <f>IFERROR(VLOOKUP(B89,'Jun 26'!B:G,6,FALSE),0)</f>
        <v>44300</v>
      </c>
      <c r="K89" s="11"/>
      <c r="L89" s="11">
        <f t="shared" ref="L89:L98" si="14">G89-J89</f>
        <v>0</v>
      </c>
      <c r="N89" s="33">
        <f t="shared" si="10"/>
        <v>0</v>
      </c>
    </row>
    <row r="90" spans="1:14" ht="16.5" thickTop="1" thickBot="1" x14ac:dyDescent="0.3">
      <c r="A90" s="5" t="s">
        <v>690</v>
      </c>
      <c r="B90" s="6">
        <v>90987</v>
      </c>
      <c r="C90" s="7" t="s">
        <v>21</v>
      </c>
      <c r="D90" s="39">
        <v>46170</v>
      </c>
      <c r="E90" s="39" t="s">
        <v>13</v>
      </c>
      <c r="F90" s="39" t="s">
        <v>13</v>
      </c>
      <c r="G90" s="9">
        <v>28000</v>
      </c>
      <c r="H90" s="10">
        <f t="shared" si="13"/>
        <v>26666.36</v>
      </c>
      <c r="I90" s="11">
        <v>54666.36</v>
      </c>
      <c r="J90" s="11">
        <f>IFERROR(VLOOKUP(B90,'Jun 26'!B:G,6,FALSE),0)</f>
        <v>28000</v>
      </c>
      <c r="K90" s="11"/>
      <c r="L90" s="11">
        <f t="shared" si="14"/>
        <v>0</v>
      </c>
      <c r="N90" s="33">
        <f t="shared" si="10"/>
        <v>0</v>
      </c>
    </row>
    <row r="91" spans="1:14" ht="16.5" thickTop="1" thickBot="1" x14ac:dyDescent="0.3">
      <c r="A91" s="5" t="s">
        <v>595</v>
      </c>
      <c r="B91" s="6">
        <v>89722</v>
      </c>
      <c r="C91" s="7" t="s">
        <v>39</v>
      </c>
      <c r="D91" s="39">
        <v>46120</v>
      </c>
      <c r="E91" s="39" t="s">
        <v>13</v>
      </c>
      <c r="F91" s="39" t="s">
        <v>13</v>
      </c>
      <c r="G91" s="9">
        <v>3826</v>
      </c>
      <c r="H91" s="10">
        <f t="shared" si="13"/>
        <v>3826.5600000000004</v>
      </c>
      <c r="I91" s="11">
        <v>7652.56</v>
      </c>
      <c r="J91" s="11">
        <f>IFERROR(VLOOKUP(B91,'Jun 26'!B:G,6,FALSE),0)</f>
        <v>3826</v>
      </c>
      <c r="K91" s="11">
        <v>0</v>
      </c>
      <c r="L91" s="11">
        <f t="shared" si="14"/>
        <v>0</v>
      </c>
      <c r="N91" s="33">
        <f t="shared" si="10"/>
        <v>0</v>
      </c>
    </row>
    <row r="92" spans="1:14" ht="16.5" thickTop="1" thickBot="1" x14ac:dyDescent="0.3">
      <c r="A92" s="5" t="s">
        <v>596</v>
      </c>
      <c r="B92" s="6">
        <v>86092</v>
      </c>
      <c r="C92" s="7" t="s">
        <v>23</v>
      </c>
      <c r="D92" s="39">
        <v>46120</v>
      </c>
      <c r="E92" s="39" t="s">
        <v>13</v>
      </c>
      <c r="F92" s="39" t="s">
        <v>13</v>
      </c>
      <c r="G92" s="9">
        <v>9201</v>
      </c>
      <c r="H92" s="10">
        <f t="shared" si="13"/>
        <v>9201.52</v>
      </c>
      <c r="I92" s="11">
        <v>18402.52</v>
      </c>
      <c r="J92" s="11">
        <f>IFERROR(VLOOKUP(B92,'Jun 26'!B:G,6,FALSE),0)</f>
        <v>9201</v>
      </c>
      <c r="K92" s="11">
        <v>0</v>
      </c>
      <c r="L92" s="11">
        <f t="shared" si="14"/>
        <v>0</v>
      </c>
      <c r="N92" s="33">
        <f t="shared" si="10"/>
        <v>0</v>
      </c>
    </row>
    <row r="93" spans="1:14" ht="16.5" thickTop="1" thickBot="1" x14ac:dyDescent="0.3">
      <c r="A93" s="5" t="s">
        <v>732</v>
      </c>
      <c r="B93" s="6">
        <v>91288</v>
      </c>
      <c r="C93" s="7" t="s">
        <v>23</v>
      </c>
      <c r="D93" s="39">
        <v>46198</v>
      </c>
      <c r="E93" s="39" t="s">
        <v>13</v>
      </c>
      <c r="F93" s="39" t="s">
        <v>13</v>
      </c>
      <c r="G93" s="9">
        <v>12700</v>
      </c>
      <c r="H93" s="10">
        <f t="shared" si="13"/>
        <v>12909.3</v>
      </c>
      <c r="I93" s="11">
        <v>25609.3</v>
      </c>
      <c r="J93" s="11">
        <f>IFERROR(VLOOKUP(B93,'Jun 26'!B:G,6,FALSE),0)</f>
        <v>12700</v>
      </c>
      <c r="K93" s="11">
        <v>0</v>
      </c>
      <c r="L93" s="11">
        <f t="shared" si="14"/>
        <v>0</v>
      </c>
      <c r="N93" s="33">
        <f t="shared" si="10"/>
        <v>0</v>
      </c>
    </row>
    <row r="94" spans="1:14" ht="16.5" hidden="1" thickTop="1" thickBot="1" x14ac:dyDescent="0.3">
      <c r="A94" s="5" t="s">
        <v>682</v>
      </c>
      <c r="B94" s="81">
        <v>90271</v>
      </c>
      <c r="C94" s="82" t="s">
        <v>57</v>
      </c>
      <c r="D94" s="49">
        <v>46164</v>
      </c>
      <c r="E94" s="49">
        <v>46199</v>
      </c>
      <c r="F94" s="49">
        <v>46210</v>
      </c>
      <c r="G94" s="45">
        <v>0</v>
      </c>
      <c r="H94" s="58">
        <v>0</v>
      </c>
      <c r="I94" s="59">
        <v>0</v>
      </c>
      <c r="J94" s="59">
        <f>IFERROR(VLOOKUP(B94,'Jun 26'!B:G,6,FALSE),0)</f>
        <v>7216.29</v>
      </c>
      <c r="K94" s="59">
        <f>IF(G94=0,J94-G94,0)</f>
        <v>7216.29</v>
      </c>
      <c r="L94" s="59" t="s">
        <v>613</v>
      </c>
      <c r="N94" s="33">
        <v>-7216.29</v>
      </c>
    </row>
    <row r="95" spans="1:14" ht="16.5" thickTop="1" thickBot="1" x14ac:dyDescent="0.3">
      <c r="A95" s="5" t="s">
        <v>722</v>
      </c>
      <c r="B95" s="6">
        <v>88266</v>
      </c>
      <c r="C95" s="7" t="s">
        <v>31</v>
      </c>
      <c r="D95" s="39">
        <v>46188</v>
      </c>
      <c r="E95" s="39" t="s">
        <v>13</v>
      </c>
      <c r="F95" s="39" t="s">
        <v>13</v>
      </c>
      <c r="G95" s="9">
        <v>40071</v>
      </c>
      <c r="H95" s="10">
        <f t="shared" si="13"/>
        <v>40071</v>
      </c>
      <c r="I95" s="11">
        <v>80142</v>
      </c>
      <c r="J95" s="11">
        <f>IFERROR(VLOOKUP(B95,'Jun 26'!B:G,6,FALSE),0)</f>
        <v>40071</v>
      </c>
      <c r="K95" s="11">
        <v>0</v>
      </c>
      <c r="L95" s="11">
        <f t="shared" si="14"/>
        <v>0</v>
      </c>
      <c r="N95" s="33">
        <f t="shared" si="10"/>
        <v>0</v>
      </c>
    </row>
    <row r="96" spans="1:14" ht="16.5" thickTop="1" thickBot="1" x14ac:dyDescent="0.3">
      <c r="A96" s="5" t="s">
        <v>93</v>
      </c>
      <c r="B96" s="6">
        <v>78503</v>
      </c>
      <c r="C96" s="7" t="s">
        <v>28</v>
      </c>
      <c r="D96" s="39">
        <v>45825</v>
      </c>
      <c r="E96" s="39" t="s">
        <v>13</v>
      </c>
      <c r="F96" s="39" t="s">
        <v>13</v>
      </c>
      <c r="G96" s="9">
        <v>15815</v>
      </c>
      <c r="H96" s="10">
        <v>15814</v>
      </c>
      <c r="I96" s="11">
        <v>31629</v>
      </c>
      <c r="J96" s="11">
        <f>IFERROR(VLOOKUP(B96,'Jun 26'!B:G,6,FALSE),0)</f>
        <v>15815</v>
      </c>
      <c r="K96" s="11">
        <v>0</v>
      </c>
      <c r="L96" s="11">
        <f t="shared" si="14"/>
        <v>0</v>
      </c>
      <c r="N96" s="33">
        <f t="shared" si="10"/>
        <v>0</v>
      </c>
    </row>
    <row r="97" spans="1:14" ht="16.5" thickTop="1" thickBot="1" x14ac:dyDescent="0.3">
      <c r="A97" s="5" t="s">
        <v>653</v>
      </c>
      <c r="B97" s="6">
        <v>90032</v>
      </c>
      <c r="C97" s="7" t="s">
        <v>655</v>
      </c>
      <c r="D97" s="39">
        <v>46150</v>
      </c>
      <c r="E97" s="39" t="s">
        <v>13</v>
      </c>
      <c r="F97" s="39" t="s">
        <v>13</v>
      </c>
      <c r="G97" s="9">
        <v>9955</v>
      </c>
      <c r="H97" s="10">
        <f t="shared" ref="H97:H102" si="15">I97-G97</f>
        <v>10598.619999999999</v>
      </c>
      <c r="I97" s="11">
        <v>20553.62</v>
      </c>
      <c r="J97" s="11">
        <f>IFERROR(VLOOKUP(B97,'Jun 26'!B:G,6,FALSE),0)</f>
        <v>9955</v>
      </c>
      <c r="K97" s="11">
        <v>0</v>
      </c>
      <c r="L97" s="11">
        <f t="shared" si="14"/>
        <v>0</v>
      </c>
      <c r="N97" s="33">
        <f t="shared" si="10"/>
        <v>0</v>
      </c>
    </row>
    <row r="98" spans="1:14" ht="16.5" thickTop="1" thickBot="1" x14ac:dyDescent="0.3">
      <c r="A98" s="5" t="s">
        <v>712</v>
      </c>
      <c r="B98" s="6">
        <v>90364</v>
      </c>
      <c r="C98" s="7" t="s">
        <v>20</v>
      </c>
      <c r="D98" s="39">
        <v>46181</v>
      </c>
      <c r="E98" s="39" t="s">
        <v>13</v>
      </c>
      <c r="F98" s="39" t="s">
        <v>13</v>
      </c>
      <c r="G98" s="9">
        <v>11314.88</v>
      </c>
      <c r="H98" s="10">
        <f t="shared" si="15"/>
        <v>11314.87</v>
      </c>
      <c r="I98" s="11">
        <v>22629.75</v>
      </c>
      <c r="J98" s="11">
        <f>IFERROR(VLOOKUP(B98,'Jun 26'!B:G,6,FALSE),0)</f>
        <v>11314.88</v>
      </c>
      <c r="K98" s="11">
        <v>0</v>
      </c>
      <c r="L98" s="11">
        <f t="shared" si="14"/>
        <v>0</v>
      </c>
      <c r="N98" s="33">
        <f t="shared" si="10"/>
        <v>0</v>
      </c>
    </row>
    <row r="99" spans="1:14" ht="16.5" thickTop="1" thickBot="1" x14ac:dyDescent="0.3">
      <c r="A99" s="5" t="s">
        <v>740</v>
      </c>
      <c r="B99" s="6">
        <v>88971</v>
      </c>
      <c r="C99" s="7" t="s">
        <v>33</v>
      </c>
      <c r="D99" s="39">
        <v>46202</v>
      </c>
      <c r="E99" s="39" t="s">
        <v>13</v>
      </c>
      <c r="F99" s="39" t="s">
        <v>13</v>
      </c>
      <c r="G99" s="9">
        <v>9297.77</v>
      </c>
      <c r="H99" s="10">
        <f t="shared" si="15"/>
        <v>9297.7599999999984</v>
      </c>
      <c r="I99" s="11">
        <v>18595.53</v>
      </c>
      <c r="J99" s="11">
        <f>IFERROR(VLOOKUP(B99,'Jun 26'!B:G,6,FALSE),0)</f>
        <v>9297.77</v>
      </c>
      <c r="K99" s="11">
        <v>0</v>
      </c>
      <c r="L99" s="11">
        <f>G99-J99</f>
        <v>0</v>
      </c>
      <c r="N99" s="33">
        <f t="shared" si="10"/>
        <v>0</v>
      </c>
    </row>
    <row r="100" spans="1:14" ht="16.5" thickTop="1" thickBot="1" x14ac:dyDescent="0.3">
      <c r="A100" s="5" t="s">
        <v>725</v>
      </c>
      <c r="B100" s="6">
        <v>88804</v>
      </c>
      <c r="C100" s="7" t="s">
        <v>23</v>
      </c>
      <c r="D100" s="39">
        <v>46189</v>
      </c>
      <c r="E100" s="39" t="s">
        <v>13</v>
      </c>
      <c r="F100" s="39" t="s">
        <v>13</v>
      </c>
      <c r="G100" s="19">
        <v>19363.689999999999</v>
      </c>
      <c r="H100" s="10">
        <f t="shared" si="15"/>
        <v>0</v>
      </c>
      <c r="I100" s="11">
        <v>19363.689999999999</v>
      </c>
      <c r="J100" s="11">
        <f>IFERROR(VLOOKUP(B100,'Jun 26'!B:G,6,FALSE),0)</f>
        <v>19363.689999999999</v>
      </c>
      <c r="K100" s="11">
        <v>0</v>
      </c>
      <c r="L100" s="11">
        <f>G100-J100</f>
        <v>0</v>
      </c>
      <c r="N100" s="33">
        <f t="shared" si="10"/>
        <v>0</v>
      </c>
    </row>
    <row r="101" spans="1:14" ht="16.5" thickTop="1" thickBot="1" x14ac:dyDescent="0.3">
      <c r="A101" s="5" t="s">
        <v>631</v>
      </c>
      <c r="B101" s="6">
        <v>89293</v>
      </c>
      <c r="C101" s="7" t="s">
        <v>19</v>
      </c>
      <c r="D101" s="39">
        <v>46139</v>
      </c>
      <c r="E101" s="39">
        <v>46169</v>
      </c>
      <c r="F101" s="39" t="s">
        <v>577</v>
      </c>
      <c r="G101" s="9">
        <v>15723</v>
      </c>
      <c r="H101" s="10">
        <f t="shared" si="15"/>
        <v>15722</v>
      </c>
      <c r="I101" s="11">
        <v>31445</v>
      </c>
      <c r="J101" s="11">
        <f>IFERROR(VLOOKUP(B101,'Jun 26'!B:G,6,FALSE),0)</f>
        <v>15723</v>
      </c>
      <c r="K101" s="11">
        <f>IF(G101=0,J101-G101,0)</f>
        <v>0</v>
      </c>
      <c r="L101" s="11">
        <f>G101-J101</f>
        <v>0</v>
      </c>
      <c r="N101" s="33">
        <f t="shared" si="10"/>
        <v>0</v>
      </c>
    </row>
    <row r="102" spans="1:14" ht="16.5" thickTop="1" thickBot="1" x14ac:dyDescent="0.3">
      <c r="A102" s="5" t="s">
        <v>716</v>
      </c>
      <c r="B102" s="6">
        <v>91004</v>
      </c>
      <c r="C102" s="7" t="s">
        <v>14</v>
      </c>
      <c r="D102" s="39">
        <v>46182</v>
      </c>
      <c r="E102" s="39" t="s">
        <v>13</v>
      </c>
      <c r="F102" s="39" t="s">
        <v>13</v>
      </c>
      <c r="G102" s="9">
        <v>13225.66</v>
      </c>
      <c r="H102" s="10">
        <f t="shared" si="15"/>
        <v>13225.66</v>
      </c>
      <c r="I102" s="11">
        <v>26451.32</v>
      </c>
      <c r="J102" s="11">
        <f>IFERROR(VLOOKUP(B102,'Jun 26'!B:G,6,FALSE),0)</f>
        <v>13225.66</v>
      </c>
      <c r="K102" s="11">
        <v>0</v>
      </c>
      <c r="L102" s="11">
        <f t="shared" ref="L102:L107" si="16">G102-J102</f>
        <v>0</v>
      </c>
      <c r="N102" s="33">
        <f t="shared" si="10"/>
        <v>0</v>
      </c>
    </row>
    <row r="103" spans="1:14" ht="16.5" thickTop="1" thickBot="1" x14ac:dyDescent="0.3">
      <c r="A103" s="5" t="s">
        <v>106</v>
      </c>
      <c r="B103" s="6">
        <v>85604</v>
      </c>
      <c r="C103" s="7" t="s">
        <v>17</v>
      </c>
      <c r="D103" s="39">
        <v>45881</v>
      </c>
      <c r="E103" s="39">
        <v>46156</v>
      </c>
      <c r="F103" s="39" t="s">
        <v>351</v>
      </c>
      <c r="G103" s="19">
        <v>80676.28</v>
      </c>
      <c r="H103" s="10">
        <v>-4388.2799999999988</v>
      </c>
      <c r="I103" s="11">
        <v>76288</v>
      </c>
      <c r="J103" s="11">
        <f>IFERROR(VLOOKUP(B103,'Jun 26'!B:G,6,FALSE),0)</f>
        <v>80676.28</v>
      </c>
      <c r="K103" s="11">
        <v>0</v>
      </c>
      <c r="L103" s="11">
        <f t="shared" si="16"/>
        <v>0</v>
      </c>
      <c r="N103" s="33">
        <f t="shared" si="10"/>
        <v>0</v>
      </c>
    </row>
    <row r="104" spans="1:14" ht="16.5" thickTop="1" thickBot="1" x14ac:dyDescent="0.3">
      <c r="A104" s="5" t="s">
        <v>43</v>
      </c>
      <c r="B104" s="6">
        <v>80858</v>
      </c>
      <c r="C104" s="7" t="s">
        <v>44</v>
      </c>
      <c r="D104" s="39">
        <v>45987</v>
      </c>
      <c r="E104" s="39" t="s">
        <v>13</v>
      </c>
      <c r="F104" s="39" t="s">
        <v>13</v>
      </c>
      <c r="G104" s="9">
        <v>6843</v>
      </c>
      <c r="H104" s="10">
        <v>6843</v>
      </c>
      <c r="I104" s="11">
        <v>13686</v>
      </c>
      <c r="J104" s="11">
        <f>IFERROR(VLOOKUP(B104,'Jun 26'!B:G,6,FALSE),0)</f>
        <v>6843</v>
      </c>
      <c r="K104" s="11">
        <v>0</v>
      </c>
      <c r="L104" s="11">
        <f t="shared" si="16"/>
        <v>0</v>
      </c>
      <c r="N104" s="33">
        <f t="shared" si="10"/>
        <v>0</v>
      </c>
    </row>
    <row r="105" spans="1:14" ht="16.5" thickTop="1" thickBot="1" x14ac:dyDescent="0.3">
      <c r="A105" s="5" t="s">
        <v>506</v>
      </c>
      <c r="B105" s="81">
        <v>83550</v>
      </c>
      <c r="C105" s="82" t="s">
        <v>505</v>
      </c>
      <c r="D105" s="49">
        <v>46100</v>
      </c>
      <c r="E105" s="49">
        <v>46183</v>
      </c>
      <c r="F105" s="49" t="s">
        <v>643</v>
      </c>
      <c r="G105" s="45">
        <v>0</v>
      </c>
      <c r="H105" s="58">
        <v>0</v>
      </c>
      <c r="I105" s="59">
        <v>0</v>
      </c>
      <c r="J105" s="59">
        <f>IFERROR(VLOOKUP(B105,'Jun 26'!B:G,6,FALSE),0)</f>
        <v>17904</v>
      </c>
      <c r="K105" s="59">
        <f>IF(G105=0,J105-G105,0)</f>
        <v>17904</v>
      </c>
      <c r="L105" s="59" t="s">
        <v>613</v>
      </c>
      <c r="N105" s="33" t="e">
        <f t="shared" si="10"/>
        <v>#VALUE!</v>
      </c>
    </row>
    <row r="106" spans="1:14" ht="16.5" thickTop="1" thickBot="1" x14ac:dyDescent="0.3">
      <c r="A106" s="5" t="s">
        <v>662</v>
      </c>
      <c r="B106" s="6">
        <v>90183</v>
      </c>
      <c r="C106" s="7" t="s">
        <v>78</v>
      </c>
      <c r="D106" s="39" t="s">
        <v>670</v>
      </c>
      <c r="E106" s="39">
        <v>46184</v>
      </c>
      <c r="F106" s="39" t="s">
        <v>643</v>
      </c>
      <c r="G106" s="9">
        <v>18889</v>
      </c>
      <c r="H106" s="10">
        <f>I106-G106</f>
        <v>18889</v>
      </c>
      <c r="I106" s="11">
        <v>37778</v>
      </c>
      <c r="J106" s="11">
        <f>IFERROR(VLOOKUP(B106,'Jun 26'!B:G,6,FALSE),0)</f>
        <v>18889</v>
      </c>
      <c r="K106" s="11">
        <v>0</v>
      </c>
      <c r="L106" s="11">
        <f t="shared" si="16"/>
        <v>0</v>
      </c>
      <c r="N106" s="33">
        <f t="shared" si="10"/>
        <v>0</v>
      </c>
    </row>
    <row r="107" spans="1:14" ht="16.5" thickTop="1" thickBot="1" x14ac:dyDescent="0.3">
      <c r="A107" s="5" t="s">
        <v>736</v>
      </c>
      <c r="B107" s="6">
        <v>90746</v>
      </c>
      <c r="C107" s="7" t="s">
        <v>40</v>
      </c>
      <c r="D107" s="39">
        <v>46199</v>
      </c>
      <c r="E107" s="39" t="s">
        <v>13</v>
      </c>
      <c r="F107" s="39" t="s">
        <v>13</v>
      </c>
      <c r="G107" s="9">
        <v>13469.26</v>
      </c>
      <c r="H107" s="10">
        <f>I107-G107</f>
        <v>13557.699999999999</v>
      </c>
      <c r="I107" s="11">
        <v>27026.959999999999</v>
      </c>
      <c r="J107" s="11">
        <f>IFERROR(VLOOKUP(B107,'Jun 26'!B:G,6,FALSE),0)</f>
        <v>13469.26</v>
      </c>
      <c r="K107" s="11">
        <v>0</v>
      </c>
      <c r="L107" s="11">
        <f t="shared" si="16"/>
        <v>0</v>
      </c>
      <c r="N107" s="33">
        <f t="shared" si="10"/>
        <v>0</v>
      </c>
    </row>
    <row r="108" spans="1:14" ht="16.5" thickTop="1" thickBot="1" x14ac:dyDescent="0.3">
      <c r="A108" s="5" t="s">
        <v>618</v>
      </c>
      <c r="B108" s="6">
        <v>90089</v>
      </c>
      <c r="C108" s="7" t="s">
        <v>619</v>
      </c>
      <c r="D108" s="39">
        <v>46133</v>
      </c>
      <c r="E108" s="39" t="s">
        <v>13</v>
      </c>
      <c r="F108" s="39" t="s">
        <v>13</v>
      </c>
      <c r="G108" s="19">
        <v>36368.01</v>
      </c>
      <c r="H108" s="10">
        <f>I108-G108</f>
        <v>0</v>
      </c>
      <c r="I108" s="11">
        <v>36368.01</v>
      </c>
      <c r="J108" s="11">
        <f>IFERROR(VLOOKUP(B108,'Jun 26'!B:G,6,FALSE),0)</f>
        <v>36368.01</v>
      </c>
      <c r="K108" s="11">
        <f>IF(G108=0,J108-G108,0)</f>
        <v>0</v>
      </c>
      <c r="L108" s="11">
        <f t="shared" ref="L108:L113" si="17">G108-J108</f>
        <v>0</v>
      </c>
      <c r="N108" s="33">
        <f t="shared" si="10"/>
        <v>0</v>
      </c>
    </row>
    <row r="109" spans="1:14" ht="16.5" thickTop="1" thickBot="1" x14ac:dyDescent="0.3">
      <c r="A109" s="5" t="s">
        <v>338</v>
      </c>
      <c r="B109" s="13">
        <v>87824</v>
      </c>
      <c r="C109" s="14" t="s">
        <v>20</v>
      </c>
      <c r="D109" s="40">
        <v>46079</v>
      </c>
      <c r="E109" s="40">
        <v>46189</v>
      </c>
      <c r="F109" s="40" t="s">
        <v>643</v>
      </c>
      <c r="G109" s="16">
        <f>114706.5+129669.28</f>
        <v>244375.78</v>
      </c>
      <c r="H109" s="17">
        <v>0</v>
      </c>
      <c r="I109" s="18">
        <v>224357.78</v>
      </c>
      <c r="J109" s="18">
        <f>IFERROR(VLOOKUP(B109,'Jun 26'!B:G,6,FALSE),0)</f>
        <v>114706.5</v>
      </c>
      <c r="K109" s="18">
        <f>IF(G109=0,J109-G109,0)</f>
        <v>0</v>
      </c>
      <c r="L109" s="18">
        <f>G109-J109</f>
        <v>129669.28</v>
      </c>
      <c r="N109" s="33">
        <f t="shared" si="10"/>
        <v>129669.28</v>
      </c>
    </row>
    <row r="110" spans="1:14" ht="16.5" thickTop="1" thickBot="1" x14ac:dyDescent="0.3">
      <c r="A110" s="5" t="s">
        <v>741</v>
      </c>
      <c r="B110" s="6">
        <v>89558</v>
      </c>
      <c r="C110" s="7" t="s">
        <v>19</v>
      </c>
      <c r="D110" s="39">
        <v>46203</v>
      </c>
      <c r="E110" s="39" t="s">
        <v>13</v>
      </c>
      <c r="F110" s="39" t="s">
        <v>13</v>
      </c>
      <c r="G110" s="9">
        <v>14801</v>
      </c>
      <c r="H110" s="10">
        <f t="shared" ref="H110:H116" si="18">I110-G110</f>
        <v>14800</v>
      </c>
      <c r="I110" s="11">
        <v>29601</v>
      </c>
      <c r="J110" s="11">
        <f>IFERROR(VLOOKUP(B110,'Jun 26'!B:G,6,FALSE),0)</f>
        <v>14801</v>
      </c>
      <c r="K110" s="11">
        <v>0</v>
      </c>
      <c r="L110" s="11">
        <f t="shared" si="17"/>
        <v>0</v>
      </c>
      <c r="N110" s="33">
        <f t="shared" si="10"/>
        <v>0</v>
      </c>
    </row>
    <row r="111" spans="1:14" ht="16.5" thickTop="1" thickBot="1" x14ac:dyDescent="0.3">
      <c r="A111" s="5" t="s">
        <v>645</v>
      </c>
      <c r="B111" s="6">
        <v>86208</v>
      </c>
      <c r="C111" s="7" t="s">
        <v>38</v>
      </c>
      <c r="D111" s="39">
        <v>46143</v>
      </c>
      <c r="E111" s="39" t="s">
        <v>13</v>
      </c>
      <c r="F111" s="39" t="s">
        <v>13</v>
      </c>
      <c r="G111" s="9">
        <v>22287</v>
      </c>
      <c r="H111" s="10">
        <f t="shared" si="18"/>
        <v>22286</v>
      </c>
      <c r="I111" s="11">
        <v>44573</v>
      </c>
      <c r="J111" s="11">
        <f>IFERROR(VLOOKUP(B111,'Jun 26'!B:G,6,FALSE),0)</f>
        <v>22287</v>
      </c>
      <c r="K111" s="11">
        <v>0</v>
      </c>
      <c r="L111" s="11">
        <f t="shared" si="17"/>
        <v>0</v>
      </c>
      <c r="N111" s="33">
        <f t="shared" si="10"/>
        <v>0</v>
      </c>
    </row>
    <row r="112" spans="1:14" ht="16.5" thickTop="1" thickBot="1" x14ac:dyDescent="0.3">
      <c r="A112" s="5" t="s">
        <v>705</v>
      </c>
      <c r="B112" s="6">
        <v>89161</v>
      </c>
      <c r="C112" s="7" t="s">
        <v>21</v>
      </c>
      <c r="D112" s="39">
        <v>46177</v>
      </c>
      <c r="E112" s="39" t="s">
        <v>13</v>
      </c>
      <c r="F112" s="39" t="s">
        <v>13</v>
      </c>
      <c r="G112" s="9">
        <v>30982</v>
      </c>
      <c r="H112" s="10">
        <f t="shared" si="18"/>
        <v>30981</v>
      </c>
      <c r="I112" s="11">
        <v>61963</v>
      </c>
      <c r="J112" s="11">
        <f>IFERROR(VLOOKUP(B112,'Jun 26'!B:G,6,FALSE),0)</f>
        <v>30982</v>
      </c>
      <c r="K112" s="11">
        <v>0</v>
      </c>
      <c r="L112" s="11">
        <f t="shared" si="17"/>
        <v>0</v>
      </c>
      <c r="N112" s="33">
        <f t="shared" si="10"/>
        <v>0</v>
      </c>
    </row>
    <row r="113" spans="1:14" ht="16.5" thickTop="1" thickBot="1" x14ac:dyDescent="0.3">
      <c r="A113" s="5" t="s">
        <v>600</v>
      </c>
      <c r="B113" s="6">
        <v>89295</v>
      </c>
      <c r="C113" s="7" t="s">
        <v>21</v>
      </c>
      <c r="D113" s="39">
        <v>46127</v>
      </c>
      <c r="E113" s="39" t="s">
        <v>13</v>
      </c>
      <c r="F113" s="39" t="s">
        <v>13</v>
      </c>
      <c r="G113" s="9">
        <v>26512</v>
      </c>
      <c r="H113" s="10">
        <f t="shared" si="18"/>
        <v>26512</v>
      </c>
      <c r="I113" s="11">
        <v>53024</v>
      </c>
      <c r="J113" s="11">
        <f>IFERROR(VLOOKUP(B113,'Jun 26'!B:G,6,FALSE),0)</f>
        <v>26512</v>
      </c>
      <c r="K113" s="11">
        <v>0</v>
      </c>
      <c r="L113" s="11">
        <f t="shared" si="17"/>
        <v>0</v>
      </c>
      <c r="N113" s="33">
        <f t="shared" si="10"/>
        <v>0</v>
      </c>
    </row>
    <row r="114" spans="1:14" ht="16.5" thickTop="1" thickBot="1" x14ac:dyDescent="0.3">
      <c r="A114" s="5" t="s">
        <v>680</v>
      </c>
      <c r="B114" s="6">
        <v>90873</v>
      </c>
      <c r="C114" s="7" t="s">
        <v>11</v>
      </c>
      <c r="D114" s="39">
        <v>46164</v>
      </c>
      <c r="E114" s="39" t="s">
        <v>13</v>
      </c>
      <c r="F114" s="39" t="s">
        <v>13</v>
      </c>
      <c r="G114" s="9">
        <v>54502.32</v>
      </c>
      <c r="H114" s="10">
        <f t="shared" si="18"/>
        <v>45373.32</v>
      </c>
      <c r="I114" s="11">
        <v>99875.64</v>
      </c>
      <c r="J114" s="11">
        <f>IFERROR(VLOOKUP(B114,'Jun 26'!B:G,6,FALSE),0)</f>
        <v>54502.32</v>
      </c>
      <c r="K114" s="11"/>
      <c r="L114" s="11">
        <f>G114-J114</f>
        <v>0</v>
      </c>
      <c r="N114" s="33">
        <f t="shared" si="10"/>
        <v>0</v>
      </c>
    </row>
    <row r="115" spans="1:14" ht="16.5" thickTop="1" thickBot="1" x14ac:dyDescent="0.3">
      <c r="A115" s="5" t="s">
        <v>606</v>
      </c>
      <c r="B115" s="6">
        <v>88850</v>
      </c>
      <c r="C115" s="7" t="s">
        <v>14</v>
      </c>
      <c r="D115" s="39">
        <v>46115</v>
      </c>
      <c r="E115" s="39" t="s">
        <v>13</v>
      </c>
      <c r="F115" s="39" t="s">
        <v>13</v>
      </c>
      <c r="G115" s="9">
        <v>49392</v>
      </c>
      <c r="H115" s="10">
        <f t="shared" si="18"/>
        <v>49391</v>
      </c>
      <c r="I115" s="11">
        <v>98783</v>
      </c>
      <c r="J115" s="11">
        <f>IFERROR(VLOOKUP(B115,'Jun 26'!B:G,6,FALSE),0)</f>
        <v>49392</v>
      </c>
      <c r="K115" s="11">
        <v>0</v>
      </c>
      <c r="L115" s="11">
        <f t="shared" ref="L115:L123" si="19">G115-J115</f>
        <v>0</v>
      </c>
      <c r="N115" s="33">
        <f t="shared" si="10"/>
        <v>0</v>
      </c>
    </row>
    <row r="116" spans="1:14" ht="16.5" thickTop="1" thickBot="1" x14ac:dyDescent="0.3">
      <c r="A116" s="5" t="s">
        <v>739</v>
      </c>
      <c r="B116" s="6">
        <v>89066</v>
      </c>
      <c r="C116" s="7" t="s">
        <v>20</v>
      </c>
      <c r="D116" s="39">
        <v>46202</v>
      </c>
      <c r="E116" s="39" t="s">
        <v>13</v>
      </c>
      <c r="F116" s="39" t="s">
        <v>13</v>
      </c>
      <c r="G116" s="9">
        <v>13039.91</v>
      </c>
      <c r="H116" s="10">
        <f t="shared" si="18"/>
        <v>13039.900000000001</v>
      </c>
      <c r="I116" s="11">
        <v>26079.81</v>
      </c>
      <c r="J116" s="11">
        <f>IFERROR(VLOOKUP(B116,'Jun 26'!B:G,6,FALSE),0)</f>
        <v>13039.91</v>
      </c>
      <c r="K116" s="11">
        <v>0</v>
      </c>
      <c r="L116" s="11">
        <f t="shared" si="19"/>
        <v>0</v>
      </c>
      <c r="N116" s="33">
        <f t="shared" si="10"/>
        <v>0</v>
      </c>
    </row>
    <row r="117" spans="1:14" ht="16.5" thickTop="1" thickBot="1" x14ac:dyDescent="0.3">
      <c r="A117" s="5" t="s">
        <v>648</v>
      </c>
      <c r="B117" s="81">
        <v>90101</v>
      </c>
      <c r="C117" s="82" t="s">
        <v>654</v>
      </c>
      <c r="D117" s="49">
        <v>46148</v>
      </c>
      <c r="E117" s="49">
        <v>46175</v>
      </c>
      <c r="F117" s="49" t="s">
        <v>577</v>
      </c>
      <c r="G117" s="45">
        <v>0</v>
      </c>
      <c r="H117" s="58">
        <v>0</v>
      </c>
      <c r="I117" s="59">
        <v>0</v>
      </c>
      <c r="J117" s="59">
        <f>IFERROR(VLOOKUP(B117,'Jun 26'!B:G,6,FALSE),0)</f>
        <v>18412</v>
      </c>
      <c r="K117" s="59">
        <f>IF(G117=0,J117-G117,0)</f>
        <v>18412</v>
      </c>
      <c r="L117" s="59" t="s">
        <v>613</v>
      </c>
      <c r="N117" s="33" t="e">
        <f t="shared" si="10"/>
        <v>#VALUE!</v>
      </c>
    </row>
    <row r="118" spans="1:14" ht="16.5" hidden="1" thickTop="1" thickBot="1" x14ac:dyDescent="0.3">
      <c r="A118" s="5" t="s">
        <v>574</v>
      </c>
      <c r="B118" s="81">
        <v>89520</v>
      </c>
      <c r="C118" s="82" t="s">
        <v>254</v>
      </c>
      <c r="D118" s="49">
        <v>46112</v>
      </c>
      <c r="E118" s="49">
        <v>46140</v>
      </c>
      <c r="F118" s="49">
        <v>46224</v>
      </c>
      <c r="G118" s="45">
        <v>0</v>
      </c>
      <c r="H118" s="58">
        <v>0</v>
      </c>
      <c r="I118" s="59">
        <v>0</v>
      </c>
      <c r="J118" s="59">
        <f>IFERROR(VLOOKUP(B118,'Jun 26'!B:G,6,FALSE),0)</f>
        <v>8091.5</v>
      </c>
      <c r="K118" s="59">
        <f>IF(G118=0,J118-G118,0)</f>
        <v>8091.5</v>
      </c>
      <c r="L118" s="59" t="s">
        <v>613</v>
      </c>
      <c r="N118" s="33">
        <v>-8091.5</v>
      </c>
    </row>
    <row r="119" spans="1:14" ht="16.5" thickTop="1" thickBot="1" x14ac:dyDescent="0.3">
      <c r="A119" s="5" t="s">
        <v>625</v>
      </c>
      <c r="B119" s="6">
        <v>85309</v>
      </c>
      <c r="C119" s="7" t="s">
        <v>634</v>
      </c>
      <c r="D119" s="39">
        <v>46135</v>
      </c>
      <c r="E119" s="39">
        <v>46189</v>
      </c>
      <c r="F119" s="39" t="s">
        <v>643</v>
      </c>
      <c r="G119" s="9">
        <v>14942</v>
      </c>
      <c r="H119" s="10">
        <f t="shared" ref="H119:H129" si="20">I119-G119</f>
        <v>14942</v>
      </c>
      <c r="I119" s="11">
        <v>29884</v>
      </c>
      <c r="J119" s="11">
        <f>IFERROR(VLOOKUP(B119,'Jun 26'!B:G,6,FALSE),0)</f>
        <v>14942</v>
      </c>
      <c r="K119" s="11">
        <f>IF(G119=0,J119-G119,0)</f>
        <v>0</v>
      </c>
      <c r="L119" s="11">
        <f t="shared" si="19"/>
        <v>0</v>
      </c>
      <c r="N119" s="33">
        <f t="shared" si="10"/>
        <v>0</v>
      </c>
    </row>
    <row r="120" spans="1:14" ht="16.5" thickTop="1" thickBot="1" x14ac:dyDescent="0.3">
      <c r="A120" s="5" t="s">
        <v>727</v>
      </c>
      <c r="B120" s="6">
        <v>87536</v>
      </c>
      <c r="C120" s="7" t="s">
        <v>737</v>
      </c>
      <c r="D120" s="39">
        <v>46190</v>
      </c>
      <c r="E120" s="39" t="s">
        <v>13</v>
      </c>
      <c r="F120" s="39" t="s">
        <v>13</v>
      </c>
      <c r="G120" s="9">
        <v>17907.14</v>
      </c>
      <c r="H120" s="10">
        <f t="shared" si="20"/>
        <v>17907.14</v>
      </c>
      <c r="I120" s="11">
        <v>35814.28</v>
      </c>
      <c r="J120" s="11">
        <f>IFERROR(VLOOKUP(B120,'Jun 26'!B:G,6,FALSE),0)</f>
        <v>17907.14</v>
      </c>
      <c r="K120" s="11">
        <v>0</v>
      </c>
      <c r="L120" s="11">
        <f t="shared" si="19"/>
        <v>0</v>
      </c>
      <c r="N120" s="33">
        <f t="shared" si="10"/>
        <v>0</v>
      </c>
    </row>
    <row r="121" spans="1:14" ht="16.5" thickTop="1" thickBot="1" x14ac:dyDescent="0.3">
      <c r="A121" s="5" t="s">
        <v>628</v>
      </c>
      <c r="B121" s="6">
        <v>89429</v>
      </c>
      <c r="C121" s="7" t="s">
        <v>14</v>
      </c>
      <c r="D121" s="39">
        <v>46136</v>
      </c>
      <c r="E121" s="39">
        <v>46197</v>
      </c>
      <c r="F121" s="39" t="s">
        <v>353</v>
      </c>
      <c r="G121" s="9">
        <v>24032</v>
      </c>
      <c r="H121" s="10">
        <f t="shared" si="20"/>
        <v>24032</v>
      </c>
      <c r="I121" s="11">
        <v>48064</v>
      </c>
      <c r="J121" s="11">
        <f>IFERROR(VLOOKUP(B121,'Jun 26'!B:G,6,FALSE),0)</f>
        <v>24032</v>
      </c>
      <c r="K121" s="11">
        <f>IF(G121=0,J121-G121,0)</f>
        <v>0</v>
      </c>
      <c r="L121" s="11">
        <f t="shared" si="19"/>
        <v>0</v>
      </c>
      <c r="N121" s="33">
        <f t="shared" si="10"/>
        <v>0</v>
      </c>
    </row>
    <row r="122" spans="1:14" ht="16.5" thickTop="1" thickBot="1" x14ac:dyDescent="0.3">
      <c r="A122" s="5" t="s">
        <v>713</v>
      </c>
      <c r="B122" s="6">
        <v>91226</v>
      </c>
      <c r="C122" s="7" t="s">
        <v>14</v>
      </c>
      <c r="D122" s="39">
        <v>46181</v>
      </c>
      <c r="E122" s="39">
        <v>46197</v>
      </c>
      <c r="F122" s="39" t="s">
        <v>353</v>
      </c>
      <c r="G122" s="19">
        <v>52161.27</v>
      </c>
      <c r="H122" s="10">
        <f t="shared" si="20"/>
        <v>0</v>
      </c>
      <c r="I122" s="11">
        <v>52161.27</v>
      </c>
      <c r="J122" s="11">
        <f>IFERROR(VLOOKUP(B122,'Jun 26'!B:G,6,FALSE),0)</f>
        <v>52161.27</v>
      </c>
      <c r="K122" s="11">
        <v>0</v>
      </c>
      <c r="L122" s="11">
        <f t="shared" si="19"/>
        <v>0</v>
      </c>
      <c r="N122" s="33">
        <f t="shared" si="10"/>
        <v>0</v>
      </c>
    </row>
    <row r="123" spans="1:14" ht="16.5" thickTop="1" thickBot="1" x14ac:dyDescent="0.3">
      <c r="A123" s="5" t="s">
        <v>702</v>
      </c>
      <c r="B123" s="6">
        <v>90985</v>
      </c>
      <c r="C123" s="7" t="s">
        <v>14</v>
      </c>
      <c r="D123" s="39">
        <v>46177</v>
      </c>
      <c r="E123" s="39" t="s">
        <v>13</v>
      </c>
      <c r="F123" s="39" t="s">
        <v>13</v>
      </c>
      <c r="G123" s="9">
        <v>26358</v>
      </c>
      <c r="H123" s="10">
        <f t="shared" si="20"/>
        <v>26357</v>
      </c>
      <c r="I123" s="11">
        <v>52715</v>
      </c>
      <c r="J123" s="11">
        <f>IFERROR(VLOOKUP(B123,'Jun 26'!B:G,6,FALSE),0)</f>
        <v>26358</v>
      </c>
      <c r="K123" s="11">
        <v>0</v>
      </c>
      <c r="L123" s="11">
        <f t="shared" si="19"/>
        <v>0</v>
      </c>
      <c r="N123" s="33">
        <f t="shared" si="10"/>
        <v>0</v>
      </c>
    </row>
    <row r="124" spans="1:14" ht="16.5" thickTop="1" thickBot="1" x14ac:dyDescent="0.3">
      <c r="A124" s="5" t="s">
        <v>639</v>
      </c>
      <c r="B124" s="81">
        <v>89485</v>
      </c>
      <c r="C124" s="81" t="s">
        <v>40</v>
      </c>
      <c r="D124" s="49">
        <v>46141</v>
      </c>
      <c r="E124" s="49">
        <v>46202</v>
      </c>
      <c r="F124" s="49" t="s">
        <v>353</v>
      </c>
      <c r="G124" s="45">
        <v>0</v>
      </c>
      <c r="H124" s="58">
        <v>0</v>
      </c>
      <c r="I124" s="59">
        <v>0</v>
      </c>
      <c r="J124" s="59">
        <f>IFERROR(VLOOKUP(B124,'Jun 26'!B:G,6,FALSE),0)</f>
        <v>4915</v>
      </c>
      <c r="K124" s="59">
        <f>IF(G124=0,J124-G124,0)</f>
        <v>4915</v>
      </c>
      <c r="L124" s="59" t="s">
        <v>613</v>
      </c>
      <c r="N124" s="33" t="e">
        <f t="shared" si="10"/>
        <v>#VALUE!</v>
      </c>
    </row>
    <row r="125" spans="1:14" ht="16.5" thickTop="1" thickBot="1" x14ac:dyDescent="0.3">
      <c r="A125" s="5" t="s">
        <v>601</v>
      </c>
      <c r="B125" s="6">
        <v>86011</v>
      </c>
      <c r="C125" s="7" t="s">
        <v>40</v>
      </c>
      <c r="D125" s="39">
        <v>46126</v>
      </c>
      <c r="E125" s="39" t="s">
        <v>13</v>
      </c>
      <c r="F125" s="39" t="s">
        <v>13</v>
      </c>
      <c r="G125" s="9">
        <v>9490</v>
      </c>
      <c r="H125" s="10">
        <f t="shared" si="20"/>
        <v>9489</v>
      </c>
      <c r="I125" s="11">
        <v>18979</v>
      </c>
      <c r="J125" s="11">
        <f>IFERROR(VLOOKUP(B125,'Jun 26'!B:G,6,FALSE),0)</f>
        <v>9490</v>
      </c>
      <c r="K125" s="11">
        <v>0</v>
      </c>
      <c r="L125" s="11">
        <f t="shared" ref="L125:L131" si="21">G125-J125</f>
        <v>0</v>
      </c>
      <c r="N125" s="33">
        <f t="shared" si="10"/>
        <v>0</v>
      </c>
    </row>
    <row r="126" spans="1:14" ht="16.5" thickTop="1" thickBot="1" x14ac:dyDescent="0.3">
      <c r="A126" s="5" t="s">
        <v>735</v>
      </c>
      <c r="B126" s="6">
        <v>89071</v>
      </c>
      <c r="C126" s="7" t="s">
        <v>654</v>
      </c>
      <c r="D126" s="39">
        <v>46199</v>
      </c>
      <c r="E126" s="39" t="s">
        <v>13</v>
      </c>
      <c r="F126" s="39" t="s">
        <v>13</v>
      </c>
      <c r="G126" s="9">
        <v>44750.18</v>
      </c>
      <c r="H126" s="10">
        <f t="shared" si="20"/>
        <v>44750.18</v>
      </c>
      <c r="I126" s="11">
        <v>89500.36</v>
      </c>
      <c r="J126" s="11">
        <f>IFERROR(VLOOKUP(B126,'Jun 26'!B:G,6,FALSE),0)</f>
        <v>44750.18</v>
      </c>
      <c r="K126" s="11">
        <v>0</v>
      </c>
      <c r="L126" s="11">
        <f t="shared" si="21"/>
        <v>0</v>
      </c>
      <c r="N126" s="33">
        <f t="shared" si="10"/>
        <v>0</v>
      </c>
    </row>
    <row r="127" spans="1:14" ht="16.5" thickTop="1" thickBot="1" x14ac:dyDescent="0.3">
      <c r="A127" s="5" t="s">
        <v>692</v>
      </c>
      <c r="B127" s="81">
        <v>90429</v>
      </c>
      <c r="C127" s="82" t="s">
        <v>23</v>
      </c>
      <c r="D127" s="49">
        <v>46170</v>
      </c>
      <c r="E127" s="49">
        <v>46202</v>
      </c>
      <c r="F127" s="49" t="s">
        <v>353</v>
      </c>
      <c r="G127" s="45">
        <v>0</v>
      </c>
      <c r="H127" s="58">
        <v>0</v>
      </c>
      <c r="I127" s="59">
        <v>0</v>
      </c>
      <c r="J127" s="59">
        <f>IFERROR(VLOOKUP(B127,'Jun 26'!B:G,6,FALSE),0)</f>
        <v>17956.509999999998</v>
      </c>
      <c r="K127" s="59">
        <f>IF(G127=0,J127-G127,0)</f>
        <v>17956.509999999998</v>
      </c>
      <c r="L127" s="59" t="s">
        <v>613</v>
      </c>
      <c r="N127" s="33" t="e">
        <f t="shared" si="10"/>
        <v>#VALUE!</v>
      </c>
    </row>
    <row r="128" spans="1:14" ht="16.5" thickTop="1" thickBot="1" x14ac:dyDescent="0.3">
      <c r="A128" s="5" t="s">
        <v>688</v>
      </c>
      <c r="B128" s="6">
        <v>90882</v>
      </c>
      <c r="C128" s="7" t="s">
        <v>23</v>
      </c>
      <c r="D128" s="39">
        <v>46169</v>
      </c>
      <c r="E128" s="39">
        <v>46197</v>
      </c>
      <c r="F128" s="39" t="s">
        <v>353</v>
      </c>
      <c r="G128" s="9">
        <v>6981.39</v>
      </c>
      <c r="H128" s="10">
        <f t="shared" si="20"/>
        <v>6981.38</v>
      </c>
      <c r="I128" s="11">
        <v>13962.77</v>
      </c>
      <c r="J128" s="11">
        <f>IFERROR(VLOOKUP(B128,'Jun 26'!B:G,6,FALSE),0)</f>
        <v>6981.39</v>
      </c>
      <c r="K128" s="11"/>
      <c r="L128" s="11">
        <f t="shared" si="21"/>
        <v>0</v>
      </c>
      <c r="N128" s="33">
        <f t="shared" si="10"/>
        <v>0</v>
      </c>
    </row>
    <row r="129" spans="1:14" ht="16.5" thickTop="1" thickBot="1" x14ac:dyDescent="0.3">
      <c r="A129" s="5" t="s">
        <v>734</v>
      </c>
      <c r="B129" s="6">
        <v>89582</v>
      </c>
      <c r="C129" s="7" t="s">
        <v>23</v>
      </c>
      <c r="D129" s="39">
        <v>46199</v>
      </c>
      <c r="E129" s="39" t="s">
        <v>13</v>
      </c>
      <c r="F129" s="39" t="s">
        <v>13</v>
      </c>
      <c r="G129" s="9">
        <v>17861.14</v>
      </c>
      <c r="H129" s="10">
        <f t="shared" si="20"/>
        <v>17861.64</v>
      </c>
      <c r="I129" s="11">
        <v>35722.78</v>
      </c>
      <c r="J129" s="11">
        <f>IFERROR(VLOOKUP(B129,'Jun 26'!B:G,6,FALSE),0)</f>
        <v>17861.14</v>
      </c>
      <c r="K129" s="11">
        <v>0</v>
      </c>
      <c r="L129" s="11">
        <f t="shared" si="21"/>
        <v>0</v>
      </c>
      <c r="N129" s="33">
        <f t="shared" si="10"/>
        <v>0</v>
      </c>
    </row>
    <row r="130" spans="1:14" ht="16.5" hidden="1" thickTop="1" thickBot="1" x14ac:dyDescent="0.3">
      <c r="A130" s="5" t="s">
        <v>99</v>
      </c>
      <c r="B130" s="81">
        <v>81910</v>
      </c>
      <c r="C130" s="82" t="s">
        <v>14</v>
      </c>
      <c r="D130" s="49">
        <v>45859</v>
      </c>
      <c r="E130" s="49">
        <v>46139</v>
      </c>
      <c r="F130" s="49">
        <v>46213</v>
      </c>
      <c r="G130" s="45">
        <v>0</v>
      </c>
      <c r="H130" s="58">
        <v>0</v>
      </c>
      <c r="I130" s="59">
        <v>0</v>
      </c>
      <c r="J130" s="59">
        <f>IFERROR(VLOOKUP(B130,'Jun 26'!B:G,6,FALSE),0)</f>
        <v>13876</v>
      </c>
      <c r="K130" s="59">
        <v>0</v>
      </c>
      <c r="L130" s="59" t="s">
        <v>613</v>
      </c>
      <c r="N130" s="33" t="e">
        <f t="shared" si="10"/>
        <v>#VALUE!</v>
      </c>
    </row>
    <row r="131" spans="1:14" ht="16.5" thickTop="1" thickBot="1" x14ac:dyDescent="0.3">
      <c r="A131" s="5" t="s">
        <v>707</v>
      </c>
      <c r="B131" s="6">
        <v>90614</v>
      </c>
      <c r="C131" s="7" t="s">
        <v>21</v>
      </c>
      <c r="D131" s="39">
        <v>46181</v>
      </c>
      <c r="E131" s="39" t="s">
        <v>13</v>
      </c>
      <c r="F131" s="39" t="s">
        <v>13</v>
      </c>
      <c r="G131" s="9">
        <v>25740.36</v>
      </c>
      <c r="H131" s="10">
        <f>I131-G131</f>
        <v>30422.14</v>
      </c>
      <c r="I131" s="11">
        <v>56162.5</v>
      </c>
      <c r="J131" s="11">
        <f>IFERROR(VLOOKUP(B131,'Jun 26'!B:G,6,FALSE),0)</f>
        <v>25740.36</v>
      </c>
      <c r="K131" s="11">
        <v>0</v>
      </c>
      <c r="L131" s="11">
        <f t="shared" si="21"/>
        <v>0</v>
      </c>
      <c r="N131" s="33">
        <f t="shared" ref="N131:N194" si="22">L131-K131</f>
        <v>0</v>
      </c>
    </row>
    <row r="132" spans="1:14" ht="16.5" hidden="1" thickTop="1" thickBot="1" x14ac:dyDescent="0.3">
      <c r="A132" s="5" t="s">
        <v>624</v>
      </c>
      <c r="B132" s="81">
        <v>90268</v>
      </c>
      <c r="C132" s="82" t="s">
        <v>21</v>
      </c>
      <c r="D132" s="49">
        <v>46134</v>
      </c>
      <c r="E132" s="49">
        <v>46177</v>
      </c>
      <c r="F132" s="49">
        <v>46205</v>
      </c>
      <c r="G132" s="45">
        <v>0</v>
      </c>
      <c r="H132" s="58"/>
      <c r="I132" s="59"/>
      <c r="J132" s="59">
        <f>IFERROR(VLOOKUP(B132,'Jun 26'!B:G,6,FALSE),0)</f>
        <v>13185</v>
      </c>
      <c r="K132" s="59">
        <f>IF(G132=0,J132-G132,0)</f>
        <v>13185</v>
      </c>
      <c r="L132" s="59" t="s">
        <v>613</v>
      </c>
      <c r="N132" s="33">
        <v>-13185</v>
      </c>
    </row>
    <row r="133" spans="1:14" ht="16.5" hidden="1" thickTop="1" thickBot="1" x14ac:dyDescent="0.3">
      <c r="A133" s="5" t="s">
        <v>602</v>
      </c>
      <c r="B133" s="81">
        <v>90062</v>
      </c>
      <c r="C133" s="82" t="s">
        <v>21</v>
      </c>
      <c r="D133" s="49">
        <v>46125</v>
      </c>
      <c r="E133" s="49">
        <v>46148</v>
      </c>
      <c r="F133" s="49">
        <v>46205</v>
      </c>
      <c r="G133" s="45">
        <v>0</v>
      </c>
      <c r="H133" s="58"/>
      <c r="I133" s="59"/>
      <c r="J133" s="59">
        <f>IFERROR(VLOOKUP(B133,'Jun 26'!B:G,6,FALSE),0)</f>
        <v>9484</v>
      </c>
      <c r="K133" s="59">
        <f>IF(G133=0,J133-G133,0)</f>
        <v>9484</v>
      </c>
      <c r="L133" s="59" t="s">
        <v>613</v>
      </c>
      <c r="N133" s="33">
        <v>-9484</v>
      </c>
    </row>
    <row r="134" spans="1:14" ht="16.5" thickTop="1" thickBot="1" x14ac:dyDescent="0.3">
      <c r="A134" s="5" t="s">
        <v>672</v>
      </c>
      <c r="B134" s="6">
        <v>90293</v>
      </c>
      <c r="C134" s="7" t="s">
        <v>44</v>
      </c>
      <c r="D134" s="39">
        <v>46160</v>
      </c>
      <c r="E134" s="39" t="s">
        <v>13</v>
      </c>
      <c r="F134" s="39" t="s">
        <v>13</v>
      </c>
      <c r="G134" s="9">
        <v>17650.97</v>
      </c>
      <c r="H134" s="10">
        <f>I134-G134</f>
        <v>17650.96</v>
      </c>
      <c r="I134" s="11">
        <v>35301.93</v>
      </c>
      <c r="J134" s="11">
        <f>IFERROR(VLOOKUP(B134,'Jun 26'!B:G,6,FALSE),0)</f>
        <v>17650.97</v>
      </c>
      <c r="K134" s="11"/>
      <c r="L134" s="11">
        <f>G134-J134</f>
        <v>0</v>
      </c>
      <c r="N134" s="33">
        <f t="shared" si="22"/>
        <v>0</v>
      </c>
    </row>
    <row r="135" spans="1:14" ht="16.5" thickTop="1" thickBot="1" x14ac:dyDescent="0.3">
      <c r="A135" s="5" t="s">
        <v>706</v>
      </c>
      <c r="B135" s="6">
        <v>90085</v>
      </c>
      <c r="C135" s="7" t="s">
        <v>57</v>
      </c>
      <c r="D135" s="39">
        <v>46178</v>
      </c>
      <c r="E135" s="39">
        <v>46202</v>
      </c>
      <c r="F135" s="39" t="s">
        <v>353</v>
      </c>
      <c r="G135" s="9">
        <v>29088.5</v>
      </c>
      <c r="H135" s="10">
        <f>I135-G135</f>
        <v>29088.5</v>
      </c>
      <c r="I135" s="11">
        <v>58177</v>
      </c>
      <c r="J135" s="11">
        <f>IFERROR(VLOOKUP(B135,'Jun 26'!B:G,6,FALSE),0)</f>
        <v>29088.5</v>
      </c>
      <c r="K135" s="11">
        <v>0</v>
      </c>
      <c r="L135" s="11">
        <f>G135-J135</f>
        <v>0</v>
      </c>
      <c r="N135" s="33">
        <f t="shared" si="22"/>
        <v>0</v>
      </c>
    </row>
    <row r="136" spans="1:14" ht="16.5" thickTop="1" thickBot="1" x14ac:dyDescent="0.3">
      <c r="A136" s="5" t="s">
        <v>700</v>
      </c>
      <c r="B136" s="6">
        <v>89458</v>
      </c>
      <c r="C136" s="7" t="s">
        <v>20</v>
      </c>
      <c r="D136" s="39">
        <v>46175</v>
      </c>
      <c r="E136" s="39" t="s">
        <v>13</v>
      </c>
      <c r="F136" s="39" t="s">
        <v>13</v>
      </c>
      <c r="G136" s="9">
        <v>1733.61</v>
      </c>
      <c r="H136" s="10">
        <f>I136-G136</f>
        <v>1576.39</v>
      </c>
      <c r="I136" s="11">
        <v>3310</v>
      </c>
      <c r="J136" s="11">
        <f>IFERROR(VLOOKUP(B136,'Jun 26'!B:G,6,FALSE),0)</f>
        <v>1733.61</v>
      </c>
      <c r="K136" s="11">
        <v>0</v>
      </c>
      <c r="L136" s="11">
        <f t="shared" ref="L136:L141" si="23">G136-J136</f>
        <v>0</v>
      </c>
      <c r="N136" s="33">
        <f t="shared" si="22"/>
        <v>0</v>
      </c>
    </row>
    <row r="137" spans="1:14" ht="16.5" thickTop="1" thickBot="1" x14ac:dyDescent="0.3">
      <c r="A137" s="5" t="s">
        <v>703</v>
      </c>
      <c r="B137" s="6">
        <v>91143</v>
      </c>
      <c r="C137" s="7" t="s">
        <v>21</v>
      </c>
      <c r="D137" s="39">
        <v>46177</v>
      </c>
      <c r="E137" s="39" t="s">
        <v>13</v>
      </c>
      <c r="F137" s="39" t="s">
        <v>13</v>
      </c>
      <c r="G137" s="9">
        <v>4894.76</v>
      </c>
      <c r="H137" s="10">
        <f>I137-G137</f>
        <v>4894.75</v>
      </c>
      <c r="I137" s="11">
        <v>9789.51</v>
      </c>
      <c r="J137" s="11">
        <f>IFERROR(VLOOKUP(B137,'Jun 26'!B:G,6,FALSE),0)</f>
        <v>4894.76</v>
      </c>
      <c r="K137" s="11">
        <v>0</v>
      </c>
      <c r="L137" s="11">
        <f t="shared" si="23"/>
        <v>0</v>
      </c>
      <c r="N137" s="33">
        <f t="shared" si="22"/>
        <v>0</v>
      </c>
    </row>
    <row r="138" spans="1:14" ht="16.5" hidden="1" thickTop="1" thickBot="1" x14ac:dyDescent="0.3">
      <c r="A138" s="80" t="s">
        <v>573</v>
      </c>
      <c r="B138" s="81">
        <v>88415</v>
      </c>
      <c r="C138" s="82" t="s">
        <v>62</v>
      </c>
      <c r="D138" s="49">
        <v>46112</v>
      </c>
      <c r="E138" s="49">
        <v>46147</v>
      </c>
      <c r="F138" s="49">
        <v>46223</v>
      </c>
      <c r="G138" s="45">
        <v>0</v>
      </c>
      <c r="H138" s="58">
        <v>0</v>
      </c>
      <c r="I138" s="59">
        <v>0</v>
      </c>
      <c r="J138" s="59">
        <f>IFERROR(VLOOKUP(B138,'Jun 26'!B:G,6,FALSE),0)</f>
        <v>131482</v>
      </c>
      <c r="K138" s="59">
        <f>IF(G138=0,J138-G138,0)</f>
        <v>131482</v>
      </c>
      <c r="L138" s="59" t="s">
        <v>613</v>
      </c>
      <c r="N138" s="33">
        <v>-131482</v>
      </c>
    </row>
    <row r="139" spans="1:14" ht="16.5" thickTop="1" thickBot="1" x14ac:dyDescent="0.3">
      <c r="A139" s="5" t="s">
        <v>500</v>
      </c>
      <c r="B139" s="6">
        <v>88490</v>
      </c>
      <c r="C139" s="7" t="s">
        <v>19</v>
      </c>
      <c r="D139" s="39">
        <v>46099</v>
      </c>
      <c r="E139" s="39">
        <v>46169</v>
      </c>
      <c r="F139" s="39" t="s">
        <v>577</v>
      </c>
      <c r="G139" s="9">
        <v>21569</v>
      </c>
      <c r="H139" s="10">
        <v>21569</v>
      </c>
      <c r="I139" s="11">
        <v>43138</v>
      </c>
      <c r="J139" s="11">
        <f>IFERROR(VLOOKUP(B139,'Jun 26'!B:G,6,FALSE),0)</f>
        <v>21569</v>
      </c>
      <c r="K139" s="11">
        <v>0</v>
      </c>
      <c r="L139" s="11">
        <f t="shared" si="23"/>
        <v>0</v>
      </c>
      <c r="N139" s="33">
        <f t="shared" si="22"/>
        <v>0</v>
      </c>
    </row>
    <row r="140" spans="1:14" ht="16.5" thickTop="1" thickBot="1" x14ac:dyDescent="0.3">
      <c r="A140" s="5" t="s">
        <v>149</v>
      </c>
      <c r="B140" s="6">
        <v>87713</v>
      </c>
      <c r="C140" s="7" t="s">
        <v>31</v>
      </c>
      <c r="D140" s="39">
        <v>45960</v>
      </c>
      <c r="E140" s="39">
        <v>46168</v>
      </c>
      <c r="F140" s="39" t="s">
        <v>350</v>
      </c>
      <c r="G140" s="9">
        <v>192821</v>
      </c>
      <c r="H140" s="10">
        <v>192821</v>
      </c>
      <c r="I140" s="11">
        <v>385642</v>
      </c>
      <c r="J140" s="11">
        <f>IFERROR(VLOOKUP(B140,'Jun 26'!B:G,6,FALSE),0)</f>
        <v>192821</v>
      </c>
      <c r="K140" s="11">
        <v>0</v>
      </c>
      <c r="L140" s="11">
        <f t="shared" si="23"/>
        <v>0</v>
      </c>
      <c r="N140" s="33">
        <f t="shared" si="22"/>
        <v>0</v>
      </c>
    </row>
    <row r="141" spans="1:14" ht="16.5" thickTop="1" thickBot="1" x14ac:dyDescent="0.3">
      <c r="A141" s="5" t="s">
        <v>150</v>
      </c>
      <c r="B141" s="6">
        <v>87716</v>
      </c>
      <c r="C141" s="7" t="s">
        <v>31</v>
      </c>
      <c r="D141" s="39">
        <v>45960</v>
      </c>
      <c r="E141" s="39">
        <v>46177</v>
      </c>
      <c r="F141" s="39" t="s">
        <v>350</v>
      </c>
      <c r="G141" s="9">
        <v>94522</v>
      </c>
      <c r="H141" s="10">
        <v>94521</v>
      </c>
      <c r="I141" s="11">
        <v>189043</v>
      </c>
      <c r="J141" s="11">
        <f>IFERROR(VLOOKUP(B141,'Jun 26'!B:G,6,FALSE),0)</f>
        <v>94522</v>
      </c>
      <c r="K141" s="11">
        <v>0</v>
      </c>
      <c r="L141" s="11">
        <f t="shared" si="23"/>
        <v>0</v>
      </c>
      <c r="N141" s="33">
        <f t="shared" si="22"/>
        <v>0</v>
      </c>
    </row>
    <row r="142" spans="1:14" ht="16.5" thickTop="1" thickBot="1" x14ac:dyDescent="0.3">
      <c r="A142" s="5" t="s">
        <v>171</v>
      </c>
      <c r="B142" s="6">
        <v>87145</v>
      </c>
      <c r="C142" s="7" t="s">
        <v>23</v>
      </c>
      <c r="D142" s="39">
        <v>45982</v>
      </c>
      <c r="E142" s="39">
        <v>46153</v>
      </c>
      <c r="F142" s="39" t="s">
        <v>351</v>
      </c>
      <c r="G142" s="9">
        <v>100990</v>
      </c>
      <c r="H142" s="10">
        <v>100990</v>
      </c>
      <c r="I142" s="11">
        <v>201980</v>
      </c>
      <c r="J142" s="11">
        <f>IFERROR(VLOOKUP(B142,'Jun 26'!B:G,6,FALSE),0)</f>
        <v>100990</v>
      </c>
      <c r="K142" s="11">
        <v>0</v>
      </c>
      <c r="L142" s="11">
        <f t="shared" ref="L142:L147" si="24">G142-J142</f>
        <v>0</v>
      </c>
      <c r="N142" s="33">
        <f t="shared" si="22"/>
        <v>0</v>
      </c>
    </row>
    <row r="143" spans="1:14" ht="16.5" hidden="1" thickTop="1" thickBot="1" x14ac:dyDescent="0.3">
      <c r="A143" s="5" t="s">
        <v>376</v>
      </c>
      <c r="B143" s="81">
        <v>87907</v>
      </c>
      <c r="C143" s="82" t="s">
        <v>20</v>
      </c>
      <c r="D143" s="49">
        <v>46093</v>
      </c>
      <c r="E143" s="49">
        <v>46163</v>
      </c>
      <c r="F143" s="49">
        <v>46224</v>
      </c>
      <c r="G143" s="45">
        <v>0</v>
      </c>
      <c r="H143" s="58">
        <v>0</v>
      </c>
      <c r="I143" s="59">
        <v>0</v>
      </c>
      <c r="J143" s="59">
        <f>IFERROR(VLOOKUP(B143,'Jun 26'!B:G,6,FALSE),0)</f>
        <v>10418</v>
      </c>
      <c r="K143" s="59">
        <f>IF(G143=0,J143-G143,0)</f>
        <v>10418</v>
      </c>
      <c r="L143" s="59" t="s">
        <v>613</v>
      </c>
      <c r="N143" s="33">
        <v>-10418</v>
      </c>
    </row>
    <row r="144" spans="1:14" ht="16.5" thickTop="1" thickBot="1" x14ac:dyDescent="0.3">
      <c r="A144" s="5" t="s">
        <v>728</v>
      </c>
      <c r="B144" s="6" t="s">
        <v>738</v>
      </c>
      <c r="C144" s="7" t="s">
        <v>11</v>
      </c>
      <c r="D144" s="39">
        <v>46195</v>
      </c>
      <c r="E144" s="39" t="s">
        <v>13</v>
      </c>
      <c r="F144" s="39" t="s">
        <v>13</v>
      </c>
      <c r="G144" s="9">
        <v>25293.599999999999</v>
      </c>
      <c r="H144" s="10">
        <f>I144-G144</f>
        <v>25804.58</v>
      </c>
      <c r="I144" s="11">
        <v>51098.18</v>
      </c>
      <c r="J144" s="11">
        <f>IFERROR(VLOOKUP(B144,'Jun 26'!B:G,6,FALSE),0)</f>
        <v>25293.599999999999</v>
      </c>
      <c r="K144" s="11">
        <v>0</v>
      </c>
      <c r="L144" s="11">
        <f t="shared" si="24"/>
        <v>0</v>
      </c>
      <c r="N144" s="33">
        <f t="shared" si="22"/>
        <v>0</v>
      </c>
    </row>
    <row r="145" spans="1:14" ht="16.5" thickTop="1" thickBot="1" x14ac:dyDescent="0.3">
      <c r="A145" s="5" t="s">
        <v>124</v>
      </c>
      <c r="B145" s="81">
        <v>87412</v>
      </c>
      <c r="C145" s="82" t="s">
        <v>23</v>
      </c>
      <c r="D145" s="49">
        <v>45926</v>
      </c>
      <c r="E145" s="49">
        <v>46070</v>
      </c>
      <c r="F145" s="49" t="s">
        <v>577</v>
      </c>
      <c r="G145" s="45">
        <v>0</v>
      </c>
      <c r="H145" s="58">
        <v>0</v>
      </c>
      <c r="I145" s="59">
        <v>0</v>
      </c>
      <c r="J145" s="59">
        <f>IFERROR(VLOOKUP(B145,'Jun 26'!B:G,6,FALSE),0)</f>
        <v>56417.91</v>
      </c>
      <c r="K145" s="59">
        <f>IF(G145=0,J145-G145,0)</f>
        <v>56417.91</v>
      </c>
      <c r="L145" s="59" t="s">
        <v>613</v>
      </c>
      <c r="N145" s="33" t="e">
        <f t="shared" si="22"/>
        <v>#VALUE!</v>
      </c>
    </row>
    <row r="146" spans="1:14" ht="16.5" thickTop="1" thickBot="1" x14ac:dyDescent="0.3">
      <c r="A146" s="5" t="s">
        <v>357</v>
      </c>
      <c r="B146" s="6">
        <v>88948</v>
      </c>
      <c r="C146" s="7" t="s">
        <v>23</v>
      </c>
      <c r="D146" s="39">
        <v>46084</v>
      </c>
      <c r="E146" s="39">
        <v>46164</v>
      </c>
      <c r="F146" s="39" t="s">
        <v>744</v>
      </c>
      <c r="G146" s="9">
        <v>55860.75</v>
      </c>
      <c r="H146" s="10">
        <v>56989.25</v>
      </c>
      <c r="I146" s="11">
        <v>113951</v>
      </c>
      <c r="J146" s="11">
        <f>IFERROR(VLOOKUP(B146,'Jun 26'!B:G,6,FALSE),0)</f>
        <v>55860.75</v>
      </c>
      <c r="K146" s="11">
        <v>0</v>
      </c>
      <c r="L146" s="11">
        <f t="shared" si="24"/>
        <v>0</v>
      </c>
      <c r="N146" s="33">
        <f t="shared" si="22"/>
        <v>0</v>
      </c>
    </row>
    <row r="147" spans="1:14" ht="16.5" thickTop="1" thickBot="1" x14ac:dyDescent="0.3">
      <c r="A147" s="5" t="s">
        <v>689</v>
      </c>
      <c r="B147" s="6">
        <v>88063</v>
      </c>
      <c r="C147" s="7" t="s">
        <v>23</v>
      </c>
      <c r="D147" s="39">
        <v>46169</v>
      </c>
      <c r="E147" s="39" t="s">
        <v>13</v>
      </c>
      <c r="F147" s="39" t="s">
        <v>13</v>
      </c>
      <c r="G147" s="9">
        <v>11338.47</v>
      </c>
      <c r="H147" s="10">
        <f t="shared" ref="H147:H152" si="25">I147-G147</f>
        <v>11567.53</v>
      </c>
      <c r="I147" s="11">
        <v>22906</v>
      </c>
      <c r="J147" s="11">
        <f>IFERROR(VLOOKUP(B147,'Jun 26'!B:G,6,FALSE),0)</f>
        <v>11338.47</v>
      </c>
      <c r="K147" s="11"/>
      <c r="L147" s="11">
        <f t="shared" si="24"/>
        <v>0</v>
      </c>
      <c r="N147" s="33">
        <f t="shared" si="22"/>
        <v>0</v>
      </c>
    </row>
    <row r="148" spans="1:14" ht="16.5" thickTop="1" thickBot="1" x14ac:dyDescent="0.3">
      <c r="A148" s="5" t="s">
        <v>726</v>
      </c>
      <c r="B148" s="6">
        <v>91019</v>
      </c>
      <c r="C148" s="7" t="s">
        <v>23</v>
      </c>
      <c r="D148" s="39">
        <v>46189</v>
      </c>
      <c r="E148" s="39">
        <v>46199</v>
      </c>
      <c r="F148" s="39" t="s">
        <v>353</v>
      </c>
      <c r="G148" s="9">
        <v>983.66</v>
      </c>
      <c r="H148" s="10">
        <f t="shared" si="25"/>
        <v>1003.5400000000001</v>
      </c>
      <c r="I148" s="11">
        <v>1987.2</v>
      </c>
      <c r="J148" s="11">
        <f>IFERROR(VLOOKUP(B148,'Jun 26'!B:G,6,FALSE),0)</f>
        <v>983.66</v>
      </c>
      <c r="K148" s="11">
        <v>0</v>
      </c>
      <c r="L148" s="11">
        <f t="shared" ref="L148:L154" si="26">G148-J148</f>
        <v>0</v>
      </c>
      <c r="N148" s="33">
        <f t="shared" si="22"/>
        <v>0</v>
      </c>
    </row>
    <row r="149" spans="1:14" ht="16.5" thickTop="1" thickBot="1" x14ac:dyDescent="0.3">
      <c r="A149" s="5" t="s">
        <v>704</v>
      </c>
      <c r="B149" s="81">
        <v>89594</v>
      </c>
      <c r="C149" s="82" t="s">
        <v>23</v>
      </c>
      <c r="D149" s="49">
        <v>46177</v>
      </c>
      <c r="E149" s="49">
        <v>46191</v>
      </c>
      <c r="F149" s="49" t="s">
        <v>643</v>
      </c>
      <c r="G149" s="45">
        <v>0</v>
      </c>
      <c r="H149" s="58">
        <v>0</v>
      </c>
      <c r="I149" s="59">
        <v>0</v>
      </c>
      <c r="J149" s="59">
        <f>IFERROR(VLOOKUP(B149,'Jun 26'!B:G,6,FALSE),0)</f>
        <v>9365.4</v>
      </c>
      <c r="K149" s="59">
        <f>IF(G149=0,J149-G149,0)</f>
        <v>9365.4</v>
      </c>
      <c r="L149" s="59" t="s">
        <v>613</v>
      </c>
      <c r="N149" s="33" t="e">
        <f t="shared" si="22"/>
        <v>#VALUE!</v>
      </c>
    </row>
    <row r="150" spans="1:14" ht="16.5" hidden="1" thickTop="1" thickBot="1" x14ac:dyDescent="0.3">
      <c r="A150" s="5" t="s">
        <v>677</v>
      </c>
      <c r="B150" s="81">
        <v>90742</v>
      </c>
      <c r="C150" s="82" t="s">
        <v>23</v>
      </c>
      <c r="D150" s="49">
        <v>46163</v>
      </c>
      <c r="E150" s="49">
        <v>46184</v>
      </c>
      <c r="F150" s="49">
        <v>46223</v>
      </c>
      <c r="G150" s="45">
        <v>0</v>
      </c>
      <c r="H150" s="58">
        <v>0</v>
      </c>
      <c r="I150" s="59">
        <v>0</v>
      </c>
      <c r="J150" s="59">
        <f>IFERROR(VLOOKUP(B150,'Jun 26'!B:G,6,FALSE),0)</f>
        <v>4275.6099999999997</v>
      </c>
      <c r="K150" s="59">
        <f>IF(G150=0,J150-G150,0)</f>
        <v>4275.6099999999997</v>
      </c>
      <c r="L150" s="59" t="s">
        <v>613</v>
      </c>
      <c r="N150" s="33">
        <v>-4275.6099999999997</v>
      </c>
    </row>
    <row r="151" spans="1:14" ht="16.5" thickTop="1" thickBot="1" x14ac:dyDescent="0.3">
      <c r="A151" s="5" t="s">
        <v>731</v>
      </c>
      <c r="B151" s="6">
        <v>90567</v>
      </c>
      <c r="C151" s="7" t="s">
        <v>23</v>
      </c>
      <c r="D151" s="39">
        <v>46198</v>
      </c>
      <c r="E151" s="39" t="s">
        <v>13</v>
      </c>
      <c r="F151" s="39" t="s">
        <v>13</v>
      </c>
      <c r="G151" s="9">
        <f>7410.8-74.11</f>
        <v>7336.6900000000005</v>
      </c>
      <c r="H151" s="10">
        <f t="shared" si="25"/>
        <v>7484.91</v>
      </c>
      <c r="I151" s="11">
        <v>14821.6</v>
      </c>
      <c r="J151" s="11">
        <f>IFERROR(VLOOKUP(B151,'Jun 26'!B:G,6,FALSE),0)</f>
        <v>7410.8</v>
      </c>
      <c r="K151" s="11">
        <v>0</v>
      </c>
      <c r="L151" s="11">
        <f t="shared" si="26"/>
        <v>-74.109999999999673</v>
      </c>
      <c r="N151" s="33">
        <f t="shared" si="22"/>
        <v>-74.109999999999673</v>
      </c>
    </row>
    <row r="152" spans="1:14" ht="16.5" thickTop="1" thickBot="1" x14ac:dyDescent="0.3">
      <c r="A152" s="5" t="s">
        <v>683</v>
      </c>
      <c r="B152" s="6">
        <v>90741</v>
      </c>
      <c r="C152" s="7" t="s">
        <v>23</v>
      </c>
      <c r="D152" s="39">
        <v>46168</v>
      </c>
      <c r="E152" s="39" t="s">
        <v>13</v>
      </c>
      <c r="F152" s="39" t="s">
        <v>13</v>
      </c>
      <c r="G152" s="9">
        <v>15437.15</v>
      </c>
      <c r="H152" s="10">
        <f t="shared" si="25"/>
        <v>15749.000000000002</v>
      </c>
      <c r="I152" s="11">
        <v>31186.15</v>
      </c>
      <c r="J152" s="11">
        <f>IFERROR(VLOOKUP(B152,'Jun 26'!B:G,6,FALSE),0)</f>
        <v>15437.15</v>
      </c>
      <c r="K152" s="11"/>
      <c r="L152" s="11">
        <f t="shared" si="26"/>
        <v>0</v>
      </c>
      <c r="N152" s="33">
        <f t="shared" si="22"/>
        <v>0</v>
      </c>
    </row>
    <row r="153" spans="1:14" ht="16.5" thickTop="1" thickBot="1" x14ac:dyDescent="0.3">
      <c r="A153" s="5" t="s">
        <v>331</v>
      </c>
      <c r="B153" s="6">
        <v>89367</v>
      </c>
      <c r="C153" s="7" t="s">
        <v>57</v>
      </c>
      <c r="D153" s="39">
        <v>46076</v>
      </c>
      <c r="E153" s="39">
        <v>46155</v>
      </c>
      <c r="F153" s="39" t="s">
        <v>350</v>
      </c>
      <c r="G153" s="9">
        <v>105339.96</v>
      </c>
      <c r="H153" s="10">
        <v>107468.04</v>
      </c>
      <c r="I153" s="11">
        <v>212808</v>
      </c>
      <c r="J153" s="11">
        <f>IFERROR(VLOOKUP(B153,'Jun 26'!B:G,6,FALSE),0)</f>
        <v>105339.96</v>
      </c>
      <c r="K153" s="11">
        <v>0</v>
      </c>
      <c r="L153" s="11">
        <f t="shared" si="26"/>
        <v>0</v>
      </c>
      <c r="N153" s="33">
        <f t="shared" si="22"/>
        <v>0</v>
      </c>
    </row>
    <row r="154" spans="1:14" ht="16.5" thickTop="1" thickBot="1" x14ac:dyDescent="0.3">
      <c r="A154" s="5" t="s">
        <v>714</v>
      </c>
      <c r="B154" s="6">
        <v>86062</v>
      </c>
      <c r="C154" s="7" t="s">
        <v>32</v>
      </c>
      <c r="D154" s="39">
        <v>46181</v>
      </c>
      <c r="E154" s="39" t="s">
        <v>13</v>
      </c>
      <c r="F154" s="39" t="s">
        <v>13</v>
      </c>
      <c r="G154" s="9">
        <v>11413.71</v>
      </c>
      <c r="H154" s="10">
        <f>I154-G154</f>
        <v>17580.690000000002</v>
      </c>
      <c r="I154" s="11">
        <v>28994.400000000001</v>
      </c>
      <c r="J154" s="11">
        <f>IFERROR(VLOOKUP(B154,'Jun 26'!B:G,6,FALSE),0)</f>
        <v>11413.71</v>
      </c>
      <c r="K154" s="11">
        <v>0</v>
      </c>
      <c r="L154" s="11">
        <f t="shared" si="26"/>
        <v>0</v>
      </c>
      <c r="N154" s="33">
        <f t="shared" si="22"/>
        <v>0</v>
      </c>
    </row>
    <row r="155" spans="1:14" ht="16.5" thickTop="1" thickBot="1" x14ac:dyDescent="0.3">
      <c r="A155" s="5" t="s">
        <v>109</v>
      </c>
      <c r="B155" s="6">
        <v>86334</v>
      </c>
      <c r="C155" s="7" t="s">
        <v>23</v>
      </c>
      <c r="D155" s="39">
        <v>45890</v>
      </c>
      <c r="E155" s="39" t="s">
        <v>13</v>
      </c>
      <c r="F155" s="39" t="s">
        <v>13</v>
      </c>
      <c r="G155" s="9">
        <v>5093.55</v>
      </c>
      <c r="H155" s="10">
        <v>5195.45</v>
      </c>
      <c r="I155" s="11">
        <v>10289</v>
      </c>
      <c r="J155" s="11">
        <f>IFERROR(VLOOKUP(B155,'Jun 26'!B:G,6,FALSE),0)</f>
        <v>5093.55</v>
      </c>
      <c r="K155" s="11">
        <v>0</v>
      </c>
      <c r="L155" s="11">
        <f>G155-J155</f>
        <v>0</v>
      </c>
      <c r="N155" s="33">
        <f t="shared" si="22"/>
        <v>0</v>
      </c>
    </row>
    <row r="156" spans="1:14" ht="16.5" thickTop="1" thickBot="1" x14ac:dyDescent="0.3">
      <c r="A156" s="5" t="s">
        <v>341</v>
      </c>
      <c r="B156" s="6">
        <v>87599</v>
      </c>
      <c r="C156" s="7" t="s">
        <v>27</v>
      </c>
      <c r="D156" s="39">
        <v>46080</v>
      </c>
      <c r="E156" s="39" t="s">
        <v>13</v>
      </c>
      <c r="F156" s="39" t="s">
        <v>13</v>
      </c>
      <c r="G156" s="9">
        <v>51424.45</v>
      </c>
      <c r="H156" s="10">
        <v>73834.55</v>
      </c>
      <c r="I156" s="11">
        <v>125259</v>
      </c>
      <c r="J156" s="11">
        <f>IFERROR(VLOOKUP(B156,'Jun 26'!B:G,6,FALSE),0)</f>
        <v>51424.45</v>
      </c>
      <c r="K156" s="11">
        <v>0</v>
      </c>
      <c r="L156" s="11">
        <f t="shared" ref="L156:L169" si="27">G156-J156</f>
        <v>0</v>
      </c>
      <c r="N156" s="33">
        <f t="shared" si="22"/>
        <v>0</v>
      </c>
    </row>
    <row r="157" spans="1:14" ht="16.5" thickTop="1" thickBot="1" x14ac:dyDescent="0.3">
      <c r="A157" s="5" t="s">
        <v>721</v>
      </c>
      <c r="B157" s="6">
        <v>87059</v>
      </c>
      <c r="C157" s="7" t="s">
        <v>14</v>
      </c>
      <c r="D157" s="39">
        <v>46188</v>
      </c>
      <c r="E157" s="39" t="s">
        <v>13</v>
      </c>
      <c r="F157" s="39" t="s">
        <v>13</v>
      </c>
      <c r="G157" s="9">
        <v>25737</v>
      </c>
      <c r="H157" s="10">
        <f>I157-G157</f>
        <v>25737</v>
      </c>
      <c r="I157" s="11">
        <v>51474</v>
      </c>
      <c r="J157" s="11">
        <f>IFERROR(VLOOKUP(B157,'Jun 26'!B:G,6,FALSE),0)</f>
        <v>25737</v>
      </c>
      <c r="K157" s="11">
        <v>0</v>
      </c>
      <c r="L157" s="11">
        <f t="shared" si="27"/>
        <v>0</v>
      </c>
      <c r="N157" s="33">
        <f t="shared" si="22"/>
        <v>0</v>
      </c>
    </row>
    <row r="158" spans="1:14" ht="16.5" thickTop="1" thickBot="1" x14ac:dyDescent="0.3">
      <c r="A158" s="5" t="s">
        <v>110</v>
      </c>
      <c r="B158" s="6">
        <v>84075</v>
      </c>
      <c r="C158" s="7" t="s">
        <v>14</v>
      </c>
      <c r="D158" s="39">
        <v>45894</v>
      </c>
      <c r="E158" s="39">
        <v>46154</v>
      </c>
      <c r="F158" s="39" t="s">
        <v>350</v>
      </c>
      <c r="G158" s="9">
        <v>13567</v>
      </c>
      <c r="H158" s="10">
        <v>13566</v>
      </c>
      <c r="I158" s="11">
        <v>27133</v>
      </c>
      <c r="J158" s="11">
        <f>IFERROR(VLOOKUP(B158,'Jun 26'!B:G,6,FALSE),0)</f>
        <v>13567</v>
      </c>
      <c r="K158" s="11">
        <v>0</v>
      </c>
      <c r="L158" s="11">
        <f t="shared" si="27"/>
        <v>0</v>
      </c>
      <c r="N158" s="33">
        <f t="shared" si="22"/>
        <v>0</v>
      </c>
    </row>
    <row r="159" spans="1:14" ht="16.5" thickTop="1" thickBot="1" x14ac:dyDescent="0.3">
      <c r="A159" s="5" t="s">
        <v>97</v>
      </c>
      <c r="B159" s="6">
        <v>84726</v>
      </c>
      <c r="C159" s="7" t="s">
        <v>14</v>
      </c>
      <c r="D159" s="39">
        <v>45845</v>
      </c>
      <c r="E159" s="39">
        <v>46141</v>
      </c>
      <c r="F159" s="39" t="s">
        <v>351</v>
      </c>
      <c r="G159" s="9">
        <v>231351</v>
      </c>
      <c r="H159" s="10">
        <v>231350</v>
      </c>
      <c r="I159" s="11">
        <v>462701</v>
      </c>
      <c r="J159" s="11">
        <f>IFERROR(VLOOKUP(B159,'Jun 26'!B:G,6,FALSE),0)</f>
        <v>231351</v>
      </c>
      <c r="K159" s="11">
        <v>0</v>
      </c>
      <c r="L159" s="11">
        <f t="shared" si="27"/>
        <v>0</v>
      </c>
      <c r="N159" s="33">
        <f t="shared" si="22"/>
        <v>0</v>
      </c>
    </row>
    <row r="160" spans="1:14" ht="16.5" thickTop="1" thickBot="1" x14ac:dyDescent="0.3">
      <c r="A160" s="5" t="s">
        <v>96</v>
      </c>
      <c r="B160" s="6">
        <v>84719</v>
      </c>
      <c r="C160" s="7" t="s">
        <v>14</v>
      </c>
      <c r="D160" s="39">
        <v>45845</v>
      </c>
      <c r="E160" s="39">
        <v>46133</v>
      </c>
      <c r="F160" s="39" t="s">
        <v>351</v>
      </c>
      <c r="G160" s="9">
        <v>416603</v>
      </c>
      <c r="H160" s="10">
        <v>416602</v>
      </c>
      <c r="I160" s="11">
        <v>833205</v>
      </c>
      <c r="J160" s="11">
        <f>IFERROR(VLOOKUP(B160,'Jun 26'!B:G,6,FALSE),0)</f>
        <v>416603</v>
      </c>
      <c r="K160" s="11">
        <v>0</v>
      </c>
      <c r="L160" s="11">
        <f t="shared" si="27"/>
        <v>0</v>
      </c>
      <c r="N160" s="33">
        <f t="shared" si="22"/>
        <v>0</v>
      </c>
    </row>
    <row r="161" spans="1:14" ht="16.5" thickTop="1" thickBot="1" x14ac:dyDescent="0.3">
      <c r="A161" s="5" t="s">
        <v>659</v>
      </c>
      <c r="B161" s="6">
        <v>88243</v>
      </c>
      <c r="C161" s="7" t="s">
        <v>27</v>
      </c>
      <c r="D161" s="39" t="s">
        <v>668</v>
      </c>
      <c r="E161" s="39">
        <v>46181</v>
      </c>
      <c r="F161" s="39" t="s">
        <v>577</v>
      </c>
      <c r="G161" s="9">
        <v>11197</v>
      </c>
      <c r="H161" s="10">
        <f>I161-G161</f>
        <v>11196</v>
      </c>
      <c r="I161" s="11">
        <v>22393</v>
      </c>
      <c r="J161" s="11">
        <f>IFERROR(VLOOKUP(B161,'Jun 26'!B:G,6,FALSE),0)</f>
        <v>11197</v>
      </c>
      <c r="K161" s="11">
        <v>0</v>
      </c>
      <c r="L161" s="11">
        <f t="shared" si="27"/>
        <v>0</v>
      </c>
      <c r="N161" s="33">
        <f t="shared" si="22"/>
        <v>0</v>
      </c>
    </row>
    <row r="162" spans="1:14" ht="16.5" thickTop="1" thickBot="1" x14ac:dyDescent="0.3">
      <c r="A162" s="5" t="s">
        <v>694</v>
      </c>
      <c r="B162" s="6">
        <v>88512</v>
      </c>
      <c r="C162" s="7" t="s">
        <v>14</v>
      </c>
      <c r="D162" s="39">
        <v>46171</v>
      </c>
      <c r="E162" s="39" t="s">
        <v>13</v>
      </c>
      <c r="F162" s="39" t="s">
        <v>13</v>
      </c>
      <c r="G162" s="9">
        <v>33240</v>
      </c>
      <c r="H162" s="10">
        <f>I162-G162</f>
        <v>33240</v>
      </c>
      <c r="I162" s="11">
        <v>66480</v>
      </c>
      <c r="J162" s="11">
        <f>IFERROR(VLOOKUP(B162,'Jun 26'!B:G,6,FALSE),0)</f>
        <v>33240</v>
      </c>
      <c r="K162" s="11"/>
      <c r="L162" s="11">
        <f t="shared" si="27"/>
        <v>0</v>
      </c>
      <c r="N162" s="33">
        <f t="shared" si="22"/>
        <v>0</v>
      </c>
    </row>
    <row r="163" spans="1:14" ht="16.5" thickTop="1" thickBot="1" x14ac:dyDescent="0.3">
      <c r="A163" s="5" t="s">
        <v>261</v>
      </c>
      <c r="B163" s="6">
        <v>88206</v>
      </c>
      <c r="C163" s="7" t="s">
        <v>14</v>
      </c>
      <c r="D163" s="39">
        <v>46050</v>
      </c>
      <c r="E163" s="39">
        <v>46182</v>
      </c>
      <c r="F163" s="39" t="s">
        <v>643</v>
      </c>
      <c r="G163" s="9">
        <f>42008+26591.16</f>
        <v>68599.16</v>
      </c>
      <c r="H163" s="10">
        <v>42008</v>
      </c>
      <c r="I163" s="11">
        <v>126426</v>
      </c>
      <c r="J163" s="11">
        <f>IFERROR(VLOOKUP(B163,'Jun 26'!B:G,6,FALSE),0)</f>
        <v>42008</v>
      </c>
      <c r="K163" s="11">
        <v>0</v>
      </c>
      <c r="L163" s="11">
        <f t="shared" si="27"/>
        <v>26591.160000000003</v>
      </c>
      <c r="N163" s="33">
        <f t="shared" si="22"/>
        <v>26591.160000000003</v>
      </c>
    </row>
    <row r="164" spans="1:14" ht="16.5" thickTop="1" thickBot="1" x14ac:dyDescent="0.3">
      <c r="A164" s="5" t="s">
        <v>608</v>
      </c>
      <c r="B164" s="81">
        <v>89471</v>
      </c>
      <c r="C164" s="82" t="s">
        <v>32</v>
      </c>
      <c r="D164" s="49">
        <v>46118</v>
      </c>
      <c r="E164" s="49">
        <v>46175</v>
      </c>
      <c r="F164" s="49" t="s">
        <v>353</v>
      </c>
      <c r="G164" s="45">
        <v>0</v>
      </c>
      <c r="H164" s="58">
        <v>0</v>
      </c>
      <c r="I164" s="59">
        <v>0</v>
      </c>
      <c r="J164" s="59">
        <f>IFERROR(VLOOKUP(B164,'Jun 26'!B:G,6,FALSE),0)</f>
        <v>22066</v>
      </c>
      <c r="K164" s="59">
        <f>IF(G164=0,J164-G164,0)</f>
        <v>22066</v>
      </c>
      <c r="L164" s="59" t="s">
        <v>613</v>
      </c>
      <c r="N164" s="33" t="e">
        <f t="shared" si="22"/>
        <v>#VALUE!</v>
      </c>
    </row>
    <row r="165" spans="1:14" ht="16.5" thickTop="1" thickBot="1" x14ac:dyDescent="0.3">
      <c r="A165" s="5" t="s">
        <v>656</v>
      </c>
      <c r="B165" s="6">
        <v>90634</v>
      </c>
      <c r="C165" s="7" t="s">
        <v>23</v>
      </c>
      <c r="D165" s="39" t="s">
        <v>667</v>
      </c>
      <c r="E165" s="39">
        <v>46199</v>
      </c>
      <c r="F165" s="39" t="s">
        <v>353</v>
      </c>
      <c r="G165" s="9">
        <v>49603</v>
      </c>
      <c r="H165" s="10">
        <f>I165-G165</f>
        <v>38770</v>
      </c>
      <c r="I165" s="11">
        <v>88373</v>
      </c>
      <c r="J165" s="11">
        <f>IFERROR(VLOOKUP(B165,'Jun 26'!B:G,6,FALSE),0)</f>
        <v>49603</v>
      </c>
      <c r="K165" s="11">
        <v>0</v>
      </c>
      <c r="L165" s="11">
        <f t="shared" si="27"/>
        <v>0</v>
      </c>
      <c r="N165" s="33">
        <f t="shared" si="22"/>
        <v>0</v>
      </c>
    </row>
    <row r="166" spans="1:14" ht="16.5" thickTop="1" thickBot="1" x14ac:dyDescent="0.3">
      <c r="A166" s="5" t="s">
        <v>513</v>
      </c>
      <c r="B166" s="6">
        <v>86157</v>
      </c>
      <c r="C166" s="7" t="s">
        <v>23</v>
      </c>
      <c r="D166" s="39">
        <v>46101</v>
      </c>
      <c r="E166" s="39" t="s">
        <v>13</v>
      </c>
      <c r="F166" s="39" t="s">
        <v>13</v>
      </c>
      <c r="G166" s="9">
        <v>255026</v>
      </c>
      <c r="H166" s="10">
        <v>255025</v>
      </c>
      <c r="I166" s="11">
        <v>510051</v>
      </c>
      <c r="J166" s="11">
        <f>IFERROR(VLOOKUP(B166,'Jun 26'!B:G,6,FALSE),0)</f>
        <v>255026</v>
      </c>
      <c r="K166" s="11">
        <v>0</v>
      </c>
      <c r="L166" s="11">
        <f t="shared" si="27"/>
        <v>0</v>
      </c>
      <c r="N166" s="33">
        <f t="shared" si="22"/>
        <v>0</v>
      </c>
    </row>
    <row r="167" spans="1:14" ht="16.5" thickTop="1" thickBot="1" x14ac:dyDescent="0.3">
      <c r="A167" s="5" t="s">
        <v>233</v>
      </c>
      <c r="B167" s="6">
        <v>86089</v>
      </c>
      <c r="C167" s="7" t="s">
        <v>23</v>
      </c>
      <c r="D167" s="39">
        <v>46038</v>
      </c>
      <c r="E167" s="39" t="s">
        <v>13</v>
      </c>
      <c r="F167" s="39" t="s">
        <v>13</v>
      </c>
      <c r="G167" s="9">
        <v>416889.25</v>
      </c>
      <c r="H167" s="10">
        <v>412013.75</v>
      </c>
      <c r="I167" s="11">
        <v>828903</v>
      </c>
      <c r="J167" s="11">
        <f>IFERROR(VLOOKUP(B167,'Jun 26'!B:G,6,FALSE),0)</f>
        <v>416889.25</v>
      </c>
      <c r="K167" s="11">
        <v>0</v>
      </c>
      <c r="L167" s="11">
        <f t="shared" si="27"/>
        <v>0</v>
      </c>
      <c r="N167" s="33">
        <f t="shared" si="22"/>
        <v>0</v>
      </c>
    </row>
    <row r="168" spans="1:14" ht="16.5" thickTop="1" thickBot="1" x14ac:dyDescent="0.3">
      <c r="A168" s="5" t="s">
        <v>289</v>
      </c>
      <c r="B168" s="6">
        <v>87805</v>
      </c>
      <c r="C168" s="7" t="s">
        <v>33</v>
      </c>
      <c r="D168" s="39">
        <v>46065</v>
      </c>
      <c r="E168" s="39" t="s">
        <v>13</v>
      </c>
      <c r="F168" s="39" t="s">
        <v>13</v>
      </c>
      <c r="G168" s="9">
        <f>3646+3646</f>
        <v>7292</v>
      </c>
      <c r="H168" s="10">
        <v>13048</v>
      </c>
      <c r="I168" s="11">
        <v>16694</v>
      </c>
      <c r="J168" s="11">
        <f>IFERROR(VLOOKUP(B168,'Jun 26'!B:G,6,FALSE),0)</f>
        <v>3646</v>
      </c>
      <c r="K168" s="11">
        <v>0</v>
      </c>
      <c r="L168" s="11">
        <f t="shared" si="27"/>
        <v>3646</v>
      </c>
      <c r="N168" s="33">
        <f t="shared" si="22"/>
        <v>3646</v>
      </c>
    </row>
    <row r="169" spans="1:14" ht="16.5" thickTop="1" thickBot="1" x14ac:dyDescent="0.3">
      <c r="A169" s="5" t="s">
        <v>665</v>
      </c>
      <c r="B169" s="6">
        <v>90372</v>
      </c>
      <c r="C169" s="7" t="s">
        <v>23</v>
      </c>
      <c r="D169" s="39" t="s">
        <v>670</v>
      </c>
      <c r="E169" s="39">
        <v>46199</v>
      </c>
      <c r="F169" s="39" t="s">
        <v>353</v>
      </c>
      <c r="G169" s="9">
        <v>24466.02</v>
      </c>
      <c r="H169" s="10">
        <f>I169-G169</f>
        <v>24466.01</v>
      </c>
      <c r="I169" s="11">
        <v>48932.03</v>
      </c>
      <c r="J169" s="11">
        <f>IFERROR(VLOOKUP(B169,'Jun 26'!B:G,6,FALSE),0)</f>
        <v>24466.02</v>
      </c>
      <c r="K169" s="11">
        <v>0</v>
      </c>
      <c r="L169" s="11">
        <f t="shared" si="27"/>
        <v>0</v>
      </c>
      <c r="N169" s="33">
        <f t="shared" si="22"/>
        <v>0</v>
      </c>
    </row>
    <row r="170" spans="1:14" ht="16.5" thickTop="1" thickBot="1" x14ac:dyDescent="0.3">
      <c r="A170" s="5" t="s">
        <v>94</v>
      </c>
      <c r="B170" s="6">
        <v>85860</v>
      </c>
      <c r="C170" s="7" t="s">
        <v>38</v>
      </c>
      <c r="D170" s="39">
        <v>45826</v>
      </c>
      <c r="E170" s="39" t="s">
        <v>13</v>
      </c>
      <c r="F170" s="39" t="s">
        <v>13</v>
      </c>
      <c r="G170" s="9">
        <v>68221</v>
      </c>
      <c r="H170" s="10">
        <v>75946</v>
      </c>
      <c r="I170" s="11">
        <v>144167</v>
      </c>
      <c r="J170" s="11">
        <f>IFERROR(VLOOKUP(B170,'Jun 26'!B:G,6,FALSE),0)</f>
        <v>68221</v>
      </c>
      <c r="K170" s="11">
        <v>0</v>
      </c>
      <c r="L170" s="11">
        <f>G170-J170</f>
        <v>0</v>
      </c>
      <c r="N170" s="33">
        <f t="shared" si="22"/>
        <v>0</v>
      </c>
    </row>
    <row r="171" spans="1:14" ht="16.5" hidden="1" thickTop="1" thickBot="1" x14ac:dyDescent="0.3">
      <c r="A171" s="5" t="s">
        <v>681</v>
      </c>
      <c r="B171" s="81">
        <v>90840</v>
      </c>
      <c r="C171" s="82" t="s">
        <v>40</v>
      </c>
      <c r="D171" s="49">
        <v>46164</v>
      </c>
      <c r="E171" s="49">
        <v>46196</v>
      </c>
      <c r="F171" s="49">
        <v>46213</v>
      </c>
      <c r="G171" s="45">
        <v>0</v>
      </c>
      <c r="H171" s="58">
        <f>I171-G171</f>
        <v>1456.03</v>
      </c>
      <c r="I171" s="59">
        <v>1456.03</v>
      </c>
      <c r="J171" s="59">
        <f>IFERROR(VLOOKUP(B171,'Jun 26'!B:G,6,FALSE),0)</f>
        <v>728.02</v>
      </c>
      <c r="K171" s="59">
        <f>J171-G171</f>
        <v>728.02</v>
      </c>
      <c r="L171" s="59" t="s">
        <v>613</v>
      </c>
      <c r="N171" s="33">
        <v>-728.02</v>
      </c>
    </row>
    <row r="172" spans="1:14" ht="16.5" thickTop="1" thickBot="1" x14ac:dyDescent="0.3">
      <c r="A172" s="5" t="s">
        <v>276</v>
      </c>
      <c r="B172" s="6">
        <v>88397</v>
      </c>
      <c r="C172" s="7" t="s">
        <v>19</v>
      </c>
      <c r="D172" s="39">
        <v>46062</v>
      </c>
      <c r="E172" s="39" t="s">
        <v>13</v>
      </c>
      <c r="F172" s="39" t="s">
        <v>13</v>
      </c>
      <c r="G172" s="9">
        <v>59154.25</v>
      </c>
      <c r="H172" s="10">
        <v>181512.75</v>
      </c>
      <c r="I172" s="11">
        <v>240667</v>
      </c>
      <c r="J172" s="11">
        <f>IFERROR(VLOOKUP(B172,'Jun 26'!B:G,6,FALSE),0)</f>
        <v>59154.25</v>
      </c>
      <c r="K172" s="11">
        <v>0</v>
      </c>
      <c r="L172" s="11">
        <f t="shared" ref="L172:L182" si="28">G172-J172</f>
        <v>0</v>
      </c>
      <c r="N172" s="33">
        <f t="shared" si="22"/>
        <v>0</v>
      </c>
    </row>
    <row r="173" spans="1:14" ht="16.5" thickTop="1" thickBot="1" x14ac:dyDescent="0.3">
      <c r="A173" s="5" t="s">
        <v>661</v>
      </c>
      <c r="B173" s="6">
        <v>90359</v>
      </c>
      <c r="C173" s="7" t="s">
        <v>21</v>
      </c>
      <c r="D173" s="39" t="s">
        <v>670</v>
      </c>
      <c r="E173" s="39" t="s">
        <v>13</v>
      </c>
      <c r="F173" s="39" t="s">
        <v>13</v>
      </c>
      <c r="G173" s="9">
        <v>6614</v>
      </c>
      <c r="H173" s="10">
        <f>I173-G173</f>
        <v>6613.75</v>
      </c>
      <c r="I173" s="11">
        <v>13227.75</v>
      </c>
      <c r="J173" s="11">
        <f>IFERROR(VLOOKUP(B173,'Jun 26'!B:G,6,FALSE),0)</f>
        <v>6614</v>
      </c>
      <c r="K173" s="11">
        <v>0</v>
      </c>
      <c r="L173" s="11">
        <f t="shared" si="28"/>
        <v>0</v>
      </c>
      <c r="N173" s="33">
        <f t="shared" si="22"/>
        <v>0</v>
      </c>
    </row>
    <row r="174" spans="1:14" ht="16.5" thickTop="1" thickBot="1" x14ac:dyDescent="0.3">
      <c r="A174" s="5" t="s">
        <v>190</v>
      </c>
      <c r="B174" s="6">
        <v>84246</v>
      </c>
      <c r="C174" s="7" t="s">
        <v>21</v>
      </c>
      <c r="D174" s="39">
        <v>45995</v>
      </c>
      <c r="E174" s="39" t="s">
        <v>13</v>
      </c>
      <c r="F174" s="39" t="s">
        <v>13</v>
      </c>
      <c r="G174" s="9">
        <v>17115</v>
      </c>
      <c r="H174" s="10">
        <v>17115</v>
      </c>
      <c r="I174" s="11">
        <v>34230</v>
      </c>
      <c r="J174" s="11">
        <f>IFERROR(VLOOKUP(B174,'Jun 26'!B:G,6,FALSE),0)</f>
        <v>17115</v>
      </c>
      <c r="K174" s="11">
        <v>0</v>
      </c>
      <c r="L174" s="11">
        <f t="shared" si="28"/>
        <v>0</v>
      </c>
      <c r="N174" s="33">
        <f t="shared" si="22"/>
        <v>0</v>
      </c>
    </row>
    <row r="175" spans="1:14" ht="16.5" thickTop="1" thickBot="1" x14ac:dyDescent="0.3">
      <c r="A175" s="5" t="s">
        <v>676</v>
      </c>
      <c r="B175" s="6">
        <v>90686</v>
      </c>
      <c r="C175" s="7" t="s">
        <v>11</v>
      </c>
      <c r="D175" s="39">
        <v>46162</v>
      </c>
      <c r="E175" s="39">
        <v>46191</v>
      </c>
      <c r="F175" s="39" t="s">
        <v>643</v>
      </c>
      <c r="G175" s="9">
        <v>10685.52</v>
      </c>
      <c r="H175" s="10">
        <f>I175-G175</f>
        <v>10685.52</v>
      </c>
      <c r="I175" s="11">
        <v>21371.040000000001</v>
      </c>
      <c r="J175" s="11">
        <f>IFERROR(VLOOKUP(B175,'Jun 26'!B:G,6,FALSE),0)</f>
        <v>10685.52</v>
      </c>
      <c r="K175" s="11"/>
      <c r="L175" s="11">
        <f t="shared" si="28"/>
        <v>0</v>
      </c>
      <c r="N175" s="33">
        <f t="shared" si="22"/>
        <v>0</v>
      </c>
    </row>
    <row r="176" spans="1:14" ht="16.5" hidden="1" thickTop="1" thickBot="1" x14ac:dyDescent="0.3">
      <c r="A176" s="5" t="s">
        <v>633</v>
      </c>
      <c r="B176" s="81">
        <v>90484</v>
      </c>
      <c r="C176" s="82" t="s">
        <v>21</v>
      </c>
      <c r="D176" s="49">
        <v>46139</v>
      </c>
      <c r="E176" s="49">
        <v>46168</v>
      </c>
      <c r="F176" s="49">
        <v>46226</v>
      </c>
      <c r="G176" s="45">
        <v>0</v>
      </c>
      <c r="H176" s="58">
        <v>0</v>
      </c>
      <c r="I176" s="59">
        <v>0</v>
      </c>
      <c r="J176" s="59">
        <f>IFERROR(VLOOKUP(B176,'Jun 26'!B:G,6,FALSE),0)</f>
        <v>15984</v>
      </c>
      <c r="K176" s="59">
        <f>IF(G176=0,J176-G176,0)</f>
        <v>15984</v>
      </c>
      <c r="L176" s="59" t="s">
        <v>613</v>
      </c>
      <c r="N176" s="33">
        <v>-15984</v>
      </c>
    </row>
    <row r="177" spans="1:14" ht="16.5" hidden="1" thickTop="1" thickBot="1" x14ac:dyDescent="0.3">
      <c r="A177" s="5" t="s">
        <v>100</v>
      </c>
      <c r="B177" s="13">
        <v>84221</v>
      </c>
      <c r="C177" s="14" t="s">
        <v>58</v>
      </c>
      <c r="D177" s="40">
        <v>45863</v>
      </c>
      <c r="E177" s="40">
        <v>46177</v>
      </c>
      <c r="F177" s="40">
        <v>46220</v>
      </c>
      <c r="G177" s="16">
        <v>264658</v>
      </c>
      <c r="H177" s="17">
        <v>0</v>
      </c>
      <c r="I177" s="18">
        <v>264658</v>
      </c>
      <c r="J177" s="18">
        <f>IFERROR(VLOOKUP(B177,'Jun 26'!B:G,6,FALSE),0)</f>
        <v>132329</v>
      </c>
      <c r="K177" s="18">
        <f>IF(G177=0,J177-G177,0)</f>
        <v>0</v>
      </c>
      <c r="L177" s="18">
        <f t="shared" ref="L177" si="29">G177-J177</f>
        <v>132329</v>
      </c>
      <c r="N177" s="33">
        <v>-132329</v>
      </c>
    </row>
    <row r="178" spans="1:14" ht="16.5" thickTop="1" thickBot="1" x14ac:dyDescent="0.3">
      <c r="A178" s="5" t="s">
        <v>325</v>
      </c>
      <c r="B178" s="6">
        <v>87450</v>
      </c>
      <c r="C178" s="7" t="s">
        <v>327</v>
      </c>
      <c r="D178" s="39">
        <v>46073</v>
      </c>
      <c r="E178" s="39" t="s">
        <v>13</v>
      </c>
      <c r="F178" s="39" t="s">
        <v>13</v>
      </c>
      <c r="G178" s="9">
        <v>9898</v>
      </c>
      <c r="H178" s="10">
        <v>29693</v>
      </c>
      <c r="I178" s="11">
        <v>39591</v>
      </c>
      <c r="J178" s="11">
        <f>IFERROR(VLOOKUP(B178,'Jun 26'!B:G,6,FALSE),0)</f>
        <v>9898</v>
      </c>
      <c r="K178" s="11">
        <v>0</v>
      </c>
      <c r="L178" s="11">
        <f t="shared" si="28"/>
        <v>0</v>
      </c>
      <c r="N178" s="33">
        <f t="shared" si="22"/>
        <v>0</v>
      </c>
    </row>
    <row r="179" spans="1:14" ht="16.5" thickTop="1" thickBot="1" x14ac:dyDescent="0.3">
      <c r="A179" s="5" t="s">
        <v>695</v>
      </c>
      <c r="B179" s="6">
        <v>89137</v>
      </c>
      <c r="C179" s="7" t="s">
        <v>697</v>
      </c>
      <c r="D179" s="39">
        <v>46171</v>
      </c>
      <c r="E179" s="39">
        <v>46197</v>
      </c>
      <c r="F179" s="39" t="s">
        <v>353</v>
      </c>
      <c r="G179" s="9">
        <v>17698</v>
      </c>
      <c r="H179" s="10">
        <f>I179-G179</f>
        <v>17698</v>
      </c>
      <c r="I179" s="11">
        <v>35396</v>
      </c>
      <c r="J179" s="11">
        <f>IFERROR(VLOOKUP(B179,'Jun 26'!B:G,6,FALSE),0)</f>
        <v>17698</v>
      </c>
      <c r="K179" s="11"/>
      <c r="L179" s="11">
        <f t="shared" si="28"/>
        <v>0</v>
      </c>
      <c r="N179" s="33">
        <f t="shared" si="22"/>
        <v>0</v>
      </c>
    </row>
    <row r="180" spans="1:14" ht="16.5" thickTop="1" thickBot="1" x14ac:dyDescent="0.3">
      <c r="A180" s="5" t="s">
        <v>691</v>
      </c>
      <c r="B180" s="6">
        <v>90031</v>
      </c>
      <c r="C180" s="7" t="s">
        <v>14</v>
      </c>
      <c r="D180" s="39">
        <v>46170</v>
      </c>
      <c r="E180" s="39" t="s">
        <v>13</v>
      </c>
      <c r="F180" s="39" t="s">
        <v>13</v>
      </c>
      <c r="G180" s="9">
        <v>80668</v>
      </c>
      <c r="H180" s="10">
        <f>I180-G180</f>
        <v>84600</v>
      </c>
      <c r="I180" s="11">
        <v>165268</v>
      </c>
      <c r="J180" s="11">
        <f>IFERROR(VLOOKUP(B180,'Jun 26'!B:G,6,FALSE),0)</f>
        <v>80668</v>
      </c>
      <c r="K180" s="11"/>
      <c r="L180" s="11">
        <f t="shared" si="28"/>
        <v>0</v>
      </c>
      <c r="N180" s="33">
        <f t="shared" si="22"/>
        <v>0</v>
      </c>
    </row>
    <row r="181" spans="1:14" ht="16.5" thickTop="1" thickBot="1" x14ac:dyDescent="0.3">
      <c r="A181" s="5" t="s">
        <v>333</v>
      </c>
      <c r="B181" s="6">
        <v>86704</v>
      </c>
      <c r="C181" s="7" t="s">
        <v>33</v>
      </c>
      <c r="D181" s="39">
        <v>46076</v>
      </c>
      <c r="E181" s="39" t="s">
        <v>13</v>
      </c>
      <c r="F181" s="39" t="s">
        <v>13</v>
      </c>
      <c r="G181" s="9">
        <v>90025</v>
      </c>
      <c r="H181" s="10">
        <v>90024</v>
      </c>
      <c r="I181" s="11">
        <v>180049</v>
      </c>
      <c r="J181" s="11">
        <f>IFERROR(VLOOKUP(B181,'Jun 26'!B:G,6,FALSE),0)</f>
        <v>90025</v>
      </c>
      <c r="K181" s="11">
        <v>0</v>
      </c>
      <c r="L181" s="11">
        <f t="shared" si="28"/>
        <v>0</v>
      </c>
      <c r="N181" s="33">
        <f t="shared" si="22"/>
        <v>0</v>
      </c>
    </row>
    <row r="182" spans="1:14" ht="16.5" thickTop="1" thickBot="1" x14ac:dyDescent="0.3">
      <c r="A182" s="5" t="s">
        <v>715</v>
      </c>
      <c r="B182" s="6">
        <v>87035</v>
      </c>
      <c r="C182" s="7" t="s">
        <v>14</v>
      </c>
      <c r="D182" s="39">
        <v>46182</v>
      </c>
      <c r="E182" s="39" t="s">
        <v>13</v>
      </c>
      <c r="F182" s="39" t="s">
        <v>13</v>
      </c>
      <c r="G182" s="9">
        <v>48949</v>
      </c>
      <c r="H182" s="10">
        <f>I182-G182</f>
        <v>48948</v>
      </c>
      <c r="I182" s="11">
        <v>97897</v>
      </c>
      <c r="J182" s="11">
        <f>IFERROR(VLOOKUP(B182,'Jun 26'!B:G,6,FALSE),0)</f>
        <v>48949</v>
      </c>
      <c r="K182" s="11">
        <v>0</v>
      </c>
      <c r="L182" s="11">
        <f t="shared" si="28"/>
        <v>0</v>
      </c>
      <c r="N182" s="33">
        <f t="shared" si="22"/>
        <v>0</v>
      </c>
    </row>
    <row r="183" spans="1:14" ht="16.5" hidden="1" thickTop="1" thickBot="1" x14ac:dyDescent="0.3">
      <c r="A183" s="5" t="s">
        <v>125</v>
      </c>
      <c r="B183" s="81">
        <v>86988</v>
      </c>
      <c r="C183" s="82" t="s">
        <v>32</v>
      </c>
      <c r="D183" s="49">
        <v>45929</v>
      </c>
      <c r="E183" s="49">
        <v>46161</v>
      </c>
      <c r="F183" s="49">
        <v>46220</v>
      </c>
      <c r="G183" s="45">
        <v>0</v>
      </c>
      <c r="H183" s="58">
        <v>0</v>
      </c>
      <c r="I183" s="59">
        <v>0</v>
      </c>
      <c r="J183" s="59">
        <f>IFERROR(VLOOKUP(B183,'Jun 26'!B:G,6,FALSE),0)</f>
        <v>61093</v>
      </c>
      <c r="K183" s="59">
        <f>IF(G183=0,J183-G183,0)</f>
        <v>61093</v>
      </c>
      <c r="L183" s="59" t="s">
        <v>613</v>
      </c>
      <c r="N183" s="33">
        <v>-61093</v>
      </c>
    </row>
    <row r="184" spans="1:14" ht="16.5" thickTop="1" thickBot="1" x14ac:dyDescent="0.3">
      <c r="A184" s="5" t="s">
        <v>745</v>
      </c>
      <c r="B184" s="6">
        <v>91262</v>
      </c>
      <c r="C184" s="7" t="s">
        <v>27</v>
      </c>
      <c r="D184" s="39">
        <v>46204</v>
      </c>
      <c r="E184" s="39" t="s">
        <v>13</v>
      </c>
      <c r="F184" s="39" t="s">
        <v>13</v>
      </c>
      <c r="G184" s="9">
        <v>1513.42</v>
      </c>
      <c r="H184" s="10">
        <f>I184-G184</f>
        <v>1513.42</v>
      </c>
      <c r="I184" s="11">
        <v>3026.84</v>
      </c>
      <c r="J184" s="11">
        <f>IFERROR(VLOOKUP(B184,'Jun 26'!B:G,6,FALSE),0)</f>
        <v>0</v>
      </c>
      <c r="K184" s="11">
        <v>0</v>
      </c>
      <c r="L184" s="11">
        <f>G184-J184</f>
        <v>1513.42</v>
      </c>
      <c r="N184" s="33">
        <f t="shared" si="22"/>
        <v>1513.42</v>
      </c>
    </row>
    <row r="185" spans="1:14" ht="16.5" thickTop="1" thickBot="1" x14ac:dyDescent="0.3">
      <c r="A185" s="5" t="s">
        <v>746</v>
      </c>
      <c r="B185" s="6">
        <v>91224</v>
      </c>
      <c r="C185" s="7" t="s">
        <v>23</v>
      </c>
      <c r="D185" s="39">
        <v>46206</v>
      </c>
      <c r="E185" s="39" t="s">
        <v>13</v>
      </c>
      <c r="F185" s="39" t="s">
        <v>13</v>
      </c>
      <c r="G185" s="9">
        <v>37539</v>
      </c>
      <c r="H185" s="10">
        <f t="shared" ref="H185:H221" si="30">I185-G185</f>
        <v>34538</v>
      </c>
      <c r="I185" s="11">
        <v>72077</v>
      </c>
      <c r="J185" s="11">
        <f>IFERROR(VLOOKUP(B185,'Jun 26'!B:G,6,FALSE),0)</f>
        <v>0</v>
      </c>
      <c r="K185" s="11">
        <v>0</v>
      </c>
      <c r="L185" s="11">
        <f t="shared" ref="L185:L192" si="31">G185-J185</f>
        <v>37539</v>
      </c>
      <c r="N185" s="33">
        <f t="shared" si="22"/>
        <v>37539</v>
      </c>
    </row>
    <row r="186" spans="1:14" ht="16.5" thickTop="1" thickBot="1" x14ac:dyDescent="0.3">
      <c r="A186" s="5" t="s">
        <v>747</v>
      </c>
      <c r="B186" s="6">
        <v>90719</v>
      </c>
      <c r="C186" s="7" t="s">
        <v>62</v>
      </c>
      <c r="D186" s="39">
        <v>46206</v>
      </c>
      <c r="E186" s="39" t="s">
        <v>13</v>
      </c>
      <c r="F186" s="39" t="s">
        <v>13</v>
      </c>
      <c r="G186" s="9">
        <v>7000</v>
      </c>
      <c r="H186" s="10">
        <f t="shared" si="30"/>
        <v>6841.93</v>
      </c>
      <c r="I186" s="11">
        <v>13841.93</v>
      </c>
      <c r="J186" s="11">
        <f>IFERROR(VLOOKUP(B186,'Jun 26'!B:G,6,FALSE),0)</f>
        <v>0</v>
      </c>
      <c r="K186" s="11">
        <v>0</v>
      </c>
      <c r="L186" s="11">
        <f t="shared" si="31"/>
        <v>7000</v>
      </c>
      <c r="N186" s="33">
        <f t="shared" si="22"/>
        <v>7000</v>
      </c>
    </row>
    <row r="187" spans="1:14" ht="16.5" thickTop="1" thickBot="1" x14ac:dyDescent="0.3">
      <c r="A187" s="5" t="s">
        <v>748</v>
      </c>
      <c r="B187" s="6">
        <v>89155</v>
      </c>
      <c r="C187" s="7" t="s">
        <v>23</v>
      </c>
      <c r="D187" s="39">
        <v>46209</v>
      </c>
      <c r="E187" s="39" t="s">
        <v>13</v>
      </c>
      <c r="F187" s="39" t="s">
        <v>13</v>
      </c>
      <c r="G187" s="9">
        <v>10464</v>
      </c>
      <c r="H187" s="10">
        <f t="shared" si="30"/>
        <v>10463</v>
      </c>
      <c r="I187" s="11">
        <v>20927</v>
      </c>
      <c r="J187" s="11">
        <f>IFERROR(VLOOKUP(B187,'Jun 26'!B:G,6,FALSE),0)</f>
        <v>0</v>
      </c>
      <c r="K187" s="11">
        <v>0</v>
      </c>
      <c r="L187" s="11">
        <f t="shared" si="31"/>
        <v>10464</v>
      </c>
      <c r="N187" s="33">
        <f t="shared" si="22"/>
        <v>10464</v>
      </c>
    </row>
    <row r="188" spans="1:14" ht="16.5" thickTop="1" thickBot="1" x14ac:dyDescent="0.3">
      <c r="A188" s="5" t="s">
        <v>749</v>
      </c>
      <c r="B188" s="6">
        <v>91559</v>
      </c>
      <c r="C188" s="7" t="s">
        <v>21</v>
      </c>
      <c r="D188" s="39">
        <v>46210</v>
      </c>
      <c r="E188" s="39" t="s">
        <v>13</v>
      </c>
      <c r="F188" s="39" t="s">
        <v>13</v>
      </c>
      <c r="G188" s="9">
        <v>50000</v>
      </c>
      <c r="H188" s="10">
        <f t="shared" si="30"/>
        <v>48188.600000000006</v>
      </c>
      <c r="I188" s="11">
        <v>98188.6</v>
      </c>
      <c r="J188" s="11">
        <f>IFERROR(VLOOKUP(B188,'Jun 26'!B:G,6,FALSE),0)</f>
        <v>0</v>
      </c>
      <c r="K188" s="11">
        <v>0</v>
      </c>
      <c r="L188" s="11">
        <f t="shared" si="31"/>
        <v>50000</v>
      </c>
      <c r="N188" s="33">
        <f t="shared" si="22"/>
        <v>50000</v>
      </c>
    </row>
    <row r="189" spans="1:14" ht="16.5" thickTop="1" thickBot="1" x14ac:dyDescent="0.3">
      <c r="A189" s="5" t="s">
        <v>750</v>
      </c>
      <c r="B189" s="6">
        <v>89522</v>
      </c>
      <c r="C189" s="7" t="s">
        <v>14</v>
      </c>
      <c r="D189" s="39">
        <v>46210</v>
      </c>
      <c r="E189" s="39" t="s">
        <v>13</v>
      </c>
      <c r="F189" s="39" t="s">
        <v>13</v>
      </c>
      <c r="G189" s="9">
        <v>8200</v>
      </c>
      <c r="H189" s="10">
        <f t="shared" si="30"/>
        <v>8199</v>
      </c>
      <c r="I189" s="11">
        <v>16399</v>
      </c>
      <c r="J189" s="11">
        <f>IFERROR(VLOOKUP(B189,'Jun 26'!B:G,6,FALSE),0)</f>
        <v>0</v>
      </c>
      <c r="K189" s="11">
        <v>0</v>
      </c>
      <c r="L189" s="11">
        <f t="shared" si="31"/>
        <v>8200</v>
      </c>
      <c r="N189" s="33">
        <f t="shared" si="22"/>
        <v>8200</v>
      </c>
    </row>
    <row r="190" spans="1:14" ht="16.5" thickTop="1" thickBot="1" x14ac:dyDescent="0.3">
      <c r="A190" s="5" t="s">
        <v>751</v>
      </c>
      <c r="B190" s="6">
        <v>91258</v>
      </c>
      <c r="C190" s="7" t="s">
        <v>21</v>
      </c>
      <c r="D190" s="39">
        <v>46210</v>
      </c>
      <c r="E190" s="39" t="s">
        <v>13</v>
      </c>
      <c r="F190" s="39" t="s">
        <v>13</v>
      </c>
      <c r="G190" s="9">
        <v>8755.11</v>
      </c>
      <c r="H190" s="10">
        <f t="shared" si="30"/>
        <v>8755.11</v>
      </c>
      <c r="I190" s="11">
        <v>17510.22</v>
      </c>
      <c r="J190" s="11">
        <f>IFERROR(VLOOKUP(B190,'Jun 26'!B:G,6,FALSE),0)</f>
        <v>0</v>
      </c>
      <c r="K190" s="11">
        <v>0</v>
      </c>
      <c r="L190" s="11">
        <f t="shared" si="31"/>
        <v>8755.11</v>
      </c>
      <c r="N190" s="33">
        <f t="shared" si="22"/>
        <v>8755.11</v>
      </c>
    </row>
    <row r="191" spans="1:14" ht="16.5" thickTop="1" thickBot="1" x14ac:dyDescent="0.3">
      <c r="A191" s="5" t="s">
        <v>752</v>
      </c>
      <c r="B191" s="6">
        <v>91029</v>
      </c>
      <c r="C191" s="7" t="s">
        <v>40</v>
      </c>
      <c r="D191" s="39">
        <v>46210</v>
      </c>
      <c r="E191" s="39" t="s">
        <v>13</v>
      </c>
      <c r="F191" s="39" t="s">
        <v>13</v>
      </c>
      <c r="G191" s="9">
        <v>10526.14</v>
      </c>
      <c r="H191" s="10">
        <f t="shared" si="30"/>
        <v>10526.130000000001</v>
      </c>
      <c r="I191" s="11">
        <v>21052.27</v>
      </c>
      <c r="J191" s="11">
        <f>IFERROR(VLOOKUP(B191,'Jun 26'!B:G,6,FALSE),0)</f>
        <v>0</v>
      </c>
      <c r="K191" s="11">
        <v>0</v>
      </c>
      <c r="L191" s="11">
        <f t="shared" si="31"/>
        <v>10526.14</v>
      </c>
      <c r="N191" s="33">
        <f t="shared" si="22"/>
        <v>10526.14</v>
      </c>
    </row>
    <row r="192" spans="1:14" ht="16.5" thickTop="1" thickBot="1" x14ac:dyDescent="0.3">
      <c r="A192" s="5" t="s">
        <v>753</v>
      </c>
      <c r="B192" s="6">
        <v>91599</v>
      </c>
      <c r="C192" s="7" t="s">
        <v>23</v>
      </c>
      <c r="D192" s="39">
        <v>46213</v>
      </c>
      <c r="E192" s="39" t="s">
        <v>13</v>
      </c>
      <c r="F192" s="39" t="s">
        <v>13</v>
      </c>
      <c r="G192" s="9">
        <v>20654.009999999998</v>
      </c>
      <c r="H192" s="10">
        <f t="shared" si="30"/>
        <v>20654.000000000004</v>
      </c>
      <c r="I192" s="11">
        <v>41308.01</v>
      </c>
      <c r="J192" s="11">
        <f>IFERROR(VLOOKUP(B192,'Jun 26'!B:G,6,FALSE),0)</f>
        <v>0</v>
      </c>
      <c r="K192" s="11">
        <v>0</v>
      </c>
      <c r="L192" s="11">
        <f t="shared" si="31"/>
        <v>20654.009999999998</v>
      </c>
      <c r="N192" s="33">
        <f t="shared" si="22"/>
        <v>20654.009999999998</v>
      </c>
    </row>
    <row r="193" spans="1:14" ht="16.5" thickTop="1" thickBot="1" x14ac:dyDescent="0.3">
      <c r="A193" s="5" t="s">
        <v>755</v>
      </c>
      <c r="B193" s="6">
        <v>91626</v>
      </c>
      <c r="C193" s="7" t="s">
        <v>765</v>
      </c>
      <c r="D193" s="39">
        <v>46216</v>
      </c>
      <c r="E193" s="39" t="s">
        <v>13</v>
      </c>
      <c r="F193" s="39" t="s">
        <v>13</v>
      </c>
      <c r="G193" s="9">
        <f>10619.27+7500</f>
        <v>18119.27</v>
      </c>
      <c r="H193" s="10">
        <f t="shared" si="30"/>
        <v>10619.259999999998</v>
      </c>
      <c r="I193" s="11">
        <v>28738.53</v>
      </c>
      <c r="J193" s="11">
        <f>IFERROR(VLOOKUP(B193,'Jun 26'!B:G,6,FALSE),0)</f>
        <v>0</v>
      </c>
      <c r="K193" s="11">
        <v>0</v>
      </c>
      <c r="L193" s="11">
        <f t="shared" ref="L193:L202" si="32">G193-J193</f>
        <v>18119.27</v>
      </c>
      <c r="N193" s="33">
        <f t="shared" si="22"/>
        <v>18119.27</v>
      </c>
    </row>
    <row r="194" spans="1:14" ht="16.5" thickTop="1" thickBot="1" x14ac:dyDescent="0.3">
      <c r="A194" s="5" t="s">
        <v>756</v>
      </c>
      <c r="B194" s="6">
        <v>90447</v>
      </c>
      <c r="C194" s="7" t="s">
        <v>23</v>
      </c>
      <c r="D194" s="39">
        <v>46216</v>
      </c>
      <c r="E194" s="39" t="s">
        <v>13</v>
      </c>
      <c r="F194" s="39" t="s">
        <v>13</v>
      </c>
      <c r="G194" s="9">
        <v>6165.14</v>
      </c>
      <c r="H194" s="10">
        <f t="shared" si="30"/>
        <v>6165.13</v>
      </c>
      <c r="I194" s="11">
        <v>12330.27</v>
      </c>
      <c r="J194" s="11">
        <f>IFERROR(VLOOKUP(B194,'Jun 26'!B:G,6,FALSE),0)</f>
        <v>0</v>
      </c>
      <c r="K194" s="11">
        <v>0</v>
      </c>
      <c r="L194" s="11">
        <f t="shared" si="32"/>
        <v>6165.14</v>
      </c>
      <c r="N194" s="33">
        <f t="shared" si="22"/>
        <v>6165.14</v>
      </c>
    </row>
    <row r="195" spans="1:14" ht="16.5" thickTop="1" thickBot="1" x14ac:dyDescent="0.3">
      <c r="A195" s="5" t="s">
        <v>757</v>
      </c>
      <c r="B195" s="6">
        <v>90916</v>
      </c>
      <c r="C195" s="7" t="s">
        <v>14</v>
      </c>
      <c r="D195" s="39">
        <v>46216</v>
      </c>
      <c r="E195" s="39" t="s">
        <v>13</v>
      </c>
      <c r="F195" s="39" t="s">
        <v>13</v>
      </c>
      <c r="G195" s="9">
        <v>17820.54</v>
      </c>
      <c r="H195" s="10">
        <f t="shared" si="30"/>
        <v>17820.54</v>
      </c>
      <c r="I195" s="11">
        <v>35641.08</v>
      </c>
      <c r="J195" s="11">
        <f>IFERROR(VLOOKUP(B195,'Jun 26'!B:G,6,FALSE),0)</f>
        <v>0</v>
      </c>
      <c r="K195" s="11">
        <v>0</v>
      </c>
      <c r="L195" s="11">
        <f t="shared" si="32"/>
        <v>17820.54</v>
      </c>
      <c r="N195" s="33">
        <f t="shared" ref="N195:N210" si="33">L195-K195</f>
        <v>17820.54</v>
      </c>
    </row>
    <row r="196" spans="1:14" ht="16.5" thickTop="1" thickBot="1" x14ac:dyDescent="0.3">
      <c r="A196" s="5" t="s">
        <v>758</v>
      </c>
      <c r="B196" s="6">
        <v>91555</v>
      </c>
      <c r="C196" s="7" t="s">
        <v>23</v>
      </c>
      <c r="D196" s="39">
        <v>46217</v>
      </c>
      <c r="E196" s="39" t="s">
        <v>13</v>
      </c>
      <c r="F196" s="39" t="s">
        <v>13</v>
      </c>
      <c r="G196" s="9">
        <v>7670.31</v>
      </c>
      <c r="H196" s="10">
        <f t="shared" si="30"/>
        <v>9285.59</v>
      </c>
      <c r="I196" s="11">
        <v>16955.900000000001</v>
      </c>
      <c r="J196" s="11">
        <f>IFERROR(VLOOKUP(B196,'Jun 26'!B:G,6,FALSE),0)</f>
        <v>0</v>
      </c>
      <c r="K196" s="11">
        <v>0</v>
      </c>
      <c r="L196" s="11">
        <f t="shared" si="32"/>
        <v>7670.31</v>
      </c>
      <c r="N196" s="33">
        <f t="shared" si="33"/>
        <v>7670.31</v>
      </c>
    </row>
    <row r="197" spans="1:14" ht="16.5" thickTop="1" thickBot="1" x14ac:dyDescent="0.3">
      <c r="A197" s="5" t="s">
        <v>759</v>
      </c>
      <c r="B197" s="6">
        <v>87583</v>
      </c>
      <c r="C197" s="7" t="s">
        <v>23</v>
      </c>
      <c r="D197" s="39">
        <v>46217</v>
      </c>
      <c r="E197" s="39" t="s">
        <v>13</v>
      </c>
      <c r="F197" s="39" t="s">
        <v>13</v>
      </c>
      <c r="G197" s="9">
        <v>12356</v>
      </c>
      <c r="H197" s="10">
        <f t="shared" si="30"/>
        <v>11000</v>
      </c>
      <c r="I197" s="11">
        <v>23356</v>
      </c>
      <c r="J197" s="11">
        <f>IFERROR(VLOOKUP(B197,'Jun 26'!B:G,6,FALSE),0)</f>
        <v>0</v>
      </c>
      <c r="K197" s="11">
        <v>0</v>
      </c>
      <c r="L197" s="11">
        <f t="shared" si="32"/>
        <v>12356</v>
      </c>
      <c r="N197" s="33">
        <f t="shared" si="33"/>
        <v>12356</v>
      </c>
    </row>
    <row r="198" spans="1:14" ht="16.5" thickTop="1" thickBot="1" x14ac:dyDescent="0.3">
      <c r="A198" s="5" t="s">
        <v>760</v>
      </c>
      <c r="B198" s="6">
        <v>91153</v>
      </c>
      <c r="C198" s="7" t="s">
        <v>40</v>
      </c>
      <c r="D198" s="39">
        <v>46217</v>
      </c>
      <c r="E198" s="39" t="s">
        <v>13</v>
      </c>
      <c r="F198" s="39" t="s">
        <v>13</v>
      </c>
      <c r="G198" s="9">
        <v>6707.99</v>
      </c>
      <c r="H198" s="10">
        <f t="shared" si="30"/>
        <v>6707.99</v>
      </c>
      <c r="I198" s="11">
        <v>13415.98</v>
      </c>
      <c r="J198" s="11">
        <f>IFERROR(VLOOKUP(B198,'Jun 26'!B:G,6,FALSE),0)</f>
        <v>0</v>
      </c>
      <c r="K198" s="11">
        <v>0</v>
      </c>
      <c r="L198" s="11">
        <f t="shared" si="32"/>
        <v>6707.99</v>
      </c>
      <c r="N198" s="33">
        <f t="shared" si="33"/>
        <v>6707.99</v>
      </c>
    </row>
    <row r="199" spans="1:14" ht="16.5" thickTop="1" thickBot="1" x14ac:dyDescent="0.3">
      <c r="A199" s="5" t="s">
        <v>761</v>
      </c>
      <c r="B199" s="6">
        <v>88593</v>
      </c>
      <c r="C199" s="7" t="s">
        <v>33</v>
      </c>
      <c r="D199" s="39">
        <v>46218</v>
      </c>
      <c r="E199" s="39" t="s">
        <v>13</v>
      </c>
      <c r="F199" s="39" t="s">
        <v>13</v>
      </c>
      <c r="G199" s="9">
        <v>70606.89</v>
      </c>
      <c r="H199" s="10">
        <f t="shared" si="30"/>
        <v>71797.62000000001</v>
      </c>
      <c r="I199" s="11">
        <v>142404.51</v>
      </c>
      <c r="J199" s="11">
        <f>IFERROR(VLOOKUP(B199,'Jun 26'!B:G,6,FALSE),0)</f>
        <v>0</v>
      </c>
      <c r="K199" s="11">
        <v>0</v>
      </c>
      <c r="L199" s="11">
        <f t="shared" si="32"/>
        <v>70606.89</v>
      </c>
      <c r="N199" s="33">
        <f t="shared" si="33"/>
        <v>70606.89</v>
      </c>
    </row>
    <row r="200" spans="1:14" ht="16.5" thickTop="1" thickBot="1" x14ac:dyDescent="0.3">
      <c r="A200" s="12" t="s">
        <v>762</v>
      </c>
      <c r="B200" s="13">
        <v>91574</v>
      </c>
      <c r="C200" s="14" t="s">
        <v>21</v>
      </c>
      <c r="D200" s="40">
        <v>46218</v>
      </c>
      <c r="E200" s="40" t="s">
        <v>13</v>
      </c>
      <c r="F200" s="40" t="s">
        <v>13</v>
      </c>
      <c r="G200" s="16">
        <v>17427.78</v>
      </c>
      <c r="H200" s="17">
        <f t="shared" si="30"/>
        <v>0</v>
      </c>
      <c r="I200" s="18">
        <v>17427.78</v>
      </c>
      <c r="J200" s="18">
        <f>IFERROR(VLOOKUP(B200,'Jun 26'!B:G,6,FALSE),0)</f>
        <v>0</v>
      </c>
      <c r="K200" s="18">
        <v>0</v>
      </c>
      <c r="L200" s="18">
        <f t="shared" si="32"/>
        <v>17427.78</v>
      </c>
      <c r="N200" s="33">
        <f t="shared" si="33"/>
        <v>17427.78</v>
      </c>
    </row>
    <row r="201" spans="1:14" ht="16.5" thickTop="1" thickBot="1" x14ac:dyDescent="0.3">
      <c r="A201" s="12" t="s">
        <v>763</v>
      </c>
      <c r="B201" s="13">
        <v>90986</v>
      </c>
      <c r="C201" s="14" t="s">
        <v>21</v>
      </c>
      <c r="D201" s="40">
        <v>46218</v>
      </c>
      <c r="E201" s="40" t="s">
        <v>13</v>
      </c>
      <c r="F201" s="40" t="s">
        <v>13</v>
      </c>
      <c r="G201" s="16">
        <v>13364.81</v>
      </c>
      <c r="H201" s="17">
        <f t="shared" si="30"/>
        <v>0</v>
      </c>
      <c r="I201" s="18">
        <v>13364.81</v>
      </c>
      <c r="J201" s="18">
        <f>IFERROR(VLOOKUP(B201,'Jun 26'!B:G,6,FALSE),0)</f>
        <v>0</v>
      </c>
      <c r="K201" s="18">
        <v>0</v>
      </c>
      <c r="L201" s="18">
        <f t="shared" si="32"/>
        <v>13364.81</v>
      </c>
      <c r="N201" s="33">
        <f t="shared" si="33"/>
        <v>13364.81</v>
      </c>
    </row>
    <row r="202" spans="1:14" ht="16.5" thickTop="1" thickBot="1" x14ac:dyDescent="0.3">
      <c r="A202" s="5" t="s">
        <v>764</v>
      </c>
      <c r="B202" s="6">
        <v>91743</v>
      </c>
      <c r="C202" s="7" t="s">
        <v>40</v>
      </c>
      <c r="D202" s="39">
        <v>46220</v>
      </c>
      <c r="E202" s="39" t="s">
        <v>13</v>
      </c>
      <c r="F202" s="39" t="s">
        <v>13</v>
      </c>
      <c r="G202" s="9">
        <v>21442.81</v>
      </c>
      <c r="H202" s="10">
        <f t="shared" si="30"/>
        <v>21442.81</v>
      </c>
      <c r="I202" s="11">
        <v>42885.62</v>
      </c>
      <c r="J202" s="11">
        <f>IFERROR(VLOOKUP(B202,'Jun 26'!B:G,6,FALSE),0)</f>
        <v>0</v>
      </c>
      <c r="K202" s="11">
        <v>0</v>
      </c>
      <c r="L202" s="11">
        <f t="shared" si="32"/>
        <v>21442.81</v>
      </c>
      <c r="N202" s="33">
        <f t="shared" si="33"/>
        <v>21442.81</v>
      </c>
    </row>
    <row r="203" spans="1:14" ht="16.5" thickTop="1" thickBot="1" x14ac:dyDescent="0.3">
      <c r="A203" s="5" t="s">
        <v>766</v>
      </c>
      <c r="B203" s="6">
        <v>89863</v>
      </c>
      <c r="C203" s="7" t="s">
        <v>20</v>
      </c>
      <c r="D203" s="39">
        <v>46223</v>
      </c>
      <c r="E203" s="39" t="s">
        <v>13</v>
      </c>
      <c r="F203" s="39" t="s">
        <v>13</v>
      </c>
      <c r="G203" s="9">
        <v>48111.93</v>
      </c>
      <c r="H203" s="10">
        <f t="shared" si="30"/>
        <v>48111.93</v>
      </c>
      <c r="I203" s="11">
        <v>96223.86</v>
      </c>
      <c r="J203" s="11">
        <f>IFERROR(VLOOKUP(B203,'Jun 26'!B:G,6,FALSE),0)</f>
        <v>0</v>
      </c>
      <c r="K203" s="11">
        <v>0</v>
      </c>
      <c r="L203" s="11">
        <f t="shared" ref="L203:L209" si="34">G203-J203</f>
        <v>48111.93</v>
      </c>
      <c r="N203" s="33">
        <f t="shared" si="33"/>
        <v>48111.93</v>
      </c>
    </row>
    <row r="204" spans="1:14" ht="16.5" thickTop="1" thickBot="1" x14ac:dyDescent="0.3">
      <c r="A204" s="5" t="s">
        <v>767</v>
      </c>
      <c r="B204" s="6">
        <v>89725</v>
      </c>
      <c r="C204" s="7" t="s">
        <v>21</v>
      </c>
      <c r="D204" s="39">
        <v>46223</v>
      </c>
      <c r="E204" s="39" t="s">
        <v>13</v>
      </c>
      <c r="F204" s="39" t="s">
        <v>13</v>
      </c>
      <c r="G204" s="9">
        <v>5480.65</v>
      </c>
      <c r="H204" s="10">
        <f t="shared" si="30"/>
        <v>5479.48</v>
      </c>
      <c r="I204" s="11">
        <v>10960.13</v>
      </c>
      <c r="J204" s="11">
        <f>IFERROR(VLOOKUP(B204,'Jun 26'!B:G,6,FALSE),0)</f>
        <v>0</v>
      </c>
      <c r="K204" s="11">
        <v>0</v>
      </c>
      <c r="L204" s="11">
        <f t="shared" si="34"/>
        <v>5480.65</v>
      </c>
      <c r="N204" s="33">
        <f t="shared" si="33"/>
        <v>5480.65</v>
      </c>
    </row>
    <row r="205" spans="1:14" ht="16.5" thickTop="1" thickBot="1" x14ac:dyDescent="0.3">
      <c r="A205" s="5" t="s">
        <v>768</v>
      </c>
      <c r="B205" s="6">
        <v>91679</v>
      </c>
      <c r="C205" s="7" t="s">
        <v>23</v>
      </c>
      <c r="D205" s="39">
        <v>46224</v>
      </c>
      <c r="E205" s="39" t="s">
        <v>13</v>
      </c>
      <c r="F205" s="39" t="s">
        <v>13</v>
      </c>
      <c r="G205" s="9">
        <v>17700.54</v>
      </c>
      <c r="H205" s="10">
        <f t="shared" si="30"/>
        <v>18058.11</v>
      </c>
      <c r="I205" s="11">
        <v>35758.65</v>
      </c>
      <c r="J205" s="11">
        <f>IFERROR(VLOOKUP(B205,'Jun 26'!B:G,6,FALSE),0)</f>
        <v>0</v>
      </c>
      <c r="K205" s="11">
        <v>0</v>
      </c>
      <c r="L205" s="11">
        <f t="shared" si="34"/>
        <v>17700.54</v>
      </c>
      <c r="N205" s="33">
        <f t="shared" si="33"/>
        <v>17700.54</v>
      </c>
    </row>
    <row r="206" spans="1:14" ht="16.5" thickTop="1" thickBot="1" x14ac:dyDescent="0.3">
      <c r="A206" s="5" t="s">
        <v>769</v>
      </c>
      <c r="B206" s="6">
        <v>91704</v>
      </c>
      <c r="C206" s="7" t="s">
        <v>773</v>
      </c>
      <c r="D206" s="39">
        <v>46225</v>
      </c>
      <c r="E206" s="39" t="s">
        <v>13</v>
      </c>
      <c r="F206" s="39" t="s">
        <v>13</v>
      </c>
      <c r="G206" s="9">
        <v>43056</v>
      </c>
      <c r="H206" s="10">
        <f t="shared" si="30"/>
        <v>43055</v>
      </c>
      <c r="I206" s="11">
        <v>86111</v>
      </c>
      <c r="J206" s="11">
        <f>IFERROR(VLOOKUP(B206,'Jun 26'!B:G,6,FALSE),0)</f>
        <v>0</v>
      </c>
      <c r="K206" s="11">
        <v>0</v>
      </c>
      <c r="L206" s="11">
        <f t="shared" si="34"/>
        <v>43056</v>
      </c>
      <c r="N206" s="33">
        <f t="shared" si="33"/>
        <v>43056</v>
      </c>
    </row>
    <row r="207" spans="1:14" ht="16.5" thickTop="1" thickBot="1" x14ac:dyDescent="0.3">
      <c r="A207" s="5" t="s">
        <v>770</v>
      </c>
      <c r="B207" s="6">
        <v>90366</v>
      </c>
      <c r="C207" s="7" t="s">
        <v>774</v>
      </c>
      <c r="D207" s="39">
        <v>46225</v>
      </c>
      <c r="E207" s="39" t="s">
        <v>13</v>
      </c>
      <c r="F207" s="39" t="s">
        <v>13</v>
      </c>
      <c r="G207" s="9">
        <v>20063.72</v>
      </c>
      <c r="H207" s="10">
        <f t="shared" si="30"/>
        <v>32063.71</v>
      </c>
      <c r="I207" s="11">
        <v>52127.43</v>
      </c>
      <c r="J207" s="11">
        <f>IFERROR(VLOOKUP(B207,'Jun 26'!B:G,6,FALSE),0)</f>
        <v>0</v>
      </c>
      <c r="K207" s="11">
        <v>0</v>
      </c>
      <c r="L207" s="11">
        <f t="shared" si="34"/>
        <v>20063.72</v>
      </c>
      <c r="N207" s="33">
        <f t="shared" si="33"/>
        <v>20063.72</v>
      </c>
    </row>
    <row r="208" spans="1:14" ht="16.5" thickTop="1" thickBot="1" x14ac:dyDescent="0.3">
      <c r="A208" s="5" t="s">
        <v>771</v>
      </c>
      <c r="B208" s="6">
        <v>91192</v>
      </c>
      <c r="C208" s="7" t="s">
        <v>775</v>
      </c>
      <c r="D208" s="39">
        <v>46226</v>
      </c>
      <c r="E208" s="39" t="s">
        <v>13</v>
      </c>
      <c r="F208" s="39" t="s">
        <v>13</v>
      </c>
      <c r="G208" s="9">
        <v>36332.46</v>
      </c>
      <c r="H208" s="10">
        <f t="shared" si="30"/>
        <v>36332.46</v>
      </c>
      <c r="I208" s="11">
        <v>72664.92</v>
      </c>
      <c r="J208" s="11">
        <f>IFERROR(VLOOKUP(B208,'Jun 26'!B:G,6,FALSE),0)</f>
        <v>0</v>
      </c>
      <c r="K208" s="11">
        <v>0</v>
      </c>
      <c r="L208" s="11">
        <f t="shared" si="34"/>
        <v>36332.46</v>
      </c>
      <c r="N208" s="33">
        <f t="shared" si="33"/>
        <v>36332.46</v>
      </c>
    </row>
    <row r="209" spans="1:14" ht="16.5" thickTop="1" thickBot="1" x14ac:dyDescent="0.3">
      <c r="A209" s="5" t="s">
        <v>772</v>
      </c>
      <c r="B209" s="6">
        <v>87176</v>
      </c>
      <c r="C209" s="7" t="s">
        <v>776</v>
      </c>
      <c r="D209" s="39">
        <v>46227</v>
      </c>
      <c r="E209" s="39" t="s">
        <v>13</v>
      </c>
      <c r="F209" s="39" t="s">
        <v>13</v>
      </c>
      <c r="G209" s="9">
        <v>9608</v>
      </c>
      <c r="H209" s="10">
        <f t="shared" si="30"/>
        <v>9664.18</v>
      </c>
      <c r="I209" s="11">
        <v>19272.18</v>
      </c>
      <c r="J209" s="11">
        <f>IFERROR(VLOOKUP(B209,'Jun 26'!B:G,6,FALSE),0)</f>
        <v>0</v>
      </c>
      <c r="K209" s="11">
        <v>0</v>
      </c>
      <c r="L209" s="11">
        <f t="shared" si="34"/>
        <v>9608</v>
      </c>
      <c r="N209" s="33">
        <f t="shared" si="33"/>
        <v>9608</v>
      </c>
    </row>
    <row r="210" spans="1:14" ht="16.5" thickTop="1" thickBot="1" x14ac:dyDescent="0.3">
      <c r="A210" s="5" t="s">
        <v>777</v>
      </c>
      <c r="B210" s="6">
        <v>91539</v>
      </c>
      <c r="C210" s="7" t="s">
        <v>11</v>
      </c>
      <c r="D210" s="39">
        <v>46227</v>
      </c>
      <c r="E210" s="39" t="s">
        <v>13</v>
      </c>
      <c r="F210" s="39" t="s">
        <v>13</v>
      </c>
      <c r="G210" s="9">
        <v>110050.59</v>
      </c>
      <c r="H210" s="10">
        <f t="shared" si="30"/>
        <v>110050.58000000002</v>
      </c>
      <c r="I210" s="11">
        <v>220101.17</v>
      </c>
      <c r="J210" s="11">
        <f>IFERROR(VLOOKUP(B210,'Jun 26'!B:G,6,FALSE),0)</f>
        <v>0</v>
      </c>
      <c r="K210" s="11">
        <v>0</v>
      </c>
      <c r="L210" s="11">
        <f t="shared" ref="L210" si="35">G210-J210</f>
        <v>110050.59</v>
      </c>
      <c r="N210" s="33">
        <f t="shared" si="33"/>
        <v>110050.59</v>
      </c>
    </row>
    <row r="211" spans="1:14" ht="16.5" thickTop="1" thickBot="1" x14ac:dyDescent="0.3">
      <c r="A211" s="5" t="s">
        <v>778</v>
      </c>
      <c r="B211" s="6">
        <v>87546</v>
      </c>
      <c r="C211" s="7" t="s">
        <v>33</v>
      </c>
      <c r="D211" s="39">
        <v>46230</v>
      </c>
      <c r="E211" s="39" t="s">
        <v>13</v>
      </c>
      <c r="F211" s="39" t="s">
        <v>13</v>
      </c>
      <c r="G211" s="9">
        <v>14474.14</v>
      </c>
      <c r="H211" s="10">
        <f t="shared" si="30"/>
        <v>10096.709999999999</v>
      </c>
      <c r="I211" s="11">
        <v>24570.85</v>
      </c>
      <c r="J211" s="11">
        <f>IFERROR(VLOOKUP(B211,'Jun 26'!B:G,6,FALSE),0)</f>
        <v>0</v>
      </c>
      <c r="K211" s="11">
        <v>0</v>
      </c>
      <c r="L211" s="11">
        <f t="shared" ref="L211:L221" si="36">G211-J211</f>
        <v>14474.14</v>
      </c>
      <c r="N211" s="33"/>
    </row>
    <row r="212" spans="1:14" ht="16.5" thickTop="1" thickBot="1" x14ac:dyDescent="0.3">
      <c r="A212" s="5" t="s">
        <v>779</v>
      </c>
      <c r="B212" s="6">
        <v>90333</v>
      </c>
      <c r="C212" s="7" t="s">
        <v>737</v>
      </c>
      <c r="D212" s="39">
        <v>46230</v>
      </c>
      <c r="E212" s="39" t="s">
        <v>13</v>
      </c>
      <c r="F212" s="39" t="s">
        <v>13</v>
      </c>
      <c r="G212" s="9">
        <v>8649.91</v>
      </c>
      <c r="H212" s="10">
        <f t="shared" si="30"/>
        <v>8649.9000000000015</v>
      </c>
      <c r="I212" s="11">
        <v>17299.810000000001</v>
      </c>
      <c r="J212" s="11">
        <f>IFERROR(VLOOKUP(B212,'Jun 26'!B:G,6,FALSE),0)</f>
        <v>0</v>
      </c>
      <c r="K212" s="11">
        <v>0</v>
      </c>
      <c r="L212" s="11">
        <f t="shared" si="36"/>
        <v>8649.91</v>
      </c>
      <c r="N212" s="33"/>
    </row>
    <row r="213" spans="1:14" ht="16.5" thickTop="1" thickBot="1" x14ac:dyDescent="0.3">
      <c r="A213" s="5" t="s">
        <v>780</v>
      </c>
      <c r="B213" s="6">
        <v>91313</v>
      </c>
      <c r="C213" s="7" t="s">
        <v>11</v>
      </c>
      <c r="D213" s="39">
        <v>46230</v>
      </c>
      <c r="E213" s="39" t="s">
        <v>13</v>
      </c>
      <c r="F213" s="39" t="s">
        <v>13</v>
      </c>
      <c r="G213" s="9">
        <v>11021</v>
      </c>
      <c r="H213" s="10">
        <f t="shared" si="30"/>
        <v>11020</v>
      </c>
      <c r="I213" s="11">
        <v>22041</v>
      </c>
      <c r="J213" s="11">
        <f>IFERROR(VLOOKUP(B213,'Jun 26'!B:G,6,FALSE),0)</f>
        <v>0</v>
      </c>
      <c r="K213" s="11">
        <v>0</v>
      </c>
      <c r="L213" s="11">
        <f t="shared" si="36"/>
        <v>11021</v>
      </c>
      <c r="N213" s="33"/>
    </row>
    <row r="214" spans="1:14" ht="16.5" thickTop="1" thickBot="1" x14ac:dyDescent="0.3">
      <c r="A214" s="5" t="s">
        <v>781</v>
      </c>
      <c r="B214" s="6">
        <v>91449</v>
      </c>
      <c r="C214" s="7" t="s">
        <v>23</v>
      </c>
      <c r="D214" s="39">
        <v>46230</v>
      </c>
      <c r="E214" s="39" t="s">
        <v>13</v>
      </c>
      <c r="F214" s="39" t="s">
        <v>13</v>
      </c>
      <c r="G214" s="9">
        <v>7224.09</v>
      </c>
      <c r="H214" s="10">
        <f t="shared" si="30"/>
        <v>7224.08</v>
      </c>
      <c r="I214" s="11">
        <v>14448.17</v>
      </c>
      <c r="J214" s="11">
        <f>IFERROR(VLOOKUP(B214,'Jun 26'!B:G,6,FALSE),0)</f>
        <v>0</v>
      </c>
      <c r="K214" s="11">
        <v>0</v>
      </c>
      <c r="L214" s="11">
        <f t="shared" si="36"/>
        <v>7224.09</v>
      </c>
      <c r="N214" s="33"/>
    </row>
    <row r="215" spans="1:14" ht="16.5" thickTop="1" thickBot="1" x14ac:dyDescent="0.3">
      <c r="A215" s="5" t="s">
        <v>782</v>
      </c>
      <c r="B215" s="6">
        <v>91495</v>
      </c>
      <c r="C215" s="7" t="s">
        <v>18</v>
      </c>
      <c r="D215" s="39">
        <v>46231</v>
      </c>
      <c r="E215" s="39" t="s">
        <v>13</v>
      </c>
      <c r="F215" s="39" t="s">
        <v>13</v>
      </c>
      <c r="G215" s="9">
        <v>12762.73</v>
      </c>
      <c r="H215" s="10">
        <f t="shared" si="30"/>
        <v>11555.619999999999</v>
      </c>
      <c r="I215" s="11">
        <v>24318.35</v>
      </c>
      <c r="J215" s="11">
        <f>IFERROR(VLOOKUP(B215,'Jun 26'!B:G,6,FALSE),0)</f>
        <v>0</v>
      </c>
      <c r="K215" s="11">
        <v>0</v>
      </c>
      <c r="L215" s="11">
        <f t="shared" si="36"/>
        <v>12762.73</v>
      </c>
      <c r="N215" s="33"/>
    </row>
    <row r="216" spans="1:14" ht="16.5" thickTop="1" thickBot="1" x14ac:dyDescent="0.3">
      <c r="A216" s="5" t="s">
        <v>783</v>
      </c>
      <c r="B216" s="6">
        <v>91683</v>
      </c>
      <c r="C216" s="7" t="s">
        <v>23</v>
      </c>
      <c r="D216" s="39">
        <v>46231</v>
      </c>
      <c r="E216" s="39" t="s">
        <v>13</v>
      </c>
      <c r="F216" s="39" t="s">
        <v>13</v>
      </c>
      <c r="G216" s="9">
        <v>20825</v>
      </c>
      <c r="H216" s="10">
        <f t="shared" si="30"/>
        <v>20824.43</v>
      </c>
      <c r="I216" s="11">
        <v>41649.43</v>
      </c>
      <c r="J216" s="11">
        <f>IFERROR(VLOOKUP(B216,'Jun 26'!B:G,6,FALSE),0)</f>
        <v>0</v>
      </c>
      <c r="K216" s="11">
        <v>0</v>
      </c>
      <c r="L216" s="11">
        <f t="shared" si="36"/>
        <v>20825</v>
      </c>
      <c r="N216" s="33"/>
    </row>
    <row r="217" spans="1:14" ht="16.5" thickTop="1" thickBot="1" x14ac:dyDescent="0.3">
      <c r="A217" s="5" t="s">
        <v>784</v>
      </c>
      <c r="B217" s="6">
        <v>85687</v>
      </c>
      <c r="C217" s="7" t="s">
        <v>20</v>
      </c>
      <c r="D217" s="39">
        <v>46231</v>
      </c>
      <c r="E217" s="39" t="s">
        <v>13</v>
      </c>
      <c r="F217" s="39" t="s">
        <v>13</v>
      </c>
      <c r="G217" s="9">
        <v>13294</v>
      </c>
      <c r="H217" s="10">
        <f t="shared" si="30"/>
        <v>13293</v>
      </c>
      <c r="I217" s="11">
        <v>26587</v>
      </c>
      <c r="J217" s="11">
        <f>IFERROR(VLOOKUP(B217,'Jun 26'!B:G,6,FALSE),0)</f>
        <v>0</v>
      </c>
      <c r="K217" s="11">
        <v>0</v>
      </c>
      <c r="L217" s="11">
        <f t="shared" si="36"/>
        <v>13294</v>
      </c>
      <c r="N217" s="33"/>
    </row>
    <row r="218" spans="1:14" ht="16.5" thickTop="1" thickBot="1" x14ac:dyDescent="0.3">
      <c r="A218" s="5" t="s">
        <v>785</v>
      </c>
      <c r="B218" s="13">
        <v>91560</v>
      </c>
      <c r="C218" s="14" t="s">
        <v>21</v>
      </c>
      <c r="D218" s="40">
        <v>46232</v>
      </c>
      <c r="E218" s="40" t="s">
        <v>13</v>
      </c>
      <c r="F218" s="40" t="s">
        <v>13</v>
      </c>
      <c r="G218" s="16">
        <v>8379.99</v>
      </c>
      <c r="H218" s="17">
        <f t="shared" si="30"/>
        <v>0</v>
      </c>
      <c r="I218" s="18">
        <v>8379.99</v>
      </c>
      <c r="J218" s="18">
        <f>IFERROR(VLOOKUP(B218,'Jun 26'!B:G,6,FALSE),0)</f>
        <v>0</v>
      </c>
      <c r="K218" s="18">
        <v>0</v>
      </c>
      <c r="L218" s="18">
        <f t="shared" si="36"/>
        <v>8379.99</v>
      </c>
      <c r="N218" s="33"/>
    </row>
    <row r="219" spans="1:14" ht="16.5" thickTop="1" thickBot="1" x14ac:dyDescent="0.3">
      <c r="A219" s="5" t="s">
        <v>786</v>
      </c>
      <c r="B219" s="13">
        <v>90548</v>
      </c>
      <c r="C219" s="14" t="s">
        <v>21</v>
      </c>
      <c r="D219" s="40">
        <v>46232</v>
      </c>
      <c r="E219" s="40" t="s">
        <v>13</v>
      </c>
      <c r="F219" s="40" t="s">
        <v>13</v>
      </c>
      <c r="G219" s="16">
        <v>4673.7</v>
      </c>
      <c r="H219" s="17">
        <f t="shared" si="30"/>
        <v>0</v>
      </c>
      <c r="I219" s="18">
        <v>4673.7</v>
      </c>
      <c r="J219" s="18">
        <f>IFERROR(VLOOKUP(B219,'Jun 26'!B:G,6,FALSE),0)</f>
        <v>0</v>
      </c>
      <c r="K219" s="18">
        <v>0</v>
      </c>
      <c r="L219" s="18">
        <f t="shared" si="36"/>
        <v>4673.7</v>
      </c>
      <c r="N219" s="33"/>
    </row>
    <row r="220" spans="1:14" ht="16.5" thickTop="1" thickBot="1" x14ac:dyDescent="0.3">
      <c r="A220" s="5" t="s">
        <v>787</v>
      </c>
      <c r="B220" s="6">
        <v>90324</v>
      </c>
      <c r="C220" s="7" t="s">
        <v>19</v>
      </c>
      <c r="D220" s="39">
        <v>46233</v>
      </c>
      <c r="E220" s="39" t="s">
        <v>13</v>
      </c>
      <c r="F220" s="39" t="s">
        <v>13</v>
      </c>
      <c r="G220" s="9">
        <v>11312</v>
      </c>
      <c r="H220" s="10">
        <f t="shared" si="30"/>
        <v>11311</v>
      </c>
      <c r="I220" s="11">
        <v>22623</v>
      </c>
      <c r="J220" s="11">
        <f>IFERROR(VLOOKUP(B220,'Jun 26'!B:G,6,FALSE),0)</f>
        <v>0</v>
      </c>
      <c r="K220" s="11">
        <v>0</v>
      </c>
      <c r="L220" s="11">
        <f t="shared" si="36"/>
        <v>11312</v>
      </c>
      <c r="N220" s="33"/>
    </row>
    <row r="221" spans="1:14" ht="16.5" thickTop="1" thickBot="1" x14ac:dyDescent="0.3">
      <c r="A221" s="5" t="s">
        <v>788</v>
      </c>
      <c r="B221" s="6">
        <v>91860</v>
      </c>
      <c r="C221" s="7" t="s">
        <v>21</v>
      </c>
      <c r="D221" s="39">
        <v>46233</v>
      </c>
      <c r="E221" s="39" t="s">
        <v>13</v>
      </c>
      <c r="F221" s="39" t="s">
        <v>13</v>
      </c>
      <c r="G221" s="9">
        <v>7621.98</v>
      </c>
      <c r="H221" s="10">
        <f t="shared" si="30"/>
        <v>7621.9700000000012</v>
      </c>
      <c r="I221" s="11">
        <v>15243.95</v>
      </c>
      <c r="J221" s="11">
        <f>IFERROR(VLOOKUP(B221,'Jun 26'!B:G,6,FALSE),0)</f>
        <v>0</v>
      </c>
      <c r="K221" s="11">
        <v>0</v>
      </c>
      <c r="L221" s="11">
        <f t="shared" si="36"/>
        <v>7621.98</v>
      </c>
      <c r="N221" s="33"/>
    </row>
    <row r="222" spans="1:14" ht="16.5" thickTop="1" thickBot="1" x14ac:dyDescent="0.3">
      <c r="A222" s="5"/>
      <c r="B222" s="6"/>
      <c r="C222" s="7"/>
      <c r="D222" s="39"/>
      <c r="E222" s="39"/>
      <c r="F222" s="39"/>
      <c r="G222" s="9"/>
      <c r="H222" s="10"/>
      <c r="I222" s="11"/>
      <c r="J222" s="11"/>
      <c r="K222" s="11"/>
      <c r="L222" s="11"/>
    </row>
    <row r="223" spans="1:14" ht="16.5" thickTop="1" thickBot="1" x14ac:dyDescent="0.3">
      <c r="A223" s="22" t="s">
        <v>754</v>
      </c>
      <c r="B223" s="23"/>
      <c r="C223" s="24" t="s">
        <v>115</v>
      </c>
      <c r="D223" s="25" t="s">
        <v>53</v>
      </c>
      <c r="E223" s="26"/>
      <c r="F223" s="27"/>
      <c r="G223" s="28">
        <f>SUM(G2:G222)</f>
        <v>8370713.2799999965</v>
      </c>
      <c r="H223" s="28">
        <f t="shared" ref="H223:L223" si="37">SUM(H2:H222)</f>
        <v>7142096.5799999991</v>
      </c>
      <c r="I223" s="28">
        <f t="shared" si="37"/>
        <v>15004783.699999992</v>
      </c>
      <c r="J223" s="28">
        <f t="shared" si="37"/>
        <v>7952385.799999998</v>
      </c>
      <c r="K223" s="28">
        <f t="shared" si="37"/>
        <v>945817.78000000014</v>
      </c>
      <c r="L223" s="28">
        <f t="shared" si="37"/>
        <v>1378021.2600000002</v>
      </c>
    </row>
    <row r="224" spans="1:14" ht="15.75" thickTop="1" x14ac:dyDescent="0.25">
      <c r="J224" s="33">
        <f>J223-'Jun 26'!G221</f>
        <v>0</v>
      </c>
      <c r="L224" s="33"/>
    </row>
    <row r="225" spans="1:14" x14ac:dyDescent="0.25">
      <c r="L225" s="33"/>
    </row>
    <row r="226" spans="1:14" x14ac:dyDescent="0.25">
      <c r="A226" t="s">
        <v>63</v>
      </c>
      <c r="D226" s="30" t="s">
        <v>63</v>
      </c>
      <c r="F226" s="35" t="s">
        <v>9</v>
      </c>
      <c r="G226" s="36">
        <f>J223</f>
        <v>7952385.799999998</v>
      </c>
      <c r="J226" s="33"/>
    </row>
    <row r="227" spans="1:14" x14ac:dyDescent="0.25">
      <c r="F227" s="31" t="s">
        <v>492</v>
      </c>
      <c r="G227" s="32">
        <f>G223</f>
        <v>8370713.2799999965</v>
      </c>
      <c r="L227" s="33"/>
    </row>
    <row r="228" spans="1:14" x14ac:dyDescent="0.25">
      <c r="F228" s="35" t="s">
        <v>493</v>
      </c>
      <c r="G228" s="36">
        <f>G223-G226</f>
        <v>418327.47999999858</v>
      </c>
      <c r="H228" s="33"/>
      <c r="I228" s="38">
        <f>G223</f>
        <v>8370713.2799999965</v>
      </c>
    </row>
    <row r="229" spans="1:14" x14ac:dyDescent="0.25">
      <c r="I229" s="38">
        <v>-8370713.2800000003</v>
      </c>
      <c r="J229" t="s">
        <v>55</v>
      </c>
      <c r="K229" s="34" t="s">
        <v>85</v>
      </c>
    </row>
    <row r="230" spans="1:14" x14ac:dyDescent="0.25">
      <c r="F230" s="31" t="s">
        <v>56</v>
      </c>
      <c r="G230" s="32">
        <f>G227+I229</f>
        <v>0</v>
      </c>
    </row>
    <row r="231" spans="1:14" s="34" customFormat="1" x14ac:dyDescent="0.25">
      <c r="A231"/>
      <c r="B231" s="29"/>
      <c r="C231"/>
      <c r="D231" s="30"/>
      <c r="E231"/>
      <c r="F231" s="31"/>
      <c r="G231" s="32"/>
      <c r="H231"/>
      <c r="I231" s="37">
        <f>I228++I229</f>
        <v>0</v>
      </c>
      <c r="J231" t="s">
        <v>789</v>
      </c>
      <c r="L231"/>
      <c r="N231" s="79"/>
    </row>
    <row r="233" spans="1:14" x14ac:dyDescent="0.25">
      <c r="F233" s="31" t="s">
        <v>63</v>
      </c>
    </row>
  </sheetData>
  <autoFilter ref="A1:N221" xr:uid="{EA880DEE-2FDA-42F8-AA49-FF9FB96C7B45}">
    <filterColumn colId="5">
      <filters>
        <filter val="Assembly"/>
        <filter val="Coating"/>
        <filter val="Cutting"/>
        <filter val="Powder Coat"/>
        <filter val="Pre-Production"/>
        <filter val="Pull Material"/>
        <filter val="Steel"/>
        <filter val="Test-Wall"/>
      </filters>
    </filterColumn>
  </autoFilter>
  <conditionalFormatting sqref="A28:A101">
    <cfRule type="duplicateValues" dxfId="13" priority="171"/>
  </conditionalFormatting>
  <conditionalFormatting sqref="A225:A232">
    <cfRule type="duplicateValues" dxfId="12" priority="2"/>
  </conditionalFormatting>
  <conditionalFormatting sqref="A233:A1048576 A1:A27 A102:A224">
    <cfRule type="duplicateValues" dxfId="11" priority="3"/>
  </conditionalFormatting>
  <conditionalFormatting sqref="B1:B1048576">
    <cfRule type="duplicateValues" dxfId="1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21F9-3CCA-4FEB-B27A-EF7802D16191}">
  <dimension ref="A1:L232"/>
  <sheetViews>
    <sheetView topLeftCell="B1" zoomScale="115" zoomScaleNormal="115" workbookViewId="0">
      <pane ySplit="1" topLeftCell="A167" activePane="bottomLeft" state="frozen"/>
      <selection pane="bottomLeft" activeCell="L180" sqref="L180"/>
    </sheetView>
  </sheetViews>
  <sheetFormatPr defaultRowHeight="15" x14ac:dyDescent="0.25"/>
  <cols>
    <col min="1" max="1" width="58.7109375" customWidth="1"/>
    <col min="2" max="2" width="13.28515625" style="29" customWidth="1"/>
    <col min="3" max="3" width="11.28515625" customWidth="1"/>
    <col min="4" max="4" width="13.42578125" style="30" customWidth="1"/>
    <col min="5" max="5" width="19.140625" customWidth="1"/>
    <col min="6" max="6" width="32.85546875" style="31" customWidth="1"/>
    <col min="7" max="7" width="16.5703125" style="32" bestFit="1" customWidth="1"/>
    <col min="8" max="8" width="17.42578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</cols>
  <sheetData>
    <row r="1" spans="1:12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</row>
    <row r="2" spans="1:12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 t="str">
        <f>VLOOKUP(B2,'[1]Pre Production'!$B:$E,4,FALSE)</f>
        <v>Pre-Production</v>
      </c>
      <c r="F2" s="39" t="s">
        <v>13</v>
      </c>
      <c r="G2" s="19">
        <v>51110.14</v>
      </c>
      <c r="H2" s="10">
        <f>I2-G2</f>
        <v>0</v>
      </c>
      <c r="I2" s="11">
        <v>51110.14</v>
      </c>
      <c r="J2" s="11">
        <f>VLOOKUP(B2,'Jul 26'!B:G,6,FALSE)</f>
        <v>51110.14</v>
      </c>
      <c r="K2" s="11">
        <v>0</v>
      </c>
      <c r="L2" s="11">
        <f t="shared" ref="L2:L15" si="0">G2-J2</f>
        <v>0</v>
      </c>
    </row>
    <row r="3" spans="1:12" ht="16.5" thickTop="1" thickBot="1" x14ac:dyDescent="0.3">
      <c r="A3" s="60" t="s">
        <v>730</v>
      </c>
      <c r="B3" s="6">
        <v>88164</v>
      </c>
      <c r="C3" s="7" t="s">
        <v>14</v>
      </c>
      <c r="D3" s="39">
        <v>46195</v>
      </c>
      <c r="E3" s="39" t="str">
        <f>VLOOKUP(B3,'[1]Pre Production'!$B:$E,4,FALSE)</f>
        <v>Pre-Production</v>
      </c>
      <c r="F3" s="39" t="s">
        <v>13</v>
      </c>
      <c r="G3" s="9">
        <v>22283</v>
      </c>
      <c r="H3" s="10">
        <f>I3-G3</f>
        <v>22282</v>
      </c>
      <c r="I3" s="11">
        <v>44565</v>
      </c>
      <c r="J3" s="11">
        <f>VLOOKUP(B3,'Jul 26'!B:G,6,FALSE)</f>
        <v>22283</v>
      </c>
      <c r="K3" s="11">
        <v>0</v>
      </c>
      <c r="L3" s="11">
        <f t="shared" si="0"/>
        <v>0</v>
      </c>
    </row>
    <row r="4" spans="1:12" ht="16.5" thickTop="1" thickBot="1" x14ac:dyDescent="0.3">
      <c r="A4" s="5" t="s">
        <v>318</v>
      </c>
      <c r="B4" s="6">
        <v>87616</v>
      </c>
      <c r="C4" s="7" t="s">
        <v>15</v>
      </c>
      <c r="D4" s="39">
        <v>46069</v>
      </c>
      <c r="E4" s="39" t="str">
        <f>VLOOKUP(B4,'[1]Pre Production'!$B:$E,4,FALSE)</f>
        <v>Pre-Production</v>
      </c>
      <c r="F4" s="39" t="s">
        <v>13</v>
      </c>
      <c r="G4" s="9">
        <v>35586</v>
      </c>
      <c r="H4" s="10">
        <f t="shared" ref="H4:H13" si="1">I4-G4</f>
        <v>9375</v>
      </c>
      <c r="I4" s="11">
        <v>44961</v>
      </c>
      <c r="J4" s="11">
        <f>VLOOKUP(B4,'Jul 26'!B:G,6,FALSE)</f>
        <v>35586</v>
      </c>
      <c r="K4" s="11">
        <v>0</v>
      </c>
      <c r="L4" s="11">
        <f t="shared" si="0"/>
        <v>0</v>
      </c>
    </row>
    <row r="5" spans="1:12" ht="16.5" thickTop="1" thickBot="1" x14ac:dyDescent="0.3">
      <c r="A5" s="5" t="s">
        <v>767</v>
      </c>
      <c r="B5" s="6">
        <v>89725</v>
      </c>
      <c r="C5" s="7" t="s">
        <v>21</v>
      </c>
      <c r="D5" s="39">
        <v>46223</v>
      </c>
      <c r="E5" s="39" t="str">
        <f>VLOOKUP(B5,'[1]Pre Production'!$B:$E,4,FALSE)</f>
        <v>Pre-Production</v>
      </c>
      <c r="F5" s="39" t="s">
        <v>13</v>
      </c>
      <c r="G5" s="9">
        <v>5480.65</v>
      </c>
      <c r="H5" s="10">
        <f t="shared" si="1"/>
        <v>5479.48</v>
      </c>
      <c r="I5" s="11">
        <v>10960.13</v>
      </c>
      <c r="J5" s="11">
        <f>VLOOKUP(B5,'Jul 26'!B:G,6,FALSE)</f>
        <v>5480.65</v>
      </c>
      <c r="K5" s="11">
        <v>0</v>
      </c>
      <c r="L5" s="11">
        <f t="shared" si="0"/>
        <v>0</v>
      </c>
    </row>
    <row r="6" spans="1:12" ht="16.5" thickTop="1" thickBot="1" x14ac:dyDescent="0.3">
      <c r="A6" s="5" t="s">
        <v>189</v>
      </c>
      <c r="B6" s="6">
        <v>87185</v>
      </c>
      <c r="C6" s="7" t="s">
        <v>21</v>
      </c>
      <c r="D6" s="39">
        <v>45995</v>
      </c>
      <c r="E6" s="39" t="str">
        <f>VLOOKUP(B6,'[1]Pre Production'!$B:$E,4,FALSE)</f>
        <v>Pre-Production</v>
      </c>
      <c r="F6" s="39" t="s">
        <v>13</v>
      </c>
      <c r="G6" s="9">
        <v>31515</v>
      </c>
      <c r="H6" s="10">
        <f t="shared" si="1"/>
        <v>31514</v>
      </c>
      <c r="I6" s="11">
        <v>63029</v>
      </c>
      <c r="J6" s="11">
        <f>VLOOKUP(B6,'Jul 26'!B:G,6,FALSE)</f>
        <v>31515</v>
      </c>
      <c r="K6" s="11">
        <v>0</v>
      </c>
      <c r="L6" s="11">
        <f t="shared" si="0"/>
        <v>0</v>
      </c>
    </row>
    <row r="7" spans="1:12" ht="16.5" thickTop="1" thickBot="1" x14ac:dyDescent="0.3">
      <c r="A7" s="5" t="s">
        <v>749</v>
      </c>
      <c r="B7" s="6">
        <v>91559</v>
      </c>
      <c r="C7" s="7" t="s">
        <v>21</v>
      </c>
      <c r="D7" s="39">
        <v>46210</v>
      </c>
      <c r="E7" s="39" t="str">
        <f>VLOOKUP(B7,'[1]Pre Production'!$B:$E,4,FALSE)</f>
        <v>Pre-Production</v>
      </c>
      <c r="F7" s="39" t="s">
        <v>13</v>
      </c>
      <c r="G7" s="9">
        <v>50000</v>
      </c>
      <c r="H7" s="10">
        <f t="shared" si="1"/>
        <v>21.260000000002037</v>
      </c>
      <c r="I7" s="11">
        <v>50021.26</v>
      </c>
      <c r="J7" s="11">
        <f>VLOOKUP(B7,'Jul 26'!B:G,6,FALSE)</f>
        <v>50000</v>
      </c>
      <c r="K7" s="11">
        <v>0</v>
      </c>
      <c r="L7" s="11">
        <f t="shared" si="0"/>
        <v>0</v>
      </c>
    </row>
    <row r="8" spans="1:12" ht="16.5" thickTop="1" thickBot="1" x14ac:dyDescent="0.3">
      <c r="A8" s="5" t="s">
        <v>777</v>
      </c>
      <c r="B8" s="6">
        <v>91539</v>
      </c>
      <c r="C8" s="7" t="s">
        <v>11</v>
      </c>
      <c r="D8" s="39">
        <v>46227</v>
      </c>
      <c r="E8" s="39" t="str">
        <f>VLOOKUP(B8,'[1]Pre Production'!$B:$E,4,FALSE)</f>
        <v>Pre-Production</v>
      </c>
      <c r="F8" s="39" t="s">
        <v>13</v>
      </c>
      <c r="G8" s="9">
        <v>110050.59</v>
      </c>
      <c r="H8" s="10">
        <f t="shared" si="1"/>
        <v>110050.58000000002</v>
      </c>
      <c r="I8" s="11">
        <v>220101.17</v>
      </c>
      <c r="J8" s="11">
        <f>VLOOKUP(B8,'Jul 26'!B:G,6,FALSE)</f>
        <v>110050.59</v>
      </c>
      <c r="K8" s="11">
        <v>0</v>
      </c>
      <c r="L8" s="11">
        <f t="shared" si="0"/>
        <v>0</v>
      </c>
    </row>
    <row r="9" spans="1:12" ht="16.5" thickTop="1" thickBot="1" x14ac:dyDescent="0.3">
      <c r="A9" s="5" t="s">
        <v>649</v>
      </c>
      <c r="B9" s="6">
        <v>88159</v>
      </c>
      <c r="C9" s="7" t="s">
        <v>14</v>
      </c>
      <c r="D9" s="39">
        <v>46148</v>
      </c>
      <c r="E9" s="39" t="str">
        <f>VLOOKUP(B9,'[1]Pre Production'!$B:$E,4,FALSE)</f>
        <v>Pre-Production</v>
      </c>
      <c r="F9" s="39" t="s">
        <v>13</v>
      </c>
      <c r="G9" s="9">
        <v>8819</v>
      </c>
      <c r="H9" s="10">
        <f t="shared" si="1"/>
        <v>17001</v>
      </c>
      <c r="I9" s="11">
        <v>25820</v>
      </c>
      <c r="J9" s="11">
        <f>VLOOKUP(B9,'Jul 26'!B:G,6,FALSE)</f>
        <v>8819</v>
      </c>
      <c r="K9" s="11">
        <v>0</v>
      </c>
      <c r="L9" s="11">
        <f t="shared" si="0"/>
        <v>0</v>
      </c>
    </row>
    <row r="10" spans="1:12" ht="16.5" thickTop="1" thickBot="1" x14ac:dyDescent="0.3">
      <c r="A10" s="5" t="s">
        <v>780</v>
      </c>
      <c r="B10" s="6">
        <v>91313</v>
      </c>
      <c r="C10" s="7" t="s">
        <v>11</v>
      </c>
      <c r="D10" s="39">
        <v>46230</v>
      </c>
      <c r="E10" s="39" t="str">
        <f>VLOOKUP(B10,'[1]Pre Production'!$B:$E,4,FALSE)</f>
        <v>Pre-Production</v>
      </c>
      <c r="F10" s="39" t="s">
        <v>13</v>
      </c>
      <c r="G10" s="9">
        <v>11021</v>
      </c>
      <c r="H10" s="10">
        <f t="shared" si="1"/>
        <v>11020</v>
      </c>
      <c r="I10" s="11">
        <v>22041</v>
      </c>
      <c r="J10" s="11">
        <f>VLOOKUP(B10,'Jul 26'!B:G,6,FALSE)</f>
        <v>11021</v>
      </c>
      <c r="K10" s="11">
        <v>0</v>
      </c>
      <c r="L10" s="11">
        <f t="shared" si="0"/>
        <v>0</v>
      </c>
    </row>
    <row r="11" spans="1:12" ht="16.5" thickTop="1" thickBot="1" x14ac:dyDescent="0.3">
      <c r="A11" s="5" t="s">
        <v>770</v>
      </c>
      <c r="B11" s="6">
        <v>90366</v>
      </c>
      <c r="C11" s="7" t="s">
        <v>774</v>
      </c>
      <c r="D11" s="39">
        <v>46225</v>
      </c>
      <c r="E11" s="39" t="str">
        <f>VLOOKUP(B11,'[1]Pre Production'!$B:$E,4,FALSE)</f>
        <v>Pre-Production</v>
      </c>
      <c r="F11" s="39" t="s">
        <v>13</v>
      </c>
      <c r="G11" s="9">
        <v>20063.72</v>
      </c>
      <c r="H11" s="10">
        <f t="shared" si="1"/>
        <v>32063.71</v>
      </c>
      <c r="I11" s="11">
        <v>52127.43</v>
      </c>
      <c r="J11" s="11">
        <f>VLOOKUP(B11,'Jul 26'!B:G,6,FALSE)</f>
        <v>20063.72</v>
      </c>
      <c r="K11" s="11">
        <v>0</v>
      </c>
      <c r="L11" s="11">
        <f t="shared" si="0"/>
        <v>0</v>
      </c>
    </row>
    <row r="12" spans="1:12" ht="16.5" thickTop="1" thickBot="1" x14ac:dyDescent="0.3">
      <c r="A12" s="5" t="s">
        <v>709</v>
      </c>
      <c r="B12" s="6">
        <v>89869</v>
      </c>
      <c r="C12" s="7" t="s">
        <v>21</v>
      </c>
      <c r="D12" s="39">
        <v>46181</v>
      </c>
      <c r="E12" s="39" t="str">
        <f>VLOOKUP(B12,'[1]Pre Production'!$B:$E,4,FALSE)</f>
        <v>Pre-Production</v>
      </c>
      <c r="F12" s="39" t="s">
        <v>13</v>
      </c>
      <c r="G12" s="9">
        <v>6204</v>
      </c>
      <c r="H12" s="10">
        <f t="shared" si="1"/>
        <v>7888.2199999999993</v>
      </c>
      <c r="I12" s="11">
        <v>14092.22</v>
      </c>
      <c r="J12" s="11">
        <f>VLOOKUP(B12,'Jul 26'!B:G,6,FALSE)</f>
        <v>6204</v>
      </c>
      <c r="K12" s="11">
        <v>0</v>
      </c>
      <c r="L12" s="11">
        <f t="shared" si="0"/>
        <v>0</v>
      </c>
    </row>
    <row r="13" spans="1:12" ht="16.5" thickTop="1" thickBot="1" x14ac:dyDescent="0.3">
      <c r="A13" s="5" t="s">
        <v>169</v>
      </c>
      <c r="B13" s="6">
        <v>87022</v>
      </c>
      <c r="C13" s="7" t="s">
        <v>14</v>
      </c>
      <c r="D13" s="39">
        <v>45981</v>
      </c>
      <c r="E13" s="39" t="str">
        <f>VLOOKUP(B13,'[1]Pre Production'!$B:$E,4,FALSE)</f>
        <v>Pre-Production</v>
      </c>
      <c r="F13" s="39" t="s">
        <v>13</v>
      </c>
      <c r="G13" s="9">
        <v>60823</v>
      </c>
      <c r="H13" s="10">
        <f t="shared" si="1"/>
        <v>60822</v>
      </c>
      <c r="I13" s="11">
        <v>121645</v>
      </c>
      <c r="J13" s="11">
        <f>VLOOKUP(B13,'Jul 26'!B:G,6,FALSE)</f>
        <v>60823</v>
      </c>
      <c r="K13" s="11">
        <v>0</v>
      </c>
      <c r="L13" s="11">
        <f t="shared" si="0"/>
        <v>0</v>
      </c>
    </row>
    <row r="14" spans="1:12" ht="16.5" thickTop="1" thickBot="1" x14ac:dyDescent="0.3">
      <c r="A14" s="12" t="s">
        <v>718</v>
      </c>
      <c r="B14" s="13">
        <v>89319</v>
      </c>
      <c r="C14" s="14" t="s">
        <v>634</v>
      </c>
      <c r="D14" s="40">
        <v>46182</v>
      </c>
      <c r="E14" s="39" t="str">
        <f>VLOOKUP(B14,'[1]Pre Production'!$B:$E,4,FALSE)</f>
        <v>Pre-Production</v>
      </c>
      <c r="F14" s="40" t="s">
        <v>13</v>
      </c>
      <c r="G14" s="16">
        <f>35841+10000+31298.86</f>
        <v>77139.86</v>
      </c>
      <c r="H14" s="17">
        <f>I14-G14</f>
        <v>0</v>
      </c>
      <c r="I14" s="18">
        <v>77139.86</v>
      </c>
      <c r="J14" s="18">
        <f>VLOOKUP(B14,'Jul 26'!B:G,6,FALSE)</f>
        <v>77139.86</v>
      </c>
      <c r="K14" s="18">
        <v>0</v>
      </c>
      <c r="L14" s="18">
        <f t="shared" si="0"/>
        <v>0</v>
      </c>
    </row>
    <row r="15" spans="1:12" ht="16.5" thickTop="1" thickBot="1" x14ac:dyDescent="0.3">
      <c r="A15" s="5" t="s">
        <v>733</v>
      </c>
      <c r="B15" s="6">
        <v>89197</v>
      </c>
      <c r="C15" s="7" t="s">
        <v>11</v>
      </c>
      <c r="D15" s="39">
        <v>46198</v>
      </c>
      <c r="E15" s="39" t="str">
        <f>VLOOKUP(B15,'[1]Pre Production'!$B:$E,4,FALSE)</f>
        <v>Pre-Production</v>
      </c>
      <c r="F15" s="39" t="s">
        <v>13</v>
      </c>
      <c r="G15" s="9">
        <v>19024</v>
      </c>
      <c r="H15" s="10">
        <f>I15-G15</f>
        <v>19022.129999999997</v>
      </c>
      <c r="I15" s="11">
        <v>38046.129999999997</v>
      </c>
      <c r="J15" s="11">
        <f>VLOOKUP(B15,'Jul 26'!B:G,6,FALSE)</f>
        <v>19024</v>
      </c>
      <c r="K15" s="11">
        <v>0</v>
      </c>
      <c r="L15" s="11">
        <f t="shared" si="0"/>
        <v>0</v>
      </c>
    </row>
    <row r="16" spans="1:12" ht="16.5" thickTop="1" thickBot="1" x14ac:dyDescent="0.3">
      <c r="A16" s="5" t="s">
        <v>748</v>
      </c>
      <c r="B16" s="81">
        <v>89155</v>
      </c>
      <c r="C16" s="82" t="s">
        <v>23</v>
      </c>
      <c r="D16" s="49">
        <v>46209</v>
      </c>
      <c r="E16" s="49">
        <f>VLOOKUP(B16,[1]Production!$B:$E,4,FALSE)</f>
        <v>46220</v>
      </c>
      <c r="F16" s="49">
        <v>46254</v>
      </c>
      <c r="G16" s="45">
        <v>0</v>
      </c>
      <c r="H16" s="58">
        <v>0</v>
      </c>
      <c r="I16" s="59">
        <v>0</v>
      </c>
      <c r="J16" s="59">
        <f>VLOOKUP(B16,'Jul 26'!B:G,6,FALSE)</f>
        <v>10464</v>
      </c>
      <c r="K16" s="59">
        <f>IF(G16=0,J16-G16,0)</f>
        <v>10464</v>
      </c>
      <c r="L16" s="59" t="s">
        <v>791</v>
      </c>
    </row>
    <row r="17" spans="1:12" ht="16.5" thickTop="1" thickBot="1" x14ac:dyDescent="0.3">
      <c r="A17" s="5" t="s">
        <v>647</v>
      </c>
      <c r="B17" s="81">
        <v>89731</v>
      </c>
      <c r="C17" s="82" t="s">
        <v>23</v>
      </c>
      <c r="D17" s="49">
        <v>46147</v>
      </c>
      <c r="E17" s="49">
        <f>VLOOKUP(B17,[1]Production!$B:$E,4,FALSE)</f>
        <v>46216</v>
      </c>
      <c r="F17" s="49">
        <v>46259</v>
      </c>
      <c r="G17" s="45">
        <v>0</v>
      </c>
      <c r="H17" s="58">
        <v>0</v>
      </c>
      <c r="I17" s="59">
        <v>0</v>
      </c>
      <c r="J17" s="59">
        <f>VLOOKUP(B17,'Jul 26'!B:G,6,FALSE)</f>
        <v>13338.01</v>
      </c>
      <c r="K17" s="59">
        <f>IF(G17=0,J17-G17,0)</f>
        <v>13338.01</v>
      </c>
      <c r="L17" s="59" t="s">
        <v>791</v>
      </c>
    </row>
    <row r="18" spans="1:12" ht="16.5" thickTop="1" thickBot="1" x14ac:dyDescent="0.3">
      <c r="A18" s="5" t="s">
        <v>270</v>
      </c>
      <c r="B18" s="81">
        <v>88674</v>
      </c>
      <c r="C18" s="82" t="s">
        <v>31</v>
      </c>
      <c r="D18" s="49">
        <v>46055</v>
      </c>
      <c r="E18" s="49">
        <f>VLOOKUP(B18,[1]Production!$B:$E,4,FALSE)</f>
        <v>46132</v>
      </c>
      <c r="F18" s="49">
        <v>46265</v>
      </c>
      <c r="G18" s="45">
        <v>0</v>
      </c>
      <c r="H18" s="58">
        <v>0</v>
      </c>
      <c r="I18" s="59">
        <v>0</v>
      </c>
      <c r="J18" s="59">
        <f>VLOOKUP(B18,'Jul 26'!B:G,6,FALSE)</f>
        <v>488171</v>
      </c>
      <c r="K18" s="59">
        <f>IF(G18=0,J18-G18,0)</f>
        <v>488171</v>
      </c>
      <c r="L18" s="59" t="s">
        <v>791</v>
      </c>
    </row>
    <row r="19" spans="1:12" ht="16.5" thickTop="1" thickBot="1" x14ac:dyDescent="0.3">
      <c r="A19" s="5" t="s">
        <v>144</v>
      </c>
      <c r="B19" s="6">
        <v>85791</v>
      </c>
      <c r="C19" s="7" t="s">
        <v>23</v>
      </c>
      <c r="D19" s="39">
        <v>45959</v>
      </c>
      <c r="E19" s="39">
        <f>VLOOKUP(B19,[1]Production!$B:$E,4,FALSE)</f>
        <v>46206</v>
      </c>
      <c r="F19" s="39" t="str">
        <f>VLOOKUP(B19,[1]Production!$B:$F,5,FALSE)</f>
        <v>Powder Coat</v>
      </c>
      <c r="G19" s="9">
        <v>50992</v>
      </c>
      <c r="H19" s="10">
        <f t="shared" ref="H19:H20" si="2">I19-G19</f>
        <v>50992</v>
      </c>
      <c r="I19" s="11">
        <v>101984</v>
      </c>
      <c r="J19" s="11">
        <f>VLOOKUP(B19,'Jul 26'!B:G,6,FALSE)</f>
        <v>50992</v>
      </c>
      <c r="K19" s="11">
        <v>0</v>
      </c>
      <c r="L19" s="11">
        <f>G19-J19</f>
        <v>0</v>
      </c>
    </row>
    <row r="20" spans="1:12" ht="16.5" thickTop="1" thickBot="1" x14ac:dyDescent="0.3">
      <c r="A20" s="5" t="s">
        <v>635</v>
      </c>
      <c r="B20" s="6">
        <v>89792</v>
      </c>
      <c r="C20" s="6" t="s">
        <v>23</v>
      </c>
      <c r="D20" s="39">
        <v>46140</v>
      </c>
      <c r="E20" s="39" t="str">
        <f>VLOOKUP(B20,'[1]Pre Production'!$B:$E,4,FALSE)</f>
        <v>Pre-Production</v>
      </c>
      <c r="F20" s="39" t="s">
        <v>13</v>
      </c>
      <c r="G20" s="9">
        <v>34278</v>
      </c>
      <c r="H20" s="10">
        <f t="shared" si="2"/>
        <v>45076</v>
      </c>
      <c r="I20" s="11">
        <v>79354</v>
      </c>
      <c r="J20" s="11">
        <f>VLOOKUP(B20,'Jul 26'!B:G,6,FALSE)</f>
        <v>34278</v>
      </c>
      <c r="K20" s="11">
        <f>IF(G20=0,J20-G20,0)</f>
        <v>0</v>
      </c>
      <c r="L20" s="11">
        <f>G20-J20</f>
        <v>0</v>
      </c>
    </row>
    <row r="21" spans="1:12" ht="16.5" thickTop="1" thickBot="1" x14ac:dyDescent="0.3">
      <c r="A21" s="5" t="s">
        <v>660</v>
      </c>
      <c r="B21" s="81">
        <v>90329</v>
      </c>
      <c r="C21" s="82" t="s">
        <v>23</v>
      </c>
      <c r="D21" s="49" t="s">
        <v>669</v>
      </c>
      <c r="E21" s="49">
        <f>VLOOKUP(B21,[1]Production!$B:$E,4,FALSE)</f>
        <v>46191</v>
      </c>
      <c r="F21" s="49">
        <v>46241</v>
      </c>
      <c r="G21" s="45">
        <v>0</v>
      </c>
      <c r="H21" s="58">
        <v>0</v>
      </c>
      <c r="I21" s="59">
        <v>0</v>
      </c>
      <c r="J21" s="59">
        <f>VLOOKUP(B21,'Jul 26'!B:G,6,FALSE)</f>
        <v>8966.25</v>
      </c>
      <c r="K21" s="59">
        <f>J21-G21</f>
        <v>8966.25</v>
      </c>
      <c r="L21" s="59" t="s">
        <v>791</v>
      </c>
    </row>
    <row r="22" spans="1:12" ht="16.5" thickTop="1" thickBot="1" x14ac:dyDescent="0.3">
      <c r="A22" s="5" t="s">
        <v>145</v>
      </c>
      <c r="B22" s="6">
        <v>83690</v>
      </c>
      <c r="C22" s="7" t="s">
        <v>23</v>
      </c>
      <c r="D22" s="39">
        <v>45959</v>
      </c>
      <c r="E22" s="39">
        <f>VLOOKUP(B22,[1]Production!$B:$E,4,FALSE)</f>
        <v>46206</v>
      </c>
      <c r="F22" s="39" t="str">
        <f>VLOOKUP(B22,[1]Production!$B:$F,5,FALSE)</f>
        <v>Cutting</v>
      </c>
      <c r="G22" s="9">
        <v>200341.5</v>
      </c>
      <c r="H22" s="10">
        <f>I22-G22</f>
        <v>205952.5</v>
      </c>
      <c r="I22" s="11">
        <v>406294</v>
      </c>
      <c r="J22" s="11">
        <f>VLOOKUP(B22,'Jul 26'!B:G,6,FALSE)</f>
        <v>200341.5</v>
      </c>
      <c r="K22" s="11">
        <v>0</v>
      </c>
      <c r="L22" s="11">
        <f>G22-J22</f>
        <v>0</v>
      </c>
    </row>
    <row r="23" spans="1:12" ht="16.5" thickTop="1" thickBot="1" x14ac:dyDescent="0.3">
      <c r="A23" s="5" t="s">
        <v>708</v>
      </c>
      <c r="B23" s="81">
        <v>88510</v>
      </c>
      <c r="C23" s="82" t="s">
        <v>23</v>
      </c>
      <c r="D23" s="49">
        <v>46181</v>
      </c>
      <c r="E23" s="49">
        <f>VLOOKUP(B23,[1]Production!$B:$E,4,FALSE)</f>
        <v>46212</v>
      </c>
      <c r="F23" s="49">
        <v>46255</v>
      </c>
      <c r="G23" s="45">
        <v>0</v>
      </c>
      <c r="H23" s="58">
        <v>0</v>
      </c>
      <c r="I23" s="59">
        <v>0</v>
      </c>
      <c r="J23" s="59">
        <f>VLOOKUP(B23,'Jul 26'!B:G,6,FALSE)</f>
        <v>15005</v>
      </c>
      <c r="K23" s="59">
        <f>IF(G23=0,J23-G23,0)</f>
        <v>15005</v>
      </c>
      <c r="L23" s="59" t="s">
        <v>791</v>
      </c>
    </row>
    <row r="24" spans="1:12" ht="16.5" thickTop="1" thickBot="1" x14ac:dyDescent="0.3">
      <c r="A24" s="5" t="s">
        <v>684</v>
      </c>
      <c r="B24" s="6">
        <v>89873</v>
      </c>
      <c r="C24" s="7" t="s">
        <v>23</v>
      </c>
      <c r="D24" s="39">
        <v>46168</v>
      </c>
      <c r="E24" s="39" t="str">
        <f>VLOOKUP(B24,'[1]Pre Production'!$B:$E,4,FALSE)</f>
        <v>Pre-Production</v>
      </c>
      <c r="F24" s="39" t="s">
        <v>13</v>
      </c>
      <c r="G24" s="9">
        <v>165000</v>
      </c>
      <c r="H24" s="10">
        <f t="shared" ref="H24:H28" si="3">I24-G24</f>
        <v>165000</v>
      </c>
      <c r="I24" s="11">
        <v>330000</v>
      </c>
      <c r="J24" s="11">
        <f>VLOOKUP(B24,'Jul 26'!B:G,6,FALSE)</f>
        <v>165000</v>
      </c>
      <c r="K24" s="11"/>
      <c r="L24" s="11">
        <f>G24-J24</f>
        <v>0</v>
      </c>
    </row>
    <row r="25" spans="1:12" ht="16.5" thickTop="1" thickBot="1" x14ac:dyDescent="0.3">
      <c r="A25" s="5" t="s">
        <v>685</v>
      </c>
      <c r="B25" s="6">
        <v>90207</v>
      </c>
      <c r="C25" s="7" t="s">
        <v>23</v>
      </c>
      <c r="D25" s="39">
        <v>46168</v>
      </c>
      <c r="E25" s="39">
        <f>VLOOKUP(B25,[1]Production!$B:$E,4,FALSE)</f>
        <v>46224</v>
      </c>
      <c r="F25" s="39" t="str">
        <f>VLOOKUP(B25,[1]Production!$B:$F,5,FALSE)</f>
        <v>Cutting</v>
      </c>
      <c r="G25" s="9">
        <v>7754</v>
      </c>
      <c r="H25" s="10">
        <f t="shared" si="3"/>
        <v>2185</v>
      </c>
      <c r="I25" s="11">
        <v>9939</v>
      </c>
      <c r="J25" s="11">
        <f>VLOOKUP(B25,'Jul 26'!B:G,6,FALSE)</f>
        <v>7754</v>
      </c>
      <c r="K25" s="11"/>
      <c r="L25" s="11">
        <f>G25-J25</f>
        <v>0</v>
      </c>
    </row>
    <row r="26" spans="1:12" ht="16.5" thickTop="1" thickBot="1" x14ac:dyDescent="0.3">
      <c r="A26" s="5" t="s">
        <v>584</v>
      </c>
      <c r="B26" s="6">
        <v>89607</v>
      </c>
      <c r="C26" s="7" t="s">
        <v>27</v>
      </c>
      <c r="D26" s="39">
        <v>46126</v>
      </c>
      <c r="E26" s="39" t="str">
        <f>VLOOKUP(B26,'[1]Pre Production'!$B:$E,4,FALSE)</f>
        <v>Pre-Production</v>
      </c>
      <c r="F26" s="39" t="s">
        <v>13</v>
      </c>
      <c r="G26" s="9">
        <v>19335</v>
      </c>
      <c r="H26" s="10">
        <f t="shared" si="3"/>
        <v>19335</v>
      </c>
      <c r="I26" s="11">
        <v>38670</v>
      </c>
      <c r="J26" s="11">
        <f>VLOOKUP(B26,'Jul 26'!B:G,6,FALSE)</f>
        <v>19335</v>
      </c>
      <c r="K26" s="11">
        <v>0</v>
      </c>
      <c r="L26" s="11">
        <f>G26-J26</f>
        <v>0</v>
      </c>
    </row>
    <row r="27" spans="1:12" ht="16.5" thickTop="1" thickBot="1" x14ac:dyDescent="0.3">
      <c r="A27" s="5" t="s">
        <v>759</v>
      </c>
      <c r="B27" s="6">
        <v>87583</v>
      </c>
      <c r="C27" s="7" t="s">
        <v>23</v>
      </c>
      <c r="D27" s="39">
        <v>46217</v>
      </c>
      <c r="E27" s="39" t="str">
        <f>VLOOKUP(B27,'[1]Pre Production'!$B:$E,4,FALSE)</f>
        <v>Pre-Production</v>
      </c>
      <c r="F27" s="39" t="s">
        <v>13</v>
      </c>
      <c r="G27" s="9">
        <f>12356+4616.8</f>
        <v>16972.8</v>
      </c>
      <c r="H27" s="10">
        <f t="shared" si="3"/>
        <v>16000.000000000004</v>
      </c>
      <c r="I27" s="11">
        <v>32972.800000000003</v>
      </c>
      <c r="J27" s="11">
        <f>VLOOKUP(B27,'Jul 26'!B:G,6,FALSE)</f>
        <v>12356</v>
      </c>
      <c r="K27" s="11">
        <v>0</v>
      </c>
      <c r="L27" s="83">
        <f>G27-J27</f>
        <v>4616.7999999999993</v>
      </c>
    </row>
    <row r="28" spans="1:12" ht="16.5" thickTop="1" thickBot="1" x14ac:dyDescent="0.3">
      <c r="A28" s="5" t="s">
        <v>502</v>
      </c>
      <c r="B28" s="6">
        <v>84966</v>
      </c>
      <c r="C28" s="7" t="s">
        <v>14</v>
      </c>
      <c r="D28" s="39">
        <v>46099</v>
      </c>
      <c r="E28" s="39" t="str">
        <f>VLOOKUP(B28,'[1]Pre Production'!$B:$E,4,FALSE)</f>
        <v>Pre-Production</v>
      </c>
      <c r="F28" s="39" t="s">
        <v>13</v>
      </c>
      <c r="G28" s="9">
        <v>39804</v>
      </c>
      <c r="H28" s="10">
        <f t="shared" si="3"/>
        <v>39803</v>
      </c>
      <c r="I28" s="11">
        <v>79607</v>
      </c>
      <c r="J28" s="11">
        <f>VLOOKUP(B28,'Jul 26'!B:G,6,FALSE)</f>
        <v>39804</v>
      </c>
      <c r="K28" s="11">
        <v>0</v>
      </c>
      <c r="L28" s="11">
        <f>G28-J28</f>
        <v>0</v>
      </c>
    </row>
    <row r="29" spans="1:12" ht="16.5" thickTop="1" thickBot="1" x14ac:dyDescent="0.3">
      <c r="A29" s="5" t="s">
        <v>699</v>
      </c>
      <c r="B29" s="81">
        <v>91001</v>
      </c>
      <c r="C29" s="82" t="s">
        <v>57</v>
      </c>
      <c r="D29" s="49">
        <v>46175</v>
      </c>
      <c r="E29" s="49">
        <f>VLOOKUP(B29,[1]Production!$B:$E,4,FALSE)</f>
        <v>46198</v>
      </c>
      <c r="F29" s="49">
        <v>46248</v>
      </c>
      <c r="G29" s="45">
        <v>0</v>
      </c>
      <c r="H29" s="58">
        <v>0</v>
      </c>
      <c r="I29" s="59">
        <v>0</v>
      </c>
      <c r="J29" s="59">
        <f>VLOOKUP(B29,'Jul 26'!B:G,6,FALSE)</f>
        <v>14017.3</v>
      </c>
      <c r="K29" s="59">
        <f>J29-G29</f>
        <v>14017.3</v>
      </c>
      <c r="L29" s="59" t="s">
        <v>791</v>
      </c>
    </row>
    <row r="30" spans="1:12" ht="16.5" thickTop="1" thickBot="1" x14ac:dyDescent="0.3">
      <c r="A30" s="20" t="s">
        <v>24</v>
      </c>
      <c r="B30" s="13" t="s">
        <v>89</v>
      </c>
      <c r="C30" s="14"/>
      <c r="D30" s="40">
        <v>44712</v>
      </c>
      <c r="E30" s="39" t="str">
        <f>VLOOKUP(B30,'[1]Pre Production'!$B:$E,4,FALSE)</f>
        <v>Pre-Production</v>
      </c>
      <c r="F30" s="40" t="s">
        <v>13</v>
      </c>
      <c r="G30" s="21">
        <v>4108</v>
      </c>
      <c r="H30" s="17">
        <v>0</v>
      </c>
      <c r="I30" s="18">
        <v>4108</v>
      </c>
      <c r="J30" s="18">
        <f>VLOOKUP(B30,'Jul 26'!B:G,6,FALSE)</f>
        <v>4108</v>
      </c>
      <c r="K30" s="18">
        <v>0</v>
      </c>
      <c r="L30" s="18">
        <f>G30-J30</f>
        <v>0</v>
      </c>
    </row>
    <row r="31" spans="1:12" ht="16.5" thickTop="1" thickBot="1" x14ac:dyDescent="0.3">
      <c r="A31" s="5" t="s">
        <v>674</v>
      </c>
      <c r="B31" s="81">
        <v>90923</v>
      </c>
      <c r="C31" s="82" t="s">
        <v>21</v>
      </c>
      <c r="D31" s="49">
        <v>46160</v>
      </c>
      <c r="E31" s="49">
        <f>VLOOKUP(B31,[1]Production!$B:$E,4,FALSE)</f>
        <v>46206</v>
      </c>
      <c r="F31" s="49">
        <v>46245</v>
      </c>
      <c r="G31" s="45">
        <v>0</v>
      </c>
      <c r="H31" s="58">
        <v>0</v>
      </c>
      <c r="I31" s="59">
        <v>0</v>
      </c>
      <c r="J31" s="59">
        <f>VLOOKUP(B31,'Jul 26'!B:G,6,FALSE)</f>
        <v>7275.85</v>
      </c>
      <c r="K31" s="59">
        <f>J31-G31</f>
        <v>7275.85</v>
      </c>
      <c r="L31" s="59" t="s">
        <v>791</v>
      </c>
    </row>
    <row r="32" spans="1:12" ht="16.5" thickTop="1" thickBot="1" x14ac:dyDescent="0.3">
      <c r="A32" s="5" t="s">
        <v>760</v>
      </c>
      <c r="B32" s="6">
        <v>91153</v>
      </c>
      <c r="C32" s="7" t="s">
        <v>40</v>
      </c>
      <c r="D32" s="39">
        <v>46217</v>
      </c>
      <c r="E32" s="39">
        <f>VLOOKUP(B32,[1]Production!$B:$E,4,FALSE)</f>
        <v>46232</v>
      </c>
      <c r="F32" s="39" t="str">
        <f>VLOOKUP(B32,[1]Production!$B:$F,5,FALSE)</f>
        <v>Pull Material</v>
      </c>
      <c r="G32" s="9">
        <v>6707.99</v>
      </c>
      <c r="H32" s="10">
        <f>I32-G32</f>
        <v>6707.99</v>
      </c>
      <c r="I32" s="11">
        <v>13415.98</v>
      </c>
      <c r="J32" s="11">
        <f>VLOOKUP(B32,'Jul 26'!B:G,6,FALSE)</f>
        <v>6707.99</v>
      </c>
      <c r="K32" s="11">
        <v>0</v>
      </c>
      <c r="L32" s="11">
        <f>G32-J32</f>
        <v>0</v>
      </c>
    </row>
    <row r="33" spans="1:12" ht="16.5" thickTop="1" thickBot="1" x14ac:dyDescent="0.3">
      <c r="A33" s="5" t="s">
        <v>508</v>
      </c>
      <c r="B33" s="81">
        <v>89296</v>
      </c>
      <c r="C33" s="82" t="s">
        <v>509</v>
      </c>
      <c r="D33" s="49">
        <v>46100</v>
      </c>
      <c r="E33" s="49">
        <f>VLOOKUP(B33,[1]Production!$B:$E,4,FALSE)</f>
        <v>46162</v>
      </c>
      <c r="F33" s="49">
        <v>46252</v>
      </c>
      <c r="G33" s="45">
        <v>0</v>
      </c>
      <c r="H33" s="58">
        <v>0</v>
      </c>
      <c r="I33" s="59">
        <v>0</v>
      </c>
      <c r="J33" s="59">
        <f>VLOOKUP(B33,'Jul 26'!B:G,6,FALSE)</f>
        <v>109253</v>
      </c>
      <c r="K33" s="59">
        <f>IF(G33=0,J33-G33,0)</f>
        <v>109253</v>
      </c>
      <c r="L33" s="59" t="s">
        <v>791</v>
      </c>
    </row>
    <row r="34" spans="1:12" ht="16.5" thickTop="1" thickBot="1" x14ac:dyDescent="0.3">
      <c r="A34" s="5" t="s">
        <v>274</v>
      </c>
      <c r="B34" s="6">
        <v>88868</v>
      </c>
      <c r="C34" s="7" t="s">
        <v>45</v>
      </c>
      <c r="D34" s="39">
        <v>46059</v>
      </c>
      <c r="E34" s="39">
        <f>VLOOKUP(B34,[1]Production!$B:$E,4,FALSE)</f>
        <v>46181</v>
      </c>
      <c r="F34" s="39" t="str">
        <f>VLOOKUP(B34,[1]Production!$B:$F,5,FALSE)</f>
        <v>Coating</v>
      </c>
      <c r="G34" s="9">
        <v>17321</v>
      </c>
      <c r="H34" s="10">
        <f t="shared" ref="H34:H35" si="4">I34-G34</f>
        <v>18103</v>
      </c>
      <c r="I34" s="11">
        <v>35424</v>
      </c>
      <c r="J34" s="11">
        <f>VLOOKUP(B34,'Jul 26'!B:G,6,FALSE)</f>
        <v>17321</v>
      </c>
      <c r="K34" s="11">
        <v>0</v>
      </c>
      <c r="L34" s="11">
        <f>G34-J34</f>
        <v>0</v>
      </c>
    </row>
    <row r="35" spans="1:12" ht="16.5" thickTop="1" thickBot="1" x14ac:dyDescent="0.3">
      <c r="A35" s="5" t="s">
        <v>586</v>
      </c>
      <c r="B35" s="6">
        <v>88845</v>
      </c>
      <c r="C35" s="7" t="s">
        <v>14</v>
      </c>
      <c r="D35" s="39">
        <v>46115</v>
      </c>
      <c r="E35" s="39" t="str">
        <f>VLOOKUP(B35,'[1]Pre Production'!$B:$E,4,FALSE)</f>
        <v>Pre-Production</v>
      </c>
      <c r="F35" s="39" t="s">
        <v>13</v>
      </c>
      <c r="G35" s="9">
        <v>51819</v>
      </c>
      <c r="H35" s="10">
        <f t="shared" si="4"/>
        <v>51818</v>
      </c>
      <c r="I35" s="11">
        <v>103637</v>
      </c>
      <c r="J35" s="11">
        <f>VLOOKUP(B35,'Jul 26'!B:G,6,FALSE)</f>
        <v>51819</v>
      </c>
      <c r="K35" s="11">
        <v>0</v>
      </c>
      <c r="L35" s="11">
        <f>G35-J35</f>
        <v>0</v>
      </c>
    </row>
    <row r="36" spans="1:12" ht="16.5" thickTop="1" thickBot="1" x14ac:dyDescent="0.3">
      <c r="A36" s="5" t="s">
        <v>622</v>
      </c>
      <c r="B36" s="81">
        <v>89829</v>
      </c>
      <c r="C36" s="82" t="s">
        <v>27</v>
      </c>
      <c r="D36" s="49">
        <v>46134</v>
      </c>
      <c r="E36" s="49">
        <f>VLOOKUP(B36,[1]Production!$B:$E,4,FALSE)</f>
        <v>46183</v>
      </c>
      <c r="F36" s="49">
        <v>46252</v>
      </c>
      <c r="G36" s="45">
        <v>0</v>
      </c>
      <c r="H36" s="58">
        <v>0</v>
      </c>
      <c r="I36" s="59">
        <v>0</v>
      </c>
      <c r="J36" s="59">
        <f>VLOOKUP(B36,'Jul 26'!B:G,6,FALSE)</f>
        <v>90746</v>
      </c>
      <c r="K36" s="59">
        <f>IF(G36=0,J36-G36,0)</f>
        <v>90746</v>
      </c>
      <c r="L36" s="59" t="s">
        <v>791</v>
      </c>
    </row>
    <row r="37" spans="1:12" ht="16.5" thickTop="1" thickBot="1" x14ac:dyDescent="0.3">
      <c r="A37" s="5" t="s">
        <v>641</v>
      </c>
      <c r="B37" s="6">
        <v>89254</v>
      </c>
      <c r="C37" s="6" t="s">
        <v>18</v>
      </c>
      <c r="D37" s="39">
        <v>46142</v>
      </c>
      <c r="E37" s="39" t="str">
        <f>VLOOKUP(B37,'[1]Pre Production'!$B:$E,4,FALSE)</f>
        <v>Pre-Production</v>
      </c>
      <c r="F37" s="39" t="s">
        <v>13</v>
      </c>
      <c r="G37" s="9">
        <v>8136</v>
      </c>
      <c r="H37" s="10">
        <f>I37-G37</f>
        <v>8136</v>
      </c>
      <c r="I37" s="11">
        <v>16272</v>
      </c>
      <c r="J37" s="11">
        <f>VLOOKUP(B37,'Jul 26'!B:G,6,FALSE)</f>
        <v>8136</v>
      </c>
      <c r="K37" s="11">
        <f>IF(G37=0,J37-G37,0)</f>
        <v>0</v>
      </c>
      <c r="L37" s="11">
        <f>G37-J37</f>
        <v>0</v>
      </c>
    </row>
    <row r="38" spans="1:12" ht="16.5" thickTop="1" thickBot="1" x14ac:dyDescent="0.3">
      <c r="A38" s="5" t="s">
        <v>687</v>
      </c>
      <c r="B38" s="81">
        <v>91035</v>
      </c>
      <c r="C38" s="82" t="s">
        <v>14</v>
      </c>
      <c r="D38" s="49">
        <v>46169</v>
      </c>
      <c r="E38" s="49">
        <f>VLOOKUP(B38,[1]Production!$B:$E,4,FALSE)</f>
        <v>46217</v>
      </c>
      <c r="F38" s="49">
        <v>46248</v>
      </c>
      <c r="G38" s="45">
        <v>0</v>
      </c>
      <c r="H38" s="58">
        <v>0</v>
      </c>
      <c r="I38" s="59">
        <v>0</v>
      </c>
      <c r="J38" s="59">
        <f>VLOOKUP(B38,'Jul 26'!B:G,6,FALSE)</f>
        <v>34521.83</v>
      </c>
      <c r="K38" s="59">
        <f>J38-G38</f>
        <v>34521.83</v>
      </c>
      <c r="L38" s="59" t="s">
        <v>791</v>
      </c>
    </row>
    <row r="39" spans="1:12" ht="16.5" thickTop="1" thickBot="1" x14ac:dyDescent="0.3">
      <c r="A39" s="5" t="s">
        <v>637</v>
      </c>
      <c r="B39" s="81">
        <v>90388</v>
      </c>
      <c r="C39" s="81" t="s">
        <v>283</v>
      </c>
      <c r="D39" s="49">
        <v>46140</v>
      </c>
      <c r="E39" s="49">
        <f>VLOOKUP(B39,[1]Production!$B:$E,4,FALSE)</f>
        <v>46219</v>
      </c>
      <c r="F39" s="49">
        <v>46259</v>
      </c>
      <c r="G39" s="45">
        <v>0</v>
      </c>
      <c r="H39" s="58">
        <v>0</v>
      </c>
      <c r="I39" s="59">
        <v>0</v>
      </c>
      <c r="J39" s="59">
        <f>VLOOKUP(B39,'Jul 26'!B:G,6,FALSE)</f>
        <v>25275</v>
      </c>
      <c r="K39" s="59">
        <f>J39-G39</f>
        <v>25275</v>
      </c>
      <c r="L39" s="59" t="s">
        <v>791</v>
      </c>
    </row>
    <row r="40" spans="1:12" ht="16.5" thickTop="1" thickBot="1" x14ac:dyDescent="0.3">
      <c r="A40" s="5" t="s">
        <v>729</v>
      </c>
      <c r="B40" s="81">
        <v>90595</v>
      </c>
      <c r="C40" s="81" t="s">
        <v>21</v>
      </c>
      <c r="D40" s="49">
        <v>46195</v>
      </c>
      <c r="E40" s="49">
        <f>VLOOKUP(B40,[1]Production!$B:$E,4,FALSE)</f>
        <v>46175</v>
      </c>
      <c r="F40" s="49">
        <v>46251</v>
      </c>
      <c r="G40" s="45">
        <v>0</v>
      </c>
      <c r="H40" s="58">
        <v>0</v>
      </c>
      <c r="I40" s="59">
        <v>0</v>
      </c>
      <c r="J40" s="59">
        <f>VLOOKUP(B40,'Jul 26'!B:G,6,FALSE)</f>
        <v>5569.3</v>
      </c>
      <c r="K40" s="59">
        <f>IF(G40=0,J40-G40,0)</f>
        <v>5569.3</v>
      </c>
      <c r="L40" s="59" t="s">
        <v>791</v>
      </c>
    </row>
    <row r="41" spans="1:12" ht="16.5" thickTop="1" thickBot="1" x14ac:dyDescent="0.3">
      <c r="A41" s="5" t="s">
        <v>75</v>
      </c>
      <c r="B41" s="6">
        <v>83108</v>
      </c>
      <c r="C41" s="7" t="s">
        <v>76</v>
      </c>
      <c r="D41" s="39">
        <v>45764</v>
      </c>
      <c r="E41" s="39" t="str">
        <f>VLOOKUP(B41,'[1]Pre Production'!$B:$E,4,FALSE)</f>
        <v>Pre-Production</v>
      </c>
      <c r="F41" s="39" t="s">
        <v>13</v>
      </c>
      <c r="G41" s="9">
        <v>172204.5</v>
      </c>
      <c r="H41" s="10">
        <f t="shared" ref="H41:H43" si="5">I41-G41</f>
        <v>162356.5</v>
      </c>
      <c r="I41" s="11">
        <v>334561</v>
      </c>
      <c r="J41" s="11">
        <f>VLOOKUP(B41,'Jul 26'!B:G,6,FALSE)</f>
        <v>172204.5</v>
      </c>
      <c r="K41" s="11">
        <v>0</v>
      </c>
      <c r="L41" s="11">
        <f t="shared" ref="L41:L47" si="6">G41-J41</f>
        <v>0</v>
      </c>
    </row>
    <row r="42" spans="1:12" ht="16.5" thickTop="1" thickBot="1" x14ac:dyDescent="0.3">
      <c r="A42" s="5" t="s">
        <v>378</v>
      </c>
      <c r="B42" s="6">
        <v>85777</v>
      </c>
      <c r="C42" s="7" t="s">
        <v>37</v>
      </c>
      <c r="D42" s="39">
        <v>46093</v>
      </c>
      <c r="E42" s="39" t="str">
        <f>VLOOKUP(B42,'[1]Pre Production'!$B:$E,4,FALSE)</f>
        <v>Pre-Production</v>
      </c>
      <c r="F42" s="39" t="s">
        <v>13</v>
      </c>
      <c r="G42" s="9">
        <v>17769</v>
      </c>
      <c r="H42" s="10">
        <f t="shared" si="5"/>
        <v>151010</v>
      </c>
      <c r="I42" s="11">
        <v>168779</v>
      </c>
      <c r="J42" s="11">
        <f>VLOOKUP(B42,'Jul 26'!B:G,6,FALSE)</f>
        <v>17769</v>
      </c>
      <c r="K42" s="11">
        <v>0</v>
      </c>
      <c r="L42" s="11">
        <f t="shared" si="6"/>
        <v>0</v>
      </c>
    </row>
    <row r="43" spans="1:12" ht="16.5" thickTop="1" thickBot="1" x14ac:dyDescent="0.3">
      <c r="A43" s="5" t="s">
        <v>746</v>
      </c>
      <c r="B43" s="6">
        <v>91224</v>
      </c>
      <c r="C43" s="7" t="s">
        <v>23</v>
      </c>
      <c r="D43" s="39">
        <v>46206</v>
      </c>
      <c r="E43" s="39" t="str">
        <f>VLOOKUP(B43,'[1]Pre Production'!$B:$E,4,FALSE)</f>
        <v>Pre-Production</v>
      </c>
      <c r="F43" s="39" t="s">
        <v>13</v>
      </c>
      <c r="G43" s="9">
        <v>37539</v>
      </c>
      <c r="H43" s="10">
        <f t="shared" si="5"/>
        <v>34538</v>
      </c>
      <c r="I43" s="11">
        <v>72077</v>
      </c>
      <c r="J43" s="11">
        <f>VLOOKUP(B43,'Jul 26'!B:G,6,FALSE)</f>
        <v>37539</v>
      </c>
      <c r="K43" s="11">
        <v>0</v>
      </c>
      <c r="L43" s="11">
        <f t="shared" si="6"/>
        <v>0</v>
      </c>
    </row>
    <row r="44" spans="1:12" ht="16.5" thickTop="1" thickBot="1" x14ac:dyDescent="0.3">
      <c r="A44" s="12" t="s">
        <v>763</v>
      </c>
      <c r="B44" s="13">
        <v>90986</v>
      </c>
      <c r="C44" s="14" t="s">
        <v>21</v>
      </c>
      <c r="D44" s="40">
        <v>46218</v>
      </c>
      <c r="E44" s="39" t="str">
        <f>VLOOKUP(B44,'[1]Pre Production'!$B:$E,4,FALSE)</f>
        <v>Pre-Production</v>
      </c>
      <c r="F44" s="40" t="s">
        <v>13</v>
      </c>
      <c r="G44" s="16">
        <v>13364.81</v>
      </c>
      <c r="H44" s="17">
        <f>I44-G44</f>
        <v>0</v>
      </c>
      <c r="I44" s="18">
        <v>13364.81</v>
      </c>
      <c r="J44" s="18">
        <f>VLOOKUP(B44,'Jul 26'!B:G,6,FALSE)</f>
        <v>13364.81</v>
      </c>
      <c r="K44" s="18">
        <v>0</v>
      </c>
      <c r="L44" s="18">
        <f t="shared" si="6"/>
        <v>0</v>
      </c>
    </row>
    <row r="45" spans="1:12" ht="16.5" thickTop="1" thickBot="1" x14ac:dyDescent="0.3">
      <c r="A45" s="12" t="s">
        <v>762</v>
      </c>
      <c r="B45" s="13">
        <v>91574</v>
      </c>
      <c r="C45" s="14" t="s">
        <v>21</v>
      </c>
      <c r="D45" s="40">
        <v>46218</v>
      </c>
      <c r="E45" s="39" t="str">
        <f>VLOOKUP(B45,'[1]Pre Production'!$B:$E,4,FALSE)</f>
        <v>Pre-Production</v>
      </c>
      <c r="F45" s="40" t="s">
        <v>13</v>
      </c>
      <c r="G45" s="16">
        <v>17427.78</v>
      </c>
      <c r="H45" s="17">
        <f>I45-G45</f>
        <v>0</v>
      </c>
      <c r="I45" s="18">
        <v>17427.78</v>
      </c>
      <c r="J45" s="18">
        <f>VLOOKUP(B45,'Jul 26'!B:G,6,FALSE)</f>
        <v>17427.78</v>
      </c>
      <c r="K45" s="18">
        <v>0</v>
      </c>
      <c r="L45" s="18">
        <f t="shared" si="6"/>
        <v>0</v>
      </c>
    </row>
    <row r="46" spans="1:12" ht="16.5" thickTop="1" thickBot="1" x14ac:dyDescent="0.3">
      <c r="A46" s="5" t="s">
        <v>663</v>
      </c>
      <c r="B46" s="6">
        <v>90600</v>
      </c>
      <c r="C46" s="7" t="s">
        <v>21</v>
      </c>
      <c r="D46" s="39" t="s">
        <v>670</v>
      </c>
      <c r="E46" s="39">
        <f>VLOOKUP(B46,[1]Production!$B:$E,4,FALSE)</f>
        <v>46189</v>
      </c>
      <c r="F46" s="39" t="str">
        <f>VLOOKUP(B46,[1]Production!$B:$F,5,FALSE)</f>
        <v>Assembly</v>
      </c>
      <c r="G46" s="19">
        <v>84439.3</v>
      </c>
      <c r="H46" s="10">
        <f t="shared" ref="H46:H47" si="7">I46-G46</f>
        <v>0</v>
      </c>
      <c r="I46" s="11">
        <v>84439.3</v>
      </c>
      <c r="J46" s="11">
        <f>VLOOKUP(B46,'Jul 26'!B:G,6,FALSE)</f>
        <v>84439.3</v>
      </c>
      <c r="K46" s="11">
        <v>0</v>
      </c>
      <c r="L46" s="11">
        <f t="shared" si="6"/>
        <v>0</v>
      </c>
    </row>
    <row r="47" spans="1:12" ht="16.5" thickTop="1" thickBot="1" x14ac:dyDescent="0.3">
      <c r="A47" s="5" t="s">
        <v>375</v>
      </c>
      <c r="B47" s="6">
        <v>88756</v>
      </c>
      <c r="C47" s="7" t="s">
        <v>23</v>
      </c>
      <c r="D47" s="39">
        <v>46092</v>
      </c>
      <c r="E47" s="39" t="str">
        <f>VLOOKUP(B47,'[1]Pre Production'!$B:$E,4,FALSE)</f>
        <v>Pre-Production</v>
      </c>
      <c r="F47" s="39" t="s">
        <v>13</v>
      </c>
      <c r="G47" s="9">
        <v>160000</v>
      </c>
      <c r="H47" s="10">
        <f t="shared" si="7"/>
        <v>158239</v>
      </c>
      <c r="I47" s="11">
        <v>318239</v>
      </c>
      <c r="J47" s="11">
        <f>VLOOKUP(B47,'Jul 26'!B:G,6,FALSE)</f>
        <v>160000</v>
      </c>
      <c r="K47" s="11">
        <v>0</v>
      </c>
      <c r="L47" s="11">
        <f t="shared" si="6"/>
        <v>0</v>
      </c>
    </row>
    <row r="48" spans="1:12" ht="16.5" thickTop="1" thickBot="1" x14ac:dyDescent="0.3">
      <c r="A48" s="5" t="s">
        <v>720</v>
      </c>
      <c r="B48" s="81">
        <v>90858</v>
      </c>
      <c r="C48" s="82" t="s">
        <v>23</v>
      </c>
      <c r="D48" s="49">
        <v>46185</v>
      </c>
      <c r="E48" s="49">
        <f>VLOOKUP(B48,[1]Production!$B:$E,4,FALSE)</f>
        <v>46204</v>
      </c>
      <c r="F48" s="49">
        <v>46254</v>
      </c>
      <c r="G48" s="45">
        <v>0</v>
      </c>
      <c r="H48" s="58">
        <v>0</v>
      </c>
      <c r="I48" s="59">
        <v>0</v>
      </c>
      <c r="J48" s="59">
        <f>VLOOKUP(B48,'Jul 26'!B:G,6,FALSE)</f>
        <v>6717</v>
      </c>
      <c r="K48" s="59">
        <f>IF(G48=0,J48-G48,0)</f>
        <v>6717</v>
      </c>
      <c r="L48" s="59" t="s">
        <v>791</v>
      </c>
    </row>
    <row r="49" spans="1:12" ht="16.5" thickTop="1" thickBot="1" x14ac:dyDescent="0.3">
      <c r="A49" s="5" t="s">
        <v>711</v>
      </c>
      <c r="B49" s="6">
        <v>90442</v>
      </c>
      <c r="C49" s="7" t="s">
        <v>23</v>
      </c>
      <c r="D49" s="39">
        <v>46181</v>
      </c>
      <c r="E49" s="39">
        <f>VLOOKUP(B49,[1]Production!$B:$E,4,FALSE)</f>
        <v>46232</v>
      </c>
      <c r="F49" s="39" t="str">
        <f>VLOOKUP(B49,[1]Production!$B:$F,5,FALSE)</f>
        <v>Pull Material</v>
      </c>
      <c r="G49" s="9">
        <f>40000+32316</f>
        <v>72316</v>
      </c>
      <c r="H49" s="10">
        <f t="shared" ref="H49:H67" si="8">I49-G49</f>
        <v>0</v>
      </c>
      <c r="I49" s="11">
        <v>72316</v>
      </c>
      <c r="J49" s="11">
        <f>VLOOKUP(B49,'Jul 26'!B:G,6,FALSE)</f>
        <v>40000</v>
      </c>
      <c r="K49" s="11">
        <v>0</v>
      </c>
      <c r="L49" s="11">
        <f t="shared" ref="L49:L73" si="9">G49-J49</f>
        <v>32316</v>
      </c>
    </row>
    <row r="50" spans="1:12" ht="16.5" thickTop="1" thickBot="1" x14ac:dyDescent="0.3">
      <c r="A50" s="5" t="s">
        <v>223</v>
      </c>
      <c r="B50" s="6">
        <v>83729</v>
      </c>
      <c r="C50" s="7" t="s">
        <v>23</v>
      </c>
      <c r="D50" s="39">
        <v>46028</v>
      </c>
      <c r="E50" s="39">
        <f>VLOOKUP(B50,[1]Production!$B:$E,4,FALSE)</f>
        <v>46155</v>
      </c>
      <c r="F50" s="39" t="str">
        <f>VLOOKUP(B50,[1]Production!$B:$F,5,FALSE)</f>
        <v>Assembly</v>
      </c>
      <c r="G50" s="9">
        <v>31223</v>
      </c>
      <c r="H50" s="10">
        <f t="shared" si="8"/>
        <v>27501</v>
      </c>
      <c r="I50" s="11">
        <v>58724</v>
      </c>
      <c r="J50" s="11">
        <f>VLOOKUP(B50,'Jul 26'!B:G,6,FALSE)</f>
        <v>31223</v>
      </c>
      <c r="K50" s="11">
        <v>0</v>
      </c>
      <c r="L50" s="11">
        <f t="shared" si="9"/>
        <v>0</v>
      </c>
    </row>
    <row r="51" spans="1:12" ht="16.5" thickTop="1" thickBot="1" x14ac:dyDescent="0.3">
      <c r="A51" s="5" t="s">
        <v>504</v>
      </c>
      <c r="B51" s="6">
        <v>85504</v>
      </c>
      <c r="C51" s="7" t="s">
        <v>38</v>
      </c>
      <c r="D51" s="39">
        <v>46100</v>
      </c>
      <c r="E51" s="39" t="str">
        <f>VLOOKUP(B51,'[1]Pre Production'!$B:$E,4,FALSE)</f>
        <v>Pre-Production</v>
      </c>
      <c r="F51" s="39" t="s">
        <v>13</v>
      </c>
      <c r="G51" s="9">
        <v>151068</v>
      </c>
      <c r="H51" s="10">
        <f t="shared" si="8"/>
        <v>151068</v>
      </c>
      <c r="I51" s="11">
        <v>302136</v>
      </c>
      <c r="J51" s="11">
        <f>VLOOKUP(B51,'Jul 26'!B:G,6,FALSE)</f>
        <v>151068</v>
      </c>
      <c r="K51" s="11">
        <v>0</v>
      </c>
      <c r="L51" s="11">
        <f t="shared" si="9"/>
        <v>0</v>
      </c>
    </row>
    <row r="52" spans="1:12" ht="16.5" thickTop="1" thickBot="1" x14ac:dyDescent="0.3">
      <c r="A52" s="5" t="s">
        <v>778</v>
      </c>
      <c r="B52" s="6">
        <v>87546</v>
      </c>
      <c r="C52" s="7" t="s">
        <v>33</v>
      </c>
      <c r="D52" s="39">
        <v>46230</v>
      </c>
      <c r="E52" s="39" t="str">
        <f>VLOOKUP(B52,'[1]Pre Production'!$B:$E,4,FALSE)</f>
        <v>Pre-Production</v>
      </c>
      <c r="F52" s="39" t="s">
        <v>13</v>
      </c>
      <c r="G52" s="9">
        <v>14474.14</v>
      </c>
      <c r="H52" s="10">
        <f t="shared" si="8"/>
        <v>10096.709999999999</v>
      </c>
      <c r="I52" s="11">
        <v>24570.85</v>
      </c>
      <c r="J52" s="11">
        <f>VLOOKUP(B52,'Jul 26'!B:G,6,FALSE)</f>
        <v>14474.14</v>
      </c>
      <c r="K52" s="11">
        <v>0</v>
      </c>
      <c r="L52" s="11">
        <f t="shared" si="9"/>
        <v>0</v>
      </c>
    </row>
    <row r="53" spans="1:12" ht="16.5" thickTop="1" thickBot="1" x14ac:dyDescent="0.3">
      <c r="A53" s="5" t="s">
        <v>701</v>
      </c>
      <c r="B53" s="6">
        <v>90853</v>
      </c>
      <c r="C53" s="7" t="s">
        <v>40</v>
      </c>
      <c r="D53" s="39">
        <v>46177</v>
      </c>
      <c r="E53" s="39">
        <f>VLOOKUP(B53,[1]Production!$B:$E,4,FALSE)</f>
        <v>46202</v>
      </c>
      <c r="F53" s="39" t="str">
        <f>VLOOKUP(B53,[1]Production!$B:$F,5,FALSE)</f>
        <v>Assembly</v>
      </c>
      <c r="G53" s="9">
        <v>48347</v>
      </c>
      <c r="H53" s="10">
        <f t="shared" si="8"/>
        <v>48346</v>
      </c>
      <c r="I53" s="11">
        <v>96693</v>
      </c>
      <c r="J53" s="11">
        <f>VLOOKUP(B53,'Jul 26'!B:G,6,FALSE)</f>
        <v>48347</v>
      </c>
      <c r="K53" s="11">
        <v>0</v>
      </c>
      <c r="L53" s="11">
        <f t="shared" si="9"/>
        <v>0</v>
      </c>
    </row>
    <row r="54" spans="1:12" ht="16.5" thickTop="1" thickBot="1" x14ac:dyDescent="0.3">
      <c r="A54" s="5" t="s">
        <v>640</v>
      </c>
      <c r="B54" s="6">
        <v>89324</v>
      </c>
      <c r="C54" s="6" t="s">
        <v>31</v>
      </c>
      <c r="D54" s="39">
        <v>46141</v>
      </c>
      <c r="E54" s="39">
        <f>VLOOKUP(B54,[1]Production!$B:$E,4,FALSE)</f>
        <v>46197</v>
      </c>
      <c r="F54" s="39" t="str">
        <f>VLOOKUP(B54,[1]Production!$B:$F,5,FALSE)</f>
        <v>Coating</v>
      </c>
      <c r="G54" s="9">
        <v>15963</v>
      </c>
      <c r="H54" s="10">
        <f t="shared" si="8"/>
        <v>15962</v>
      </c>
      <c r="I54" s="11">
        <v>31925</v>
      </c>
      <c r="J54" s="11">
        <f>VLOOKUP(B54,'Jul 26'!B:G,6,FALSE)</f>
        <v>15963</v>
      </c>
      <c r="K54" s="11">
        <f>IF(G54=0,J54-G54,0)</f>
        <v>0</v>
      </c>
      <c r="L54" s="11">
        <f t="shared" si="9"/>
        <v>0</v>
      </c>
    </row>
    <row r="55" spans="1:12" ht="16.5" thickTop="1" thickBot="1" x14ac:dyDescent="0.3">
      <c r="A55" s="5" t="s">
        <v>174</v>
      </c>
      <c r="B55" s="6">
        <v>86960</v>
      </c>
      <c r="C55" s="7" t="s">
        <v>38</v>
      </c>
      <c r="D55" s="39">
        <v>45986</v>
      </c>
      <c r="E55" s="39">
        <f>VLOOKUP(B55,[1]Production!$B:$E,4,FALSE)</f>
        <v>46224</v>
      </c>
      <c r="F55" s="39" t="str">
        <f>VLOOKUP(B55,[1]Production!$B:$F,5,FALSE)</f>
        <v>Coating</v>
      </c>
      <c r="G55" s="9">
        <f>8962+8962</f>
        <v>17924</v>
      </c>
      <c r="H55" s="10">
        <f t="shared" si="8"/>
        <v>21178</v>
      </c>
      <c r="I55" s="11">
        <v>39102</v>
      </c>
      <c r="J55" s="11">
        <f>VLOOKUP(B55,'Jul 26'!B:G,6,FALSE)</f>
        <v>17924</v>
      </c>
      <c r="K55" s="11">
        <v>0</v>
      </c>
      <c r="L55" s="11">
        <f t="shared" si="9"/>
        <v>0</v>
      </c>
    </row>
    <row r="56" spans="1:12" ht="16.5" thickTop="1" thickBot="1" x14ac:dyDescent="0.3">
      <c r="A56" s="5" t="s">
        <v>781</v>
      </c>
      <c r="B56" s="6">
        <v>91449</v>
      </c>
      <c r="C56" s="7" t="s">
        <v>23</v>
      </c>
      <c r="D56" s="39">
        <v>46230</v>
      </c>
      <c r="E56" s="39" t="str">
        <f>VLOOKUP(B56,'[1]Pre Production'!$B:$E,4,FALSE)</f>
        <v>Pre-Production</v>
      </c>
      <c r="F56" s="39" t="s">
        <v>13</v>
      </c>
      <c r="G56" s="9">
        <v>7224.09</v>
      </c>
      <c r="H56" s="10">
        <f t="shared" si="8"/>
        <v>7224.08</v>
      </c>
      <c r="I56" s="11">
        <v>14448.17</v>
      </c>
      <c r="J56" s="11">
        <f>VLOOKUP(B56,'Jul 26'!B:G,6,FALSE)</f>
        <v>7224.09</v>
      </c>
      <c r="K56" s="11">
        <v>0</v>
      </c>
      <c r="L56" s="11">
        <f t="shared" si="9"/>
        <v>0</v>
      </c>
    </row>
    <row r="57" spans="1:12" ht="16.5" thickTop="1" thickBot="1" x14ac:dyDescent="0.3">
      <c r="A57" s="5" t="s">
        <v>710</v>
      </c>
      <c r="B57" s="6">
        <v>90706</v>
      </c>
      <c r="C57" s="7" t="s">
        <v>14</v>
      </c>
      <c r="D57" s="39">
        <v>46181</v>
      </c>
      <c r="E57" s="39" t="str">
        <f>VLOOKUP(B57,'[1]Pre Production'!$B:$E,4,FALSE)</f>
        <v>Pre-Production</v>
      </c>
      <c r="F57" s="39" t="s">
        <v>13</v>
      </c>
      <c r="G57" s="9">
        <v>30536</v>
      </c>
      <c r="H57" s="10">
        <f t="shared" si="8"/>
        <v>30536</v>
      </c>
      <c r="I57" s="11">
        <v>61072</v>
      </c>
      <c r="J57" s="11">
        <f>VLOOKUP(B57,'Jul 26'!B:G,6,FALSE)</f>
        <v>30536</v>
      </c>
      <c r="K57" s="11">
        <v>0</v>
      </c>
      <c r="L57" s="11">
        <f t="shared" si="9"/>
        <v>0</v>
      </c>
    </row>
    <row r="58" spans="1:12" ht="16.5" thickTop="1" thickBot="1" x14ac:dyDescent="0.3">
      <c r="A58" s="5" t="s">
        <v>587</v>
      </c>
      <c r="B58" s="6">
        <v>85987</v>
      </c>
      <c r="C58" s="7" t="s">
        <v>14</v>
      </c>
      <c r="D58" s="39">
        <v>46115</v>
      </c>
      <c r="E58" s="39">
        <f>VLOOKUP(B58,[1]Production!$B:$E,4,FALSE)</f>
        <v>46177</v>
      </c>
      <c r="F58" s="39" t="str">
        <f>VLOOKUP(B58,[1]Production!$B:$F,5,FALSE)</f>
        <v>Coating</v>
      </c>
      <c r="G58" s="9">
        <v>68043</v>
      </c>
      <c r="H58" s="10">
        <f t="shared" si="8"/>
        <v>68042</v>
      </c>
      <c r="I58" s="11">
        <v>136085</v>
      </c>
      <c r="J58" s="11">
        <f>VLOOKUP(B58,'Jul 26'!B:G,6,FALSE)</f>
        <v>68043</v>
      </c>
      <c r="K58" s="11">
        <v>0</v>
      </c>
      <c r="L58" s="11">
        <f t="shared" si="9"/>
        <v>0</v>
      </c>
    </row>
    <row r="59" spans="1:12" ht="16.5" thickTop="1" thickBot="1" x14ac:dyDescent="0.3">
      <c r="A59" s="5" t="s">
        <v>766</v>
      </c>
      <c r="B59" s="6">
        <v>89863</v>
      </c>
      <c r="C59" s="7" t="s">
        <v>20</v>
      </c>
      <c r="D59" s="39">
        <v>46223</v>
      </c>
      <c r="E59" s="39" t="str">
        <f>VLOOKUP(B59,'[1]Pre Production'!$B:$E,4,FALSE)</f>
        <v>Pre-Production</v>
      </c>
      <c r="F59" s="39" t="s">
        <v>13</v>
      </c>
      <c r="G59" s="9">
        <v>48111.93</v>
      </c>
      <c r="H59" s="10">
        <f t="shared" si="8"/>
        <v>48111.93</v>
      </c>
      <c r="I59" s="11">
        <v>96223.86</v>
      </c>
      <c r="J59" s="11">
        <f>VLOOKUP(B59,'Jul 26'!B:G,6,FALSE)</f>
        <v>48111.93</v>
      </c>
      <c r="K59" s="11">
        <v>0</v>
      </c>
      <c r="L59" s="11">
        <f t="shared" si="9"/>
        <v>0</v>
      </c>
    </row>
    <row r="60" spans="1:12" ht="16.5" thickTop="1" thickBot="1" x14ac:dyDescent="0.3">
      <c r="A60" s="5" t="s">
        <v>382</v>
      </c>
      <c r="B60" s="6">
        <v>84161</v>
      </c>
      <c r="C60" s="7" t="s">
        <v>76</v>
      </c>
      <c r="D60" s="39">
        <v>46013</v>
      </c>
      <c r="E60" s="39" t="str">
        <f>VLOOKUP(B60,'[1]Pre Production'!$B:$E,4,FALSE)</f>
        <v>Pre-Production</v>
      </c>
      <c r="F60" s="39" t="s">
        <v>13</v>
      </c>
      <c r="G60" s="9">
        <v>176687</v>
      </c>
      <c r="H60" s="10">
        <f t="shared" si="8"/>
        <v>176686</v>
      </c>
      <c r="I60" s="11">
        <v>353373</v>
      </c>
      <c r="J60" s="11">
        <f>VLOOKUP(B60,'Jul 26'!B:G,6,FALSE)</f>
        <v>176687</v>
      </c>
      <c r="K60" s="11">
        <v>0</v>
      </c>
      <c r="L60" s="11">
        <f t="shared" si="9"/>
        <v>0</v>
      </c>
    </row>
    <row r="61" spans="1:12" ht="16.5" thickTop="1" thickBot="1" x14ac:dyDescent="0.3">
      <c r="A61" s="5" t="s">
        <v>101</v>
      </c>
      <c r="B61" s="6" t="s">
        <v>219</v>
      </c>
      <c r="C61" s="7" t="s">
        <v>76</v>
      </c>
      <c r="D61" s="39">
        <v>45868</v>
      </c>
      <c r="E61" s="39" t="str">
        <f>VLOOKUP(B61,'[1]Pre Production'!$B:$E,4,FALSE)</f>
        <v>Pre-Production</v>
      </c>
      <c r="F61" s="39" t="s">
        <v>13</v>
      </c>
      <c r="G61" s="9">
        <v>114974</v>
      </c>
      <c r="H61" s="10">
        <f t="shared" si="8"/>
        <v>114973</v>
      </c>
      <c r="I61" s="11">
        <v>229947</v>
      </c>
      <c r="J61" s="11">
        <f>VLOOKUP(B61,'Jul 26'!B:G,6,FALSE)</f>
        <v>114974</v>
      </c>
      <c r="K61" s="11">
        <v>0</v>
      </c>
      <c r="L61" s="11">
        <f t="shared" si="9"/>
        <v>0</v>
      </c>
    </row>
    <row r="62" spans="1:12" ht="16.5" thickTop="1" thickBot="1" x14ac:dyDescent="0.3">
      <c r="A62" s="5" t="s">
        <v>787</v>
      </c>
      <c r="B62" s="6">
        <v>90324</v>
      </c>
      <c r="C62" s="7" t="s">
        <v>19</v>
      </c>
      <c r="D62" s="39">
        <v>46233</v>
      </c>
      <c r="E62" s="39" t="str">
        <f>VLOOKUP(B62,'[1]Pre Production'!$B:$E,4,FALSE)</f>
        <v>Pre-Production</v>
      </c>
      <c r="F62" s="39" t="s">
        <v>13</v>
      </c>
      <c r="G62" s="9">
        <v>11312</v>
      </c>
      <c r="H62" s="10">
        <f t="shared" si="8"/>
        <v>11311</v>
      </c>
      <c r="I62" s="11">
        <v>22623</v>
      </c>
      <c r="J62" s="11">
        <f>VLOOKUP(B62,'Jul 26'!B:G,6,FALSE)</f>
        <v>11312</v>
      </c>
      <c r="K62" s="11">
        <v>0</v>
      </c>
      <c r="L62" s="11">
        <f t="shared" si="9"/>
        <v>0</v>
      </c>
    </row>
    <row r="63" spans="1:12" ht="16.5" thickTop="1" thickBot="1" x14ac:dyDescent="0.3">
      <c r="A63" s="5" t="s">
        <v>286</v>
      </c>
      <c r="B63" s="6">
        <v>87492</v>
      </c>
      <c r="C63" s="7" t="s">
        <v>295</v>
      </c>
      <c r="D63" s="39">
        <v>46063</v>
      </c>
      <c r="E63" s="39" t="str">
        <f>VLOOKUP(B63,'[1]Pre Production'!$B:$E,4,FALSE)</f>
        <v>Pre-Production</v>
      </c>
      <c r="F63" s="39" t="s">
        <v>13</v>
      </c>
      <c r="G63" s="9">
        <v>22079</v>
      </c>
      <c r="H63" s="10">
        <f t="shared" si="8"/>
        <v>22079</v>
      </c>
      <c r="I63" s="11">
        <v>44158</v>
      </c>
      <c r="J63" s="11">
        <f>VLOOKUP(B63,'Jul 26'!B:G,6,FALSE)</f>
        <v>22079</v>
      </c>
      <c r="K63" s="11">
        <v>0</v>
      </c>
      <c r="L63" s="11">
        <f t="shared" si="9"/>
        <v>0</v>
      </c>
    </row>
    <row r="64" spans="1:12" ht="16.5" thickTop="1" thickBot="1" x14ac:dyDescent="0.3">
      <c r="A64" s="5" t="s">
        <v>769</v>
      </c>
      <c r="B64" s="6">
        <v>91704</v>
      </c>
      <c r="C64" s="7" t="s">
        <v>773</v>
      </c>
      <c r="D64" s="39">
        <v>46225</v>
      </c>
      <c r="E64" s="39" t="str">
        <f>VLOOKUP(B64,'[1]Pre Production'!$B:$E,4,FALSE)</f>
        <v>Pre-Production</v>
      </c>
      <c r="F64" s="39" t="s">
        <v>13</v>
      </c>
      <c r="G64" s="9">
        <v>43056</v>
      </c>
      <c r="H64" s="10">
        <f t="shared" si="8"/>
        <v>43055</v>
      </c>
      <c r="I64" s="11">
        <v>86111</v>
      </c>
      <c r="J64" s="11">
        <f>VLOOKUP(B64,'Jul 26'!B:G,6,FALSE)</f>
        <v>43056</v>
      </c>
      <c r="K64" s="11">
        <v>0</v>
      </c>
      <c r="L64" s="11">
        <f t="shared" si="9"/>
        <v>0</v>
      </c>
    </row>
    <row r="65" spans="1:12" ht="16.5" thickTop="1" thickBot="1" x14ac:dyDescent="0.3">
      <c r="A65" s="5" t="s">
        <v>330</v>
      </c>
      <c r="B65" s="6">
        <v>88082</v>
      </c>
      <c r="C65" s="7" t="s">
        <v>14</v>
      </c>
      <c r="D65" s="39">
        <v>46076</v>
      </c>
      <c r="E65" s="39">
        <f>VLOOKUP(B65,[1]Production!$B:$E,4,FALSE)</f>
        <v>46204</v>
      </c>
      <c r="F65" s="39" t="str">
        <f>VLOOKUP(B65,[1]Production!$B:$F,5,FALSE)</f>
        <v>Coating</v>
      </c>
      <c r="G65" s="9">
        <f>35295+4818</f>
        <v>40113</v>
      </c>
      <c r="H65" s="10">
        <f t="shared" si="8"/>
        <v>30476</v>
      </c>
      <c r="I65" s="11">
        <v>70589</v>
      </c>
      <c r="J65" s="11">
        <f>VLOOKUP(B65,'Jul 26'!B:G,6,FALSE)</f>
        <v>40113</v>
      </c>
      <c r="K65" s="11">
        <v>0</v>
      </c>
      <c r="L65" s="11">
        <f t="shared" si="9"/>
        <v>0</v>
      </c>
    </row>
    <row r="66" spans="1:12" ht="16.5" thickTop="1" thickBot="1" x14ac:dyDescent="0.3">
      <c r="A66" s="5" t="s">
        <v>693</v>
      </c>
      <c r="B66" s="6">
        <v>89539</v>
      </c>
      <c r="C66" s="7" t="s">
        <v>14</v>
      </c>
      <c r="D66" s="39">
        <v>46170</v>
      </c>
      <c r="E66" s="39" t="str">
        <f>VLOOKUP(B66,'[1]Pre Production'!$B:$E,4,FALSE)</f>
        <v>Pre-Production</v>
      </c>
      <c r="F66" s="39" t="s">
        <v>13</v>
      </c>
      <c r="G66" s="9">
        <v>32606</v>
      </c>
      <c r="H66" s="10">
        <f t="shared" si="8"/>
        <v>32606</v>
      </c>
      <c r="I66" s="11">
        <v>65212</v>
      </c>
      <c r="J66" s="11">
        <f>VLOOKUP(B66,'Jul 26'!B:G,6,FALSE)</f>
        <v>32606</v>
      </c>
      <c r="K66" s="11"/>
      <c r="L66" s="11">
        <f t="shared" si="9"/>
        <v>0</v>
      </c>
    </row>
    <row r="67" spans="1:12" ht="16.5" thickTop="1" thickBot="1" x14ac:dyDescent="0.3">
      <c r="A67" s="5" t="s">
        <v>363</v>
      </c>
      <c r="B67" s="6">
        <v>88012</v>
      </c>
      <c r="C67" s="7" t="s">
        <v>17</v>
      </c>
      <c r="D67" s="39">
        <v>46086</v>
      </c>
      <c r="E67" s="39" t="str">
        <f>VLOOKUP(B67,'[1]Pre Production'!$B:$E,4,FALSE)</f>
        <v>Pre-Production</v>
      </c>
      <c r="F67" s="39" t="s">
        <v>13</v>
      </c>
      <c r="G67" s="9">
        <v>25461</v>
      </c>
      <c r="H67" s="10">
        <f t="shared" si="8"/>
        <v>26476</v>
      </c>
      <c r="I67" s="11">
        <v>51937</v>
      </c>
      <c r="J67" s="11">
        <f>VLOOKUP(B67,'Jul 26'!B:G,6,FALSE)</f>
        <v>25461</v>
      </c>
      <c r="K67" s="11">
        <v>0</v>
      </c>
      <c r="L67" s="11">
        <f t="shared" si="9"/>
        <v>0</v>
      </c>
    </row>
    <row r="68" spans="1:12" ht="16.5" thickTop="1" thickBot="1" x14ac:dyDescent="0.3">
      <c r="A68" s="5" t="s">
        <v>657</v>
      </c>
      <c r="B68" s="81">
        <v>90365</v>
      </c>
      <c r="C68" s="82" t="s">
        <v>38</v>
      </c>
      <c r="D68" s="49" t="s">
        <v>667</v>
      </c>
      <c r="E68" s="49">
        <f>VLOOKUP(B68,[1]Production!$B:$E,4,FALSE)</f>
        <v>46225</v>
      </c>
      <c r="F68" s="49">
        <v>46261</v>
      </c>
      <c r="G68" s="45">
        <v>0</v>
      </c>
      <c r="H68" s="58">
        <v>0</v>
      </c>
      <c r="I68" s="59">
        <v>0</v>
      </c>
      <c r="J68" s="59">
        <f>VLOOKUP(B68,'Jul 26'!B:G,6,FALSE)</f>
        <v>12373</v>
      </c>
      <c r="K68" s="59">
        <f>IF(G68=0,J68-G68,0)</f>
        <v>12373</v>
      </c>
      <c r="L68" s="59" t="s">
        <v>791</v>
      </c>
    </row>
    <row r="69" spans="1:12" ht="16.5" thickTop="1" thickBot="1" x14ac:dyDescent="0.3">
      <c r="A69" s="5" t="s">
        <v>652</v>
      </c>
      <c r="B69" s="6">
        <v>88675</v>
      </c>
      <c r="C69" s="7" t="s">
        <v>21</v>
      </c>
      <c r="D69" s="39">
        <v>46149</v>
      </c>
      <c r="E69" s="39">
        <v>46231</v>
      </c>
      <c r="F69" s="39" t="s">
        <v>353</v>
      </c>
      <c r="G69" s="19">
        <v>51194.18</v>
      </c>
      <c r="H69" s="10">
        <f t="shared" ref="H69:H73" si="10">I69-G69</f>
        <v>0</v>
      </c>
      <c r="I69" s="11">
        <v>51194.18</v>
      </c>
      <c r="J69" s="11">
        <f>VLOOKUP(B69,'Jul 26'!B:G,6,FALSE)</f>
        <v>51194.18</v>
      </c>
      <c r="K69" s="11">
        <v>0</v>
      </c>
      <c r="L69" s="11">
        <f t="shared" si="9"/>
        <v>0</v>
      </c>
    </row>
    <row r="70" spans="1:12" ht="16.5" thickTop="1" thickBot="1" x14ac:dyDescent="0.3">
      <c r="A70" s="5" t="s">
        <v>764</v>
      </c>
      <c r="B70" s="6">
        <v>91743</v>
      </c>
      <c r="C70" s="7" t="s">
        <v>40</v>
      </c>
      <c r="D70" s="39">
        <v>46220</v>
      </c>
      <c r="E70" s="39" t="str">
        <f>VLOOKUP(B70,'[1]Pre Production'!$B:$E,4,FALSE)</f>
        <v>Pre-Production</v>
      </c>
      <c r="F70" s="39" t="s">
        <v>13</v>
      </c>
      <c r="G70" s="9">
        <v>21442.81</v>
      </c>
      <c r="H70" s="10">
        <f t="shared" si="10"/>
        <v>21442.81</v>
      </c>
      <c r="I70" s="11">
        <v>42885.62</v>
      </c>
      <c r="J70" s="11">
        <f>VLOOKUP(B70,'Jul 26'!B:G,6,FALSE)</f>
        <v>21442.81</v>
      </c>
      <c r="K70" s="11">
        <v>0</v>
      </c>
      <c r="L70" s="11">
        <f t="shared" si="9"/>
        <v>0</v>
      </c>
    </row>
    <row r="71" spans="1:12" ht="16.5" thickTop="1" thickBot="1" x14ac:dyDescent="0.3">
      <c r="A71" s="5" t="s">
        <v>678</v>
      </c>
      <c r="B71" s="6">
        <v>90930</v>
      </c>
      <c r="C71" s="7" t="s">
        <v>40</v>
      </c>
      <c r="D71" s="39">
        <v>46163</v>
      </c>
      <c r="E71" s="39" t="str">
        <f>VLOOKUP(B71,'[1]Pre Production'!$B:$E,4,FALSE)</f>
        <v>Pre-Production</v>
      </c>
      <c r="F71" s="39" t="s">
        <v>13</v>
      </c>
      <c r="G71" s="9">
        <v>28888.91</v>
      </c>
      <c r="H71" s="10">
        <f t="shared" si="10"/>
        <v>32567.420000000002</v>
      </c>
      <c r="I71" s="11">
        <v>61456.33</v>
      </c>
      <c r="J71" s="11">
        <f>VLOOKUP(B71,'Jul 26'!B:G,6,FALSE)</f>
        <v>28888.91</v>
      </c>
      <c r="K71" s="11"/>
      <c r="L71" s="11">
        <f t="shared" si="9"/>
        <v>0</v>
      </c>
    </row>
    <row r="72" spans="1:12" ht="16.5" thickTop="1" thickBot="1" x14ac:dyDescent="0.3">
      <c r="A72" s="5" t="s">
        <v>590</v>
      </c>
      <c r="B72" s="6">
        <v>89287</v>
      </c>
      <c r="C72" s="7" t="s">
        <v>62</v>
      </c>
      <c r="D72" s="39">
        <v>46113</v>
      </c>
      <c r="E72" s="39" t="str">
        <f>VLOOKUP(B72,'[1]Pre Production'!$B:$E,4,FALSE)</f>
        <v>Pre-Production</v>
      </c>
      <c r="F72" s="39" t="s">
        <v>13</v>
      </c>
      <c r="G72" s="9">
        <v>89586</v>
      </c>
      <c r="H72" s="10">
        <f t="shared" si="10"/>
        <v>89585</v>
      </c>
      <c r="I72" s="11">
        <v>179171</v>
      </c>
      <c r="J72" s="11">
        <f>VLOOKUP(B72,'Jul 26'!B:G,6,FALSE)</f>
        <v>89586</v>
      </c>
      <c r="K72" s="11">
        <v>0</v>
      </c>
      <c r="L72" s="11">
        <f t="shared" si="9"/>
        <v>0</v>
      </c>
    </row>
    <row r="73" spans="1:12" ht="16.5" thickTop="1" thickBot="1" x14ac:dyDescent="0.3">
      <c r="A73" s="5" t="s">
        <v>719</v>
      </c>
      <c r="B73" s="6">
        <v>89541</v>
      </c>
      <c r="C73" s="7" t="s">
        <v>38</v>
      </c>
      <c r="D73" s="39">
        <v>46185</v>
      </c>
      <c r="E73" s="39" t="str">
        <f>VLOOKUP(B73,'[1]Pre Production'!$B:$E,4,FALSE)</f>
        <v>Pre-Production</v>
      </c>
      <c r="F73" s="39" t="s">
        <v>13</v>
      </c>
      <c r="G73" s="9">
        <v>9278.2800000000007</v>
      </c>
      <c r="H73" s="10">
        <f t="shared" si="10"/>
        <v>7903.7199999999993</v>
      </c>
      <c r="I73" s="11">
        <v>17182</v>
      </c>
      <c r="J73" s="11">
        <f>VLOOKUP(B73,'Jul 26'!B:G,6,FALSE)</f>
        <v>9278.2800000000007</v>
      </c>
      <c r="K73" s="11">
        <v>0</v>
      </c>
      <c r="L73" s="11">
        <f t="shared" si="9"/>
        <v>0</v>
      </c>
    </row>
    <row r="74" spans="1:12" ht="16.5" thickTop="1" thickBot="1" x14ac:dyDescent="0.3">
      <c r="A74" s="5" t="s">
        <v>592</v>
      </c>
      <c r="B74" s="81">
        <v>87359</v>
      </c>
      <c r="C74" s="82" t="s">
        <v>612</v>
      </c>
      <c r="D74" s="49">
        <v>46125</v>
      </c>
      <c r="E74" s="49">
        <f>VLOOKUP(B74,[1]Production!$B:$E,4,FALSE)</f>
        <v>46216</v>
      </c>
      <c r="F74" s="49">
        <v>46252</v>
      </c>
      <c r="G74" s="45">
        <v>0</v>
      </c>
      <c r="H74" s="58">
        <v>0</v>
      </c>
      <c r="I74" s="59">
        <v>0</v>
      </c>
      <c r="J74" s="59">
        <f>VLOOKUP(B74,'Jul 26'!B:G,6,FALSE)</f>
        <v>29106</v>
      </c>
      <c r="K74" s="59">
        <f>IF(G74=0,J74-G74,0)</f>
        <v>29106</v>
      </c>
      <c r="L74" s="59" t="s">
        <v>791</v>
      </c>
    </row>
    <row r="75" spans="1:12" ht="16.5" thickTop="1" thickBot="1" x14ac:dyDescent="0.3">
      <c r="A75" s="12" t="s">
        <v>593</v>
      </c>
      <c r="B75" s="13">
        <v>89412</v>
      </c>
      <c r="C75" s="14" t="s">
        <v>23</v>
      </c>
      <c r="D75" s="40">
        <v>46126</v>
      </c>
      <c r="E75" s="39">
        <f>VLOOKUP(B75,[1]Production!$B:$E,4,FALSE)</f>
        <v>46191</v>
      </c>
      <c r="F75" s="39" t="str">
        <f>VLOOKUP(B75,[1]Production!$B:$F,5,FALSE)</f>
        <v>Coating</v>
      </c>
      <c r="G75" s="16">
        <v>20897</v>
      </c>
      <c r="H75" s="17">
        <f>I75-G75</f>
        <v>9706</v>
      </c>
      <c r="I75" s="18">
        <v>30603</v>
      </c>
      <c r="J75" s="18">
        <f>VLOOKUP(B75,'Jul 26'!B:G,6,FALSE)</f>
        <v>20897</v>
      </c>
      <c r="K75" s="18">
        <v>0</v>
      </c>
      <c r="L75" s="18">
        <f>G75-J75</f>
        <v>0</v>
      </c>
    </row>
    <row r="76" spans="1:12" ht="16.5" thickTop="1" thickBot="1" x14ac:dyDescent="0.3">
      <c r="A76" s="12" t="s">
        <v>594</v>
      </c>
      <c r="B76" s="13">
        <v>89867</v>
      </c>
      <c r="C76" s="14" t="s">
        <v>23</v>
      </c>
      <c r="D76" s="40">
        <v>46126</v>
      </c>
      <c r="E76" s="39">
        <f>VLOOKUP(B76,[1]Production!$B:$E,4,FALSE)</f>
        <v>46192</v>
      </c>
      <c r="F76" s="39" t="str">
        <f>VLOOKUP(B76,[1]Production!$B:$F,5,FALSE)</f>
        <v>Coating</v>
      </c>
      <c r="G76" s="16">
        <v>14271.62</v>
      </c>
      <c r="H76" s="17">
        <f>I76-G76</f>
        <v>7648.6299999999992</v>
      </c>
      <c r="I76" s="18">
        <v>21920.25</v>
      </c>
      <c r="J76" s="18">
        <f>VLOOKUP(B76,'Jul 26'!B:G,6,FALSE)</f>
        <v>14271.62</v>
      </c>
      <c r="K76" s="18">
        <v>0</v>
      </c>
      <c r="L76" s="18">
        <f>G76-J76</f>
        <v>0</v>
      </c>
    </row>
    <row r="77" spans="1:12" ht="16.5" thickTop="1" thickBot="1" x14ac:dyDescent="0.3">
      <c r="A77" s="5" t="s">
        <v>686</v>
      </c>
      <c r="B77" s="6">
        <v>87391</v>
      </c>
      <c r="C77" s="7" t="s">
        <v>19</v>
      </c>
      <c r="D77" s="39">
        <v>46168</v>
      </c>
      <c r="E77" s="39" t="str">
        <f>VLOOKUP(B77,'[1]Pre Production'!$B:$E,4,FALSE)</f>
        <v>Pre-Production</v>
      </c>
      <c r="F77" s="39" t="s">
        <v>13</v>
      </c>
      <c r="G77" s="9">
        <v>60000</v>
      </c>
      <c r="H77" s="10">
        <f t="shared" ref="H77:H78" si="11">I77-G77</f>
        <v>42519</v>
      </c>
      <c r="I77" s="11">
        <v>102519</v>
      </c>
      <c r="J77" s="11">
        <f>VLOOKUP(B77,'Jul 26'!B:G,6,FALSE)</f>
        <v>60000</v>
      </c>
      <c r="K77" s="11"/>
      <c r="L77" s="11">
        <f>G77-J77</f>
        <v>0</v>
      </c>
    </row>
    <row r="78" spans="1:12" ht="16.5" thickTop="1" thickBot="1" x14ac:dyDescent="0.3">
      <c r="A78" s="5" t="s">
        <v>103</v>
      </c>
      <c r="B78" s="6">
        <v>84210</v>
      </c>
      <c r="C78" s="7" t="s">
        <v>44</v>
      </c>
      <c r="D78" s="39">
        <v>45876</v>
      </c>
      <c r="E78" s="39">
        <f>VLOOKUP(B78,[1]Production!$B:$E,4,FALSE)</f>
        <v>46164</v>
      </c>
      <c r="F78" s="39" t="str">
        <f>VLOOKUP(B78,[1]Production!$B:$F,5,FALSE)</f>
        <v>Coating</v>
      </c>
      <c r="G78" s="9">
        <v>31567</v>
      </c>
      <c r="H78" s="10">
        <f t="shared" si="11"/>
        <v>46437</v>
      </c>
      <c r="I78" s="11">
        <v>78004</v>
      </c>
      <c r="J78" s="11">
        <f>VLOOKUP(B78,'Jul 26'!B:G,6,FALSE)</f>
        <v>31567</v>
      </c>
      <c r="K78" s="11">
        <v>0</v>
      </c>
      <c r="L78" s="11">
        <f>G78-J78</f>
        <v>0</v>
      </c>
    </row>
    <row r="79" spans="1:12" ht="16.5" thickTop="1" thickBot="1" x14ac:dyDescent="0.3">
      <c r="A79" s="5" t="s">
        <v>626</v>
      </c>
      <c r="B79" s="81">
        <v>88155</v>
      </c>
      <c r="C79" s="82" t="s">
        <v>23</v>
      </c>
      <c r="D79" s="49">
        <v>46135</v>
      </c>
      <c r="E79" s="39">
        <f>VLOOKUP(B79,[1]Production!$B:$E,4,FALSE)</f>
        <v>46163</v>
      </c>
      <c r="F79" s="49">
        <v>46243</v>
      </c>
      <c r="G79" s="45">
        <v>0</v>
      </c>
      <c r="H79" s="58">
        <v>0</v>
      </c>
      <c r="I79" s="59">
        <v>0</v>
      </c>
      <c r="J79" s="59">
        <f>VLOOKUP(B79,'Jul 26'!B:G,6,FALSE)</f>
        <v>26625</v>
      </c>
      <c r="K79" s="59">
        <f>IF(G79=0,J79-G79,0)</f>
        <v>26625</v>
      </c>
      <c r="L79" s="59" t="s">
        <v>791</v>
      </c>
    </row>
    <row r="80" spans="1:12" ht="16.5" thickTop="1" thickBot="1" x14ac:dyDescent="0.3">
      <c r="A80" s="5" t="s">
        <v>203</v>
      </c>
      <c r="B80" s="6">
        <v>87488</v>
      </c>
      <c r="C80" s="7" t="s">
        <v>14</v>
      </c>
      <c r="D80" s="39">
        <v>46007</v>
      </c>
      <c r="E80" s="39">
        <f>VLOOKUP(B80,[1]Production!$B:$E,4,FALSE)</f>
        <v>46195</v>
      </c>
      <c r="F80" s="39" t="str">
        <f>VLOOKUP(B80,[1]Production!$B:$F,5,FALSE)</f>
        <v>Assembly</v>
      </c>
      <c r="G80" s="9">
        <v>17613</v>
      </c>
      <c r="H80" s="10">
        <f t="shared" ref="H80:H81" si="12">I80-G80</f>
        <v>17612</v>
      </c>
      <c r="I80" s="11">
        <v>35225</v>
      </c>
      <c r="J80" s="11">
        <f>VLOOKUP(B80,'Jul 26'!B:G,6,FALSE)</f>
        <v>17613</v>
      </c>
      <c r="K80" s="11">
        <v>0</v>
      </c>
      <c r="L80" s="11">
        <f>G80-J80</f>
        <v>0</v>
      </c>
    </row>
    <row r="81" spans="1:12" ht="16.5" thickTop="1" thickBot="1" x14ac:dyDescent="0.3">
      <c r="A81" s="5" t="s">
        <v>510</v>
      </c>
      <c r="B81" s="6">
        <v>89316</v>
      </c>
      <c r="C81" s="7" t="s">
        <v>511</v>
      </c>
      <c r="D81" s="39">
        <v>46100</v>
      </c>
      <c r="E81" s="39">
        <f>VLOOKUP(B81,[1]Production!$B:$E,4,FALSE)</f>
        <v>46174</v>
      </c>
      <c r="F81" s="39" t="str">
        <f>VLOOKUP(B81,[1]Production!$B:$F,5,FALSE)</f>
        <v>CNC</v>
      </c>
      <c r="G81" s="9">
        <v>56063</v>
      </c>
      <c r="H81" s="10">
        <f t="shared" si="12"/>
        <v>56063</v>
      </c>
      <c r="I81" s="11">
        <v>112126</v>
      </c>
      <c r="J81" s="11">
        <f>VLOOKUP(B81,'Jul 26'!B:G,6,FALSE)</f>
        <v>56063</v>
      </c>
      <c r="K81" s="11">
        <v>0</v>
      </c>
      <c r="L81" s="11">
        <f>G81-J81</f>
        <v>0</v>
      </c>
    </row>
    <row r="82" spans="1:12" ht="16.5" thickTop="1" thickBot="1" x14ac:dyDescent="0.3">
      <c r="A82" s="5" t="s">
        <v>673</v>
      </c>
      <c r="B82" s="6">
        <v>90536</v>
      </c>
      <c r="C82" s="7" t="s">
        <v>23</v>
      </c>
      <c r="D82" s="39">
        <v>46160</v>
      </c>
      <c r="E82" s="39">
        <f>VLOOKUP(B82,[1]Production!$B:$E,4,FALSE)</f>
        <v>46211</v>
      </c>
      <c r="F82" s="49">
        <v>46248</v>
      </c>
      <c r="G82" s="45">
        <v>0</v>
      </c>
      <c r="H82" s="58">
        <v>0</v>
      </c>
      <c r="I82" s="59">
        <v>0</v>
      </c>
      <c r="J82" s="59">
        <f>VLOOKUP(B82,'Jul 26'!B:G,6,FALSE)</f>
        <v>9055.57</v>
      </c>
      <c r="K82" s="59">
        <f>J82-G82</f>
        <v>9055.57</v>
      </c>
      <c r="L82" s="59" t="s">
        <v>791</v>
      </c>
    </row>
    <row r="83" spans="1:12" ht="16.5" thickTop="1" thickBot="1" x14ac:dyDescent="0.3">
      <c r="A83" s="5" t="s">
        <v>724</v>
      </c>
      <c r="B83" s="81">
        <v>90305</v>
      </c>
      <c r="C83" s="82" t="s">
        <v>23</v>
      </c>
      <c r="D83" s="49">
        <v>46188</v>
      </c>
      <c r="E83" s="49">
        <f>VLOOKUP(B83,[1]Production!$B:$E,4,FALSE)</f>
        <v>46224</v>
      </c>
      <c r="F83" s="49">
        <v>46265</v>
      </c>
      <c r="G83" s="45">
        <v>0</v>
      </c>
      <c r="H83" s="58">
        <v>0</v>
      </c>
      <c r="I83" s="59">
        <v>0</v>
      </c>
      <c r="J83" s="59">
        <f>VLOOKUP(B83,'Jul 26'!B:G,6,FALSE)</f>
        <v>6823.18</v>
      </c>
      <c r="K83" s="59">
        <f>IF(G83=0,J83-G83,0)</f>
        <v>6823.18</v>
      </c>
      <c r="L83" s="59" t="s">
        <v>791</v>
      </c>
    </row>
    <row r="84" spans="1:12" ht="16.5" thickTop="1" thickBot="1" x14ac:dyDescent="0.3">
      <c r="A84" s="5" t="s">
        <v>723</v>
      </c>
      <c r="B84" s="6">
        <v>86579</v>
      </c>
      <c r="C84" s="7" t="s">
        <v>23</v>
      </c>
      <c r="D84" s="39">
        <v>46188</v>
      </c>
      <c r="E84" s="39" t="str">
        <f>VLOOKUP(B84,'[1]Pre Production'!$B:$E,4,FALSE)</f>
        <v>Pre-Production</v>
      </c>
      <c r="F84" s="39" t="s">
        <v>13</v>
      </c>
      <c r="G84" s="9">
        <v>69123</v>
      </c>
      <c r="H84" s="10">
        <f t="shared" ref="H84:H85" si="13">I84-G84</f>
        <v>66195</v>
      </c>
      <c r="I84" s="11">
        <v>135318</v>
      </c>
      <c r="J84" s="11">
        <f>VLOOKUP(B84,'Jul 26'!B:G,6,FALSE)</f>
        <v>69123</v>
      </c>
      <c r="K84" s="11">
        <v>0</v>
      </c>
      <c r="L84" s="11">
        <f>G84-J84</f>
        <v>0</v>
      </c>
    </row>
    <row r="85" spans="1:12" ht="16.5" thickTop="1" thickBot="1" x14ac:dyDescent="0.3">
      <c r="A85" s="5" t="s">
        <v>627</v>
      </c>
      <c r="B85" s="6">
        <v>89168</v>
      </c>
      <c r="C85" s="7" t="s">
        <v>23</v>
      </c>
      <c r="D85" s="39">
        <v>46136</v>
      </c>
      <c r="E85" s="39" t="str">
        <f>VLOOKUP(B85,'[1]Pre Production'!$B:$E,4,FALSE)</f>
        <v>Pre-Production</v>
      </c>
      <c r="F85" s="39" t="s">
        <v>13</v>
      </c>
      <c r="G85" s="9">
        <v>30691</v>
      </c>
      <c r="H85" s="10">
        <f t="shared" si="13"/>
        <v>30691</v>
      </c>
      <c r="I85" s="11">
        <v>61382</v>
      </c>
      <c r="J85" s="11">
        <f>VLOOKUP(B85,'Jul 26'!B:G,6,FALSE)</f>
        <v>30691</v>
      </c>
      <c r="K85" s="11">
        <f>IF(G85=0,J85-G85,0)</f>
        <v>0</v>
      </c>
      <c r="L85" s="11">
        <f>G85-J85</f>
        <v>0</v>
      </c>
    </row>
    <row r="86" spans="1:12" ht="16.5" thickTop="1" thickBot="1" x14ac:dyDescent="0.3">
      <c r="A86" s="5" t="s">
        <v>717</v>
      </c>
      <c r="B86" s="81">
        <v>90956</v>
      </c>
      <c r="C86" s="82" t="s">
        <v>21</v>
      </c>
      <c r="D86" s="49">
        <v>46182</v>
      </c>
      <c r="E86" s="49">
        <f>VLOOKUP(B86,[1]Production!$B:$E,4,FALSE)</f>
        <v>46216</v>
      </c>
      <c r="F86" s="49">
        <v>46252</v>
      </c>
      <c r="G86" s="45">
        <v>0</v>
      </c>
      <c r="H86" s="58">
        <v>0</v>
      </c>
      <c r="I86" s="59">
        <v>0</v>
      </c>
      <c r="J86" s="59">
        <f>VLOOKUP(B86,'Jul 26'!B:G,6,FALSE)</f>
        <v>5694.98</v>
      </c>
      <c r="K86" s="59">
        <f>IF(G86=0,J86-G86,0)</f>
        <v>5694.98</v>
      </c>
      <c r="L86" s="59" t="s">
        <v>791</v>
      </c>
    </row>
    <row r="87" spans="1:12" ht="16.5" thickTop="1" thickBot="1" x14ac:dyDescent="0.3">
      <c r="A87" s="5" t="s">
        <v>675</v>
      </c>
      <c r="B87" s="81">
        <v>90809</v>
      </c>
      <c r="C87" s="82" t="s">
        <v>21</v>
      </c>
      <c r="D87" s="49">
        <v>46162</v>
      </c>
      <c r="E87" s="49">
        <f>VLOOKUP(B87,[1]Production!$B:$E,4,FALSE)</f>
        <v>46210</v>
      </c>
      <c r="F87" s="49">
        <v>46259</v>
      </c>
      <c r="G87" s="45">
        <v>0</v>
      </c>
      <c r="H87" s="58">
        <v>0</v>
      </c>
      <c r="I87" s="59">
        <v>0</v>
      </c>
      <c r="J87" s="59">
        <f>VLOOKUP(B87,'Jul 26'!B:G,6,FALSE)</f>
        <v>44300</v>
      </c>
      <c r="K87" s="59">
        <f>IF(G87=0,J87-G87,0)</f>
        <v>44300</v>
      </c>
      <c r="L87" s="59" t="s">
        <v>791</v>
      </c>
    </row>
    <row r="88" spans="1:12" ht="16.5" thickTop="1" thickBot="1" x14ac:dyDescent="0.3">
      <c r="A88" s="5" t="s">
        <v>690</v>
      </c>
      <c r="B88" s="6">
        <v>90987</v>
      </c>
      <c r="C88" s="7" t="s">
        <v>21</v>
      </c>
      <c r="D88" s="39">
        <v>46170</v>
      </c>
      <c r="E88" s="39">
        <f>VLOOKUP(B88,[1]Production!$B:$E,4,FALSE)</f>
        <v>46210</v>
      </c>
      <c r="F88" s="49">
        <v>46248</v>
      </c>
      <c r="G88" s="45">
        <v>0</v>
      </c>
      <c r="H88" s="58">
        <v>0</v>
      </c>
      <c r="I88" s="59">
        <v>0</v>
      </c>
      <c r="J88" s="59">
        <f>VLOOKUP(B88,'Jul 26'!B:G,6,FALSE)</f>
        <v>28000</v>
      </c>
      <c r="K88" s="59">
        <f>J88-G88</f>
        <v>28000</v>
      </c>
      <c r="L88" s="59" t="s">
        <v>791</v>
      </c>
    </row>
    <row r="89" spans="1:12" ht="16.5" thickTop="1" thickBot="1" x14ac:dyDescent="0.3">
      <c r="A89" s="5" t="s">
        <v>771</v>
      </c>
      <c r="B89" s="6">
        <v>91192</v>
      </c>
      <c r="C89" s="7" t="s">
        <v>775</v>
      </c>
      <c r="D89" s="39">
        <v>46226</v>
      </c>
      <c r="E89" s="39" t="str">
        <f>VLOOKUP(B89,'[1]Pre Production'!$B:$E,4,FALSE)</f>
        <v>Pre-Production</v>
      </c>
      <c r="F89" s="39" t="s">
        <v>13</v>
      </c>
      <c r="G89" s="9">
        <v>36332.46</v>
      </c>
      <c r="H89" s="10">
        <f t="shared" ref="H89:H99" si="14">I89-G89</f>
        <v>36332.46</v>
      </c>
      <c r="I89" s="11">
        <v>72664.92</v>
      </c>
      <c r="J89" s="11">
        <f>VLOOKUP(B89,'Jul 26'!B:G,6,FALSE)</f>
        <v>36332.46</v>
      </c>
      <c r="K89" s="11">
        <v>0</v>
      </c>
      <c r="L89" s="11">
        <f t="shared" ref="L89:L99" si="15">G89-J89</f>
        <v>0</v>
      </c>
    </row>
    <row r="90" spans="1:12" ht="16.5" thickTop="1" thickBot="1" x14ac:dyDescent="0.3">
      <c r="A90" s="5" t="s">
        <v>595</v>
      </c>
      <c r="B90" s="6">
        <v>89722</v>
      </c>
      <c r="C90" s="7" t="s">
        <v>39</v>
      </c>
      <c r="D90" s="39">
        <v>46120</v>
      </c>
      <c r="E90" s="39" t="str">
        <f>VLOOKUP(B90,'[1]Pre Production'!$B:$E,4,FALSE)</f>
        <v>Pre-Production</v>
      </c>
      <c r="F90" s="39" t="s">
        <v>13</v>
      </c>
      <c r="G90" s="9">
        <v>3826</v>
      </c>
      <c r="H90" s="10">
        <f t="shared" si="14"/>
        <v>3826.5600000000004</v>
      </c>
      <c r="I90" s="11">
        <v>7652.56</v>
      </c>
      <c r="J90" s="11">
        <f>VLOOKUP(B90,'Jul 26'!B:G,6,FALSE)</f>
        <v>3826</v>
      </c>
      <c r="K90" s="11">
        <v>0</v>
      </c>
      <c r="L90" s="11">
        <f t="shared" si="15"/>
        <v>0</v>
      </c>
    </row>
    <row r="91" spans="1:12" ht="16.5" thickTop="1" thickBot="1" x14ac:dyDescent="0.3">
      <c r="A91" s="5" t="s">
        <v>596</v>
      </c>
      <c r="B91" s="6">
        <v>86092</v>
      </c>
      <c r="C91" s="7" t="s">
        <v>23</v>
      </c>
      <c r="D91" s="39">
        <v>46120</v>
      </c>
      <c r="E91" s="39" t="str">
        <f>VLOOKUP(B91,'[1]Pre Production'!$B:$E,4,FALSE)</f>
        <v>Pre-Production</v>
      </c>
      <c r="F91" s="39" t="s">
        <v>13</v>
      </c>
      <c r="G91" s="9">
        <v>9201</v>
      </c>
      <c r="H91" s="10">
        <f t="shared" si="14"/>
        <v>9201.52</v>
      </c>
      <c r="I91" s="11">
        <v>18402.52</v>
      </c>
      <c r="J91" s="11">
        <f>VLOOKUP(B91,'Jul 26'!B:G,6,FALSE)</f>
        <v>9201</v>
      </c>
      <c r="K91" s="11">
        <v>0</v>
      </c>
      <c r="L91" s="11">
        <f t="shared" si="15"/>
        <v>0</v>
      </c>
    </row>
    <row r="92" spans="1:12" ht="16.5" thickTop="1" thickBot="1" x14ac:dyDescent="0.3">
      <c r="A92" s="5" t="s">
        <v>732</v>
      </c>
      <c r="B92" s="6">
        <v>91288</v>
      </c>
      <c r="C92" s="7" t="s">
        <v>23</v>
      </c>
      <c r="D92" s="39">
        <v>46198</v>
      </c>
      <c r="E92" s="39">
        <f>VLOOKUP(B92,[1]Production!$B:$E,4,FALSE)</f>
        <v>46230</v>
      </c>
      <c r="F92" s="39" t="str">
        <f>VLOOKUP(B92,[1]Production!$B:$F,5,FALSE)</f>
        <v>Pull Material</v>
      </c>
      <c r="G92" s="9">
        <v>12700</v>
      </c>
      <c r="H92" s="10">
        <f t="shared" si="14"/>
        <v>12909.3</v>
      </c>
      <c r="I92" s="11">
        <v>25609.3</v>
      </c>
      <c r="J92" s="11">
        <f>VLOOKUP(B92,'Jul 26'!B:G,6,FALSE)</f>
        <v>12700</v>
      </c>
      <c r="K92" s="11">
        <v>0</v>
      </c>
      <c r="L92" s="11">
        <f t="shared" si="15"/>
        <v>0</v>
      </c>
    </row>
    <row r="93" spans="1:12" ht="16.5" thickTop="1" thickBot="1" x14ac:dyDescent="0.3">
      <c r="A93" s="5" t="s">
        <v>722</v>
      </c>
      <c r="B93" s="6">
        <v>88266</v>
      </c>
      <c r="C93" s="7" t="s">
        <v>31</v>
      </c>
      <c r="D93" s="39">
        <v>46188</v>
      </c>
      <c r="E93" s="39" t="str">
        <f>VLOOKUP(B93,'[1]Pre Production'!$B:$E,4,FALSE)</f>
        <v>Pre-Production</v>
      </c>
      <c r="F93" s="39" t="s">
        <v>13</v>
      </c>
      <c r="G93" s="9">
        <v>40071</v>
      </c>
      <c r="H93" s="10">
        <f t="shared" si="14"/>
        <v>40071</v>
      </c>
      <c r="I93" s="11">
        <v>80142</v>
      </c>
      <c r="J93" s="11">
        <f>VLOOKUP(B93,'Jul 26'!B:G,6,FALSE)</f>
        <v>40071</v>
      </c>
      <c r="K93" s="11">
        <v>0</v>
      </c>
      <c r="L93" s="11">
        <f t="shared" si="15"/>
        <v>0</v>
      </c>
    </row>
    <row r="94" spans="1:12" ht="16.5" thickTop="1" thickBot="1" x14ac:dyDescent="0.3">
      <c r="A94" s="5" t="s">
        <v>93</v>
      </c>
      <c r="B94" s="6">
        <v>78503</v>
      </c>
      <c r="C94" s="7" t="s">
        <v>28</v>
      </c>
      <c r="D94" s="39">
        <v>45825</v>
      </c>
      <c r="E94" s="39" t="str">
        <f>VLOOKUP(B94,'[1]Pre Production'!$B:$E,4,FALSE)</f>
        <v>Pre-Production</v>
      </c>
      <c r="F94" s="39" t="s">
        <v>13</v>
      </c>
      <c r="G94" s="9">
        <v>15815</v>
      </c>
      <c r="H94" s="10">
        <f t="shared" si="14"/>
        <v>15814</v>
      </c>
      <c r="I94" s="11">
        <v>31629</v>
      </c>
      <c r="J94" s="11">
        <f>VLOOKUP(B94,'Jul 26'!B:G,6,FALSE)</f>
        <v>15815</v>
      </c>
      <c r="K94" s="11">
        <v>0</v>
      </c>
      <c r="L94" s="11">
        <f t="shared" si="15"/>
        <v>0</v>
      </c>
    </row>
    <row r="95" spans="1:12" ht="16.5" thickTop="1" thickBot="1" x14ac:dyDescent="0.3">
      <c r="A95" s="5" t="s">
        <v>747</v>
      </c>
      <c r="B95" s="6">
        <v>90719</v>
      </c>
      <c r="C95" s="7" t="s">
        <v>62</v>
      </c>
      <c r="D95" s="39">
        <v>46206</v>
      </c>
      <c r="E95" s="39" t="str">
        <f>VLOOKUP(B95,'[1]Pre Production'!$B:$E,4,FALSE)</f>
        <v>Pre-Production</v>
      </c>
      <c r="F95" s="39" t="s">
        <v>13</v>
      </c>
      <c r="G95" s="9">
        <v>7000</v>
      </c>
      <c r="H95" s="10">
        <f t="shared" si="14"/>
        <v>6841.93</v>
      </c>
      <c r="I95" s="11">
        <v>13841.93</v>
      </c>
      <c r="J95" s="11">
        <f>VLOOKUP(B95,'Jul 26'!B:G,6,FALSE)</f>
        <v>7000</v>
      </c>
      <c r="K95" s="11">
        <v>0</v>
      </c>
      <c r="L95" s="11">
        <f t="shared" si="15"/>
        <v>0</v>
      </c>
    </row>
    <row r="96" spans="1:12" ht="16.5" thickTop="1" thickBot="1" x14ac:dyDescent="0.3">
      <c r="A96" s="5" t="s">
        <v>653</v>
      </c>
      <c r="B96" s="6">
        <v>90032</v>
      </c>
      <c r="C96" s="7" t="s">
        <v>655</v>
      </c>
      <c r="D96" s="39">
        <v>46150</v>
      </c>
      <c r="E96" s="39" t="str">
        <f>VLOOKUP(B96,'[1]Pre Production'!$B:$E,4,FALSE)</f>
        <v>Pre-Production</v>
      </c>
      <c r="F96" s="39" t="s">
        <v>13</v>
      </c>
      <c r="G96" s="9">
        <v>9955</v>
      </c>
      <c r="H96" s="10">
        <f t="shared" si="14"/>
        <v>11160</v>
      </c>
      <c r="I96" s="11">
        <v>21115</v>
      </c>
      <c r="J96" s="11">
        <f>VLOOKUP(B96,'Jul 26'!B:G,6,FALSE)</f>
        <v>9955</v>
      </c>
      <c r="K96" s="11">
        <v>0</v>
      </c>
      <c r="L96" s="11">
        <f t="shared" si="15"/>
        <v>0</v>
      </c>
    </row>
    <row r="97" spans="1:12" ht="16.5" thickTop="1" thickBot="1" x14ac:dyDescent="0.3">
      <c r="A97" s="5" t="s">
        <v>712</v>
      </c>
      <c r="B97" s="6">
        <v>90364</v>
      </c>
      <c r="C97" s="7" t="s">
        <v>20</v>
      </c>
      <c r="D97" s="39">
        <v>46181</v>
      </c>
      <c r="E97" s="39" t="str">
        <f>VLOOKUP(B97,'[1]Pre Production'!$B:$E,4,FALSE)</f>
        <v>Pre-Production</v>
      </c>
      <c r="F97" s="39" t="s">
        <v>13</v>
      </c>
      <c r="G97" s="9">
        <v>11314.88</v>
      </c>
      <c r="H97" s="10">
        <f t="shared" si="14"/>
        <v>11314.87</v>
      </c>
      <c r="I97" s="11">
        <v>22629.75</v>
      </c>
      <c r="J97" s="11">
        <f>VLOOKUP(B97,'Jul 26'!B:G,6,FALSE)</f>
        <v>11314.88</v>
      </c>
      <c r="K97" s="11">
        <v>0</v>
      </c>
      <c r="L97" s="11">
        <f t="shared" si="15"/>
        <v>0</v>
      </c>
    </row>
    <row r="98" spans="1:12" ht="16.5" thickTop="1" thickBot="1" x14ac:dyDescent="0.3">
      <c r="A98" s="5" t="s">
        <v>740</v>
      </c>
      <c r="B98" s="6">
        <v>88971</v>
      </c>
      <c r="C98" s="7" t="s">
        <v>33</v>
      </c>
      <c r="D98" s="39">
        <v>46202</v>
      </c>
      <c r="E98" s="39" t="str">
        <f>VLOOKUP(B98,'[1]Pre Production'!$B:$E,4,FALSE)</f>
        <v>Pre-Production</v>
      </c>
      <c r="F98" s="39" t="s">
        <v>13</v>
      </c>
      <c r="G98" s="9">
        <f>9297.77+9297.76</f>
        <v>18595.53</v>
      </c>
      <c r="H98" s="10">
        <f t="shared" si="14"/>
        <v>0</v>
      </c>
      <c r="I98" s="11">
        <v>18595.53</v>
      </c>
      <c r="J98" s="11">
        <f>VLOOKUP(B98,'Jul 26'!B:G,6,FALSE)</f>
        <v>9297.77</v>
      </c>
      <c r="K98" s="11">
        <v>0</v>
      </c>
      <c r="L98" s="11">
        <f t="shared" si="15"/>
        <v>9297.7599999999984</v>
      </c>
    </row>
    <row r="99" spans="1:12" ht="16.5" thickTop="1" thickBot="1" x14ac:dyDescent="0.3">
      <c r="A99" s="5" t="s">
        <v>725</v>
      </c>
      <c r="B99" s="6">
        <v>88804</v>
      </c>
      <c r="C99" s="7" t="s">
        <v>23</v>
      </c>
      <c r="D99" s="39">
        <v>46189</v>
      </c>
      <c r="E99" s="39" t="str">
        <f>VLOOKUP(B99,'[1]Pre Production'!$B:$E,4,FALSE)</f>
        <v>Pre-Production</v>
      </c>
      <c r="F99" s="39" t="s">
        <v>13</v>
      </c>
      <c r="G99" s="19">
        <v>19363.689999999999</v>
      </c>
      <c r="H99" s="10">
        <f t="shared" si="14"/>
        <v>0</v>
      </c>
      <c r="I99" s="11">
        <v>19363.689999999999</v>
      </c>
      <c r="J99" s="11">
        <f>VLOOKUP(B99,'Jul 26'!B:G,6,FALSE)</f>
        <v>19363.689999999999</v>
      </c>
      <c r="K99" s="11">
        <v>0</v>
      </c>
      <c r="L99" s="11">
        <f t="shared" si="15"/>
        <v>0</v>
      </c>
    </row>
    <row r="100" spans="1:12" ht="16.5" thickTop="1" thickBot="1" x14ac:dyDescent="0.3">
      <c r="A100" s="5" t="s">
        <v>631</v>
      </c>
      <c r="B100" s="6">
        <v>89293</v>
      </c>
      <c r="C100" s="7" t="s">
        <v>19</v>
      </c>
      <c r="D100" s="39">
        <v>46139</v>
      </c>
      <c r="E100" s="39">
        <f>VLOOKUP(B100,[1]Production!$B:$E,4,FALSE)</f>
        <v>46169</v>
      </c>
      <c r="F100" s="49">
        <v>46248</v>
      </c>
      <c r="G100" s="45">
        <v>0</v>
      </c>
      <c r="H100" s="58">
        <v>0</v>
      </c>
      <c r="I100" s="59">
        <v>0</v>
      </c>
      <c r="J100" s="59">
        <f>VLOOKUP(B100,'Jul 26'!B:G,6,FALSE)</f>
        <v>15723</v>
      </c>
      <c r="K100" s="59">
        <f>J100-G100</f>
        <v>15723</v>
      </c>
      <c r="L100" s="59" t="s">
        <v>791</v>
      </c>
    </row>
    <row r="101" spans="1:12" ht="16.5" thickTop="1" thickBot="1" x14ac:dyDescent="0.3">
      <c r="A101" s="5" t="s">
        <v>779</v>
      </c>
      <c r="B101" s="6">
        <v>90333</v>
      </c>
      <c r="C101" s="7" t="s">
        <v>737</v>
      </c>
      <c r="D101" s="39">
        <v>46230</v>
      </c>
      <c r="E101" s="39" t="str">
        <f>VLOOKUP(B101,'[1]Pre Production'!$B:$E,4,FALSE)</f>
        <v>Pre-Production</v>
      </c>
      <c r="F101" s="39" t="s">
        <v>13</v>
      </c>
      <c r="G101" s="9">
        <v>8649.91</v>
      </c>
      <c r="H101" s="10">
        <f t="shared" ref="H101:H105" si="16">I101-G101</f>
        <v>8649.9000000000015</v>
      </c>
      <c r="I101" s="11">
        <v>17299.810000000001</v>
      </c>
      <c r="J101" s="11">
        <f>VLOOKUP(B101,'Jul 26'!B:G,6,FALSE)</f>
        <v>8649.91</v>
      </c>
      <c r="K101" s="11">
        <v>0</v>
      </c>
      <c r="L101" s="11">
        <f>G101-J101</f>
        <v>0</v>
      </c>
    </row>
    <row r="102" spans="1:12" ht="16.5" thickTop="1" thickBot="1" x14ac:dyDescent="0.3">
      <c r="A102" s="5" t="s">
        <v>716</v>
      </c>
      <c r="B102" s="6">
        <v>91004</v>
      </c>
      <c r="C102" s="7" t="s">
        <v>14</v>
      </c>
      <c r="D102" s="39">
        <v>46182</v>
      </c>
      <c r="E102" s="39" t="str">
        <f>VLOOKUP(B102,'[1]Pre Production'!$B:$E,4,FALSE)</f>
        <v>Pre-Production</v>
      </c>
      <c r="F102" s="39" t="s">
        <v>13</v>
      </c>
      <c r="G102" s="9">
        <v>13225.66</v>
      </c>
      <c r="H102" s="10">
        <f t="shared" si="16"/>
        <v>13225.66</v>
      </c>
      <c r="I102" s="11">
        <v>26451.32</v>
      </c>
      <c r="J102" s="11">
        <f>VLOOKUP(B102,'Jul 26'!B:G,6,FALSE)</f>
        <v>13225.66</v>
      </c>
      <c r="K102" s="11">
        <v>0</v>
      </c>
      <c r="L102" s="11">
        <f>G102-J102</f>
        <v>0</v>
      </c>
    </row>
    <row r="103" spans="1:12" ht="16.5" thickTop="1" thickBot="1" x14ac:dyDescent="0.3">
      <c r="A103" s="5" t="s">
        <v>782</v>
      </c>
      <c r="B103" s="6">
        <v>91495</v>
      </c>
      <c r="C103" s="7" t="s">
        <v>18</v>
      </c>
      <c r="D103" s="39">
        <v>46231</v>
      </c>
      <c r="E103" s="39" t="str">
        <f>VLOOKUP(B103,'[1]Pre Production'!$B:$E,4,FALSE)</f>
        <v>Pre-Production</v>
      </c>
      <c r="F103" s="39" t="s">
        <v>13</v>
      </c>
      <c r="G103" s="9">
        <v>12762.73</v>
      </c>
      <c r="H103" s="10">
        <f t="shared" si="16"/>
        <v>11555.619999999999</v>
      </c>
      <c r="I103" s="11">
        <v>24318.35</v>
      </c>
      <c r="J103" s="11">
        <f>VLOOKUP(B103,'Jul 26'!B:G,6,FALSE)</f>
        <v>12762.73</v>
      </c>
      <c r="K103" s="11">
        <v>0</v>
      </c>
      <c r="L103" s="11">
        <f>G103-J103</f>
        <v>0</v>
      </c>
    </row>
    <row r="104" spans="1:12" ht="16.5" thickTop="1" thickBot="1" x14ac:dyDescent="0.3">
      <c r="A104" s="5" t="s">
        <v>750</v>
      </c>
      <c r="B104" s="6">
        <v>89522</v>
      </c>
      <c r="C104" s="7" t="s">
        <v>14</v>
      </c>
      <c r="D104" s="39">
        <v>46210</v>
      </c>
      <c r="E104" s="39" t="str">
        <f>VLOOKUP(B104,'[1]Pre Production'!$B:$E,4,FALSE)</f>
        <v>Pre-Production</v>
      </c>
      <c r="F104" s="39" t="s">
        <v>13</v>
      </c>
      <c r="G104" s="9">
        <v>8200</v>
      </c>
      <c r="H104" s="10">
        <f t="shared" si="16"/>
        <v>8199</v>
      </c>
      <c r="I104" s="11">
        <v>16399</v>
      </c>
      <c r="J104" s="11">
        <f>VLOOKUP(B104,'Jul 26'!B:G,6,FALSE)</f>
        <v>8200</v>
      </c>
      <c r="K104" s="11">
        <v>0</v>
      </c>
      <c r="L104" s="11">
        <f>G104-J104</f>
        <v>0</v>
      </c>
    </row>
    <row r="105" spans="1:12" ht="16.5" thickTop="1" thickBot="1" x14ac:dyDescent="0.3">
      <c r="A105" s="5" t="s">
        <v>106</v>
      </c>
      <c r="B105" s="6">
        <v>85604</v>
      </c>
      <c r="C105" s="7" t="s">
        <v>17</v>
      </c>
      <c r="D105" s="39">
        <v>45881</v>
      </c>
      <c r="E105" s="39">
        <f>VLOOKUP(B105,[1]Production!$B:$E,4,FALSE)</f>
        <v>46156</v>
      </c>
      <c r="F105" s="39" t="str">
        <f>VLOOKUP(B105,[1]Production!$B:$F,5,FALSE)</f>
        <v>Assembly</v>
      </c>
      <c r="G105" s="19">
        <v>80676.28</v>
      </c>
      <c r="H105" s="10">
        <f t="shared" si="16"/>
        <v>17689.72</v>
      </c>
      <c r="I105" s="11">
        <v>98366</v>
      </c>
      <c r="J105" s="11">
        <f>VLOOKUP(B105,'Jul 26'!B:G,6,FALSE)</f>
        <v>80676.28</v>
      </c>
      <c r="K105" s="11">
        <v>0</v>
      </c>
      <c r="L105" s="11">
        <f>G105-J105</f>
        <v>0</v>
      </c>
    </row>
    <row r="106" spans="1:12" ht="16.5" thickTop="1" thickBot="1" x14ac:dyDescent="0.3">
      <c r="A106" s="5" t="s">
        <v>745</v>
      </c>
      <c r="B106" s="81">
        <v>91262</v>
      </c>
      <c r="C106" s="82" t="s">
        <v>27</v>
      </c>
      <c r="D106" s="49">
        <v>46204</v>
      </c>
      <c r="E106" s="39" t="str">
        <f>VLOOKUP(B106,'[1]Pre Production'!$B:$E,4,FALSE)</f>
        <v>Pre-Production</v>
      </c>
      <c r="F106" s="49">
        <v>46239</v>
      </c>
      <c r="G106" s="45">
        <v>0</v>
      </c>
      <c r="H106" s="58">
        <v>0</v>
      </c>
      <c r="I106" s="59">
        <v>0</v>
      </c>
      <c r="J106" s="59">
        <f>VLOOKUP(B106,'Jul 26'!B:G,6,FALSE)</f>
        <v>1513.42</v>
      </c>
      <c r="K106" s="59">
        <f>J106-G106</f>
        <v>1513.42</v>
      </c>
      <c r="L106" s="59" t="s">
        <v>791</v>
      </c>
    </row>
    <row r="107" spans="1:12" ht="16.5" thickTop="1" thickBot="1" x14ac:dyDescent="0.3">
      <c r="A107" s="5" t="s">
        <v>43</v>
      </c>
      <c r="B107" s="6">
        <v>80858</v>
      </c>
      <c r="C107" s="7" t="s">
        <v>44</v>
      </c>
      <c r="D107" s="39">
        <v>45987</v>
      </c>
      <c r="E107" s="39" t="str">
        <f>VLOOKUP(B107,'[1]Pre Production'!$B:$E,4,FALSE)</f>
        <v>Pre-Production</v>
      </c>
      <c r="F107" s="39" t="s">
        <v>13</v>
      </c>
      <c r="G107" s="9">
        <v>6843</v>
      </c>
      <c r="H107" s="10">
        <f t="shared" ref="H107:H111" si="17">I107-G107</f>
        <v>6843</v>
      </c>
      <c r="I107" s="11">
        <v>13686</v>
      </c>
      <c r="J107" s="11">
        <f>VLOOKUP(B107,'Jul 26'!B:G,6,FALSE)</f>
        <v>6843</v>
      </c>
      <c r="K107" s="11">
        <v>0</v>
      </c>
      <c r="L107" s="11">
        <f>G107-J107</f>
        <v>0</v>
      </c>
    </row>
    <row r="108" spans="1:12" ht="16.5" thickTop="1" thickBot="1" x14ac:dyDescent="0.3">
      <c r="A108" s="5" t="s">
        <v>662</v>
      </c>
      <c r="B108" s="6">
        <v>90183</v>
      </c>
      <c r="C108" s="7" t="s">
        <v>78</v>
      </c>
      <c r="D108" s="39" t="s">
        <v>670</v>
      </c>
      <c r="E108" s="39">
        <f>VLOOKUP(B108,[1]Production!$B:$E,4,FALSE)</f>
        <v>46184</v>
      </c>
      <c r="F108" s="39" t="str">
        <f>VLOOKUP(B108,[1]Production!$B:$F,5,FALSE)</f>
        <v>Coating</v>
      </c>
      <c r="G108" s="9">
        <v>18889</v>
      </c>
      <c r="H108" s="10">
        <f t="shared" si="17"/>
        <v>18889</v>
      </c>
      <c r="I108" s="11">
        <v>37778</v>
      </c>
      <c r="J108" s="11">
        <f>VLOOKUP(B108,'Jul 26'!B:G,6,FALSE)</f>
        <v>18889</v>
      </c>
      <c r="K108" s="11">
        <v>0</v>
      </c>
      <c r="L108" s="11">
        <f>G108-J108</f>
        <v>0</v>
      </c>
    </row>
    <row r="109" spans="1:12" ht="16.5" thickTop="1" thickBot="1" x14ac:dyDescent="0.3">
      <c r="A109" s="5" t="s">
        <v>736</v>
      </c>
      <c r="B109" s="6">
        <v>90746</v>
      </c>
      <c r="C109" s="7" t="s">
        <v>40</v>
      </c>
      <c r="D109" s="39">
        <v>46199</v>
      </c>
      <c r="E109" s="39">
        <f>VLOOKUP(B109,[1]Production!$B:$E,4,FALSE)</f>
        <v>46225</v>
      </c>
      <c r="F109" s="39" t="str">
        <f>VLOOKUP(B109,[1]Production!$B:$F,5,FALSE)</f>
        <v>Cutting</v>
      </c>
      <c r="G109" s="9">
        <v>13469.26</v>
      </c>
      <c r="H109" s="10">
        <f t="shared" si="17"/>
        <v>13557.699999999999</v>
      </c>
      <c r="I109" s="11">
        <v>27026.959999999999</v>
      </c>
      <c r="J109" s="11">
        <f>VLOOKUP(B109,'Jul 26'!B:G,6,FALSE)</f>
        <v>13469.26</v>
      </c>
      <c r="K109" s="11">
        <v>0</v>
      </c>
      <c r="L109" s="11">
        <f>G109-J109</f>
        <v>0</v>
      </c>
    </row>
    <row r="110" spans="1:12" ht="16.5" thickTop="1" thickBot="1" x14ac:dyDescent="0.3">
      <c r="A110" s="5" t="s">
        <v>618</v>
      </c>
      <c r="B110" s="6">
        <v>90089</v>
      </c>
      <c r="C110" s="7" t="s">
        <v>619</v>
      </c>
      <c r="D110" s="39">
        <v>46133</v>
      </c>
      <c r="E110" s="39">
        <f>VLOOKUP(B110,[1]Production!$B:$E,4,FALSE)</f>
        <v>46224</v>
      </c>
      <c r="F110" s="39" t="str">
        <f>VLOOKUP(B110,[1]Production!$B:$F,5,FALSE)</f>
        <v>Cutting</v>
      </c>
      <c r="G110" s="19">
        <v>36368.01</v>
      </c>
      <c r="H110" s="10">
        <f t="shared" si="17"/>
        <v>0</v>
      </c>
      <c r="I110" s="11">
        <v>36368.01</v>
      </c>
      <c r="J110" s="11">
        <f>VLOOKUP(B110,'Jul 26'!B:G,6,FALSE)</f>
        <v>36368.01</v>
      </c>
      <c r="K110" s="11">
        <f>IF(G110=0,J110-G110,0)</f>
        <v>0</v>
      </c>
      <c r="L110" s="11">
        <f>G110-J110</f>
        <v>0</v>
      </c>
    </row>
    <row r="111" spans="1:12" ht="16.5" thickTop="1" thickBot="1" x14ac:dyDescent="0.3">
      <c r="A111" s="5" t="s">
        <v>784</v>
      </c>
      <c r="B111" s="6">
        <v>85687</v>
      </c>
      <c r="C111" s="7" t="s">
        <v>20</v>
      </c>
      <c r="D111" s="39">
        <v>46231</v>
      </c>
      <c r="E111" s="39" t="str">
        <f>VLOOKUP(B111,'[1]Pre Production'!$B:$E,4,FALSE)</f>
        <v>Pre-Production</v>
      </c>
      <c r="F111" s="39" t="s">
        <v>13</v>
      </c>
      <c r="G111" s="9">
        <v>13294</v>
      </c>
      <c r="H111" s="10">
        <f t="shared" si="17"/>
        <v>13293</v>
      </c>
      <c r="I111" s="11">
        <v>26587</v>
      </c>
      <c r="J111" s="11">
        <f>VLOOKUP(B111,'Jul 26'!B:G,6,FALSE)</f>
        <v>13294</v>
      </c>
      <c r="K111" s="11">
        <v>0</v>
      </c>
      <c r="L111" s="11">
        <f>G111-J111</f>
        <v>0</v>
      </c>
    </row>
    <row r="112" spans="1:12" ht="16.5" thickTop="1" thickBot="1" x14ac:dyDescent="0.3">
      <c r="A112" s="5" t="s">
        <v>338</v>
      </c>
      <c r="B112" s="13">
        <v>87824</v>
      </c>
      <c r="C112" s="14" t="s">
        <v>20</v>
      </c>
      <c r="D112" s="40">
        <v>46079</v>
      </c>
      <c r="E112" s="39">
        <f>VLOOKUP(B112,[1]Production!$B:$E,4,FALSE)</f>
        <v>46189</v>
      </c>
      <c r="F112" s="49">
        <v>46248</v>
      </c>
      <c r="G112" s="45">
        <v>0</v>
      </c>
      <c r="H112" s="58">
        <v>0</v>
      </c>
      <c r="I112" s="59">
        <v>0</v>
      </c>
      <c r="J112" s="59">
        <f>VLOOKUP(B112,'Jul 26'!B:G,6,FALSE)</f>
        <v>244375.78</v>
      </c>
      <c r="K112" s="59">
        <f>J112-G112</f>
        <v>244375.78</v>
      </c>
      <c r="L112" s="59" t="s">
        <v>791</v>
      </c>
    </row>
    <row r="113" spans="1:12" ht="16.5" thickTop="1" thickBot="1" x14ac:dyDescent="0.3">
      <c r="A113" s="5" t="s">
        <v>761</v>
      </c>
      <c r="B113" s="6">
        <v>88593</v>
      </c>
      <c r="C113" s="7" t="s">
        <v>33</v>
      </c>
      <c r="D113" s="39">
        <v>46218</v>
      </c>
      <c r="E113" s="39" t="str">
        <f>VLOOKUP(B113,'[1]Pre Production'!$B:$E,4,FALSE)</f>
        <v>Pre-Production</v>
      </c>
      <c r="F113" s="39" t="s">
        <v>13</v>
      </c>
      <c r="G113" s="9">
        <v>70606.89</v>
      </c>
      <c r="H113" s="10">
        <f>I113-G113</f>
        <v>71797.62000000001</v>
      </c>
      <c r="I113" s="11">
        <v>142404.51</v>
      </c>
      <c r="J113" s="11">
        <f>VLOOKUP(B113,'Jul 26'!B:G,6,FALSE)</f>
        <v>70606.89</v>
      </c>
      <c r="K113" s="11">
        <v>0</v>
      </c>
      <c r="L113" s="11">
        <f>G113-J113</f>
        <v>0</v>
      </c>
    </row>
    <row r="114" spans="1:12" ht="16.5" thickTop="1" thickBot="1" x14ac:dyDescent="0.3">
      <c r="A114" s="5" t="s">
        <v>755</v>
      </c>
      <c r="B114" s="6">
        <v>91626</v>
      </c>
      <c r="C114" s="7" t="s">
        <v>765</v>
      </c>
      <c r="D114" s="39">
        <v>46216</v>
      </c>
      <c r="E114" s="39">
        <f>VLOOKUP(B114,[1]Production!$B:$E,4,FALSE)</f>
        <v>46227</v>
      </c>
      <c r="F114" s="49">
        <v>46245</v>
      </c>
      <c r="G114" s="45">
        <v>0</v>
      </c>
      <c r="H114" s="58">
        <v>0</v>
      </c>
      <c r="I114" s="59">
        <v>0</v>
      </c>
      <c r="J114" s="59">
        <f>VLOOKUP(B114,'Jul 26'!B:G,6,FALSE)</f>
        <v>18119.27</v>
      </c>
      <c r="K114" s="59">
        <f>J114-G114</f>
        <v>18119.27</v>
      </c>
      <c r="L114" s="59" t="s">
        <v>791</v>
      </c>
    </row>
    <row r="115" spans="1:12" ht="16.5" thickTop="1" thickBot="1" x14ac:dyDescent="0.3">
      <c r="A115" s="5" t="s">
        <v>741</v>
      </c>
      <c r="B115" s="6">
        <v>89558</v>
      </c>
      <c r="C115" s="7" t="s">
        <v>19</v>
      </c>
      <c r="D115" s="39">
        <v>46203</v>
      </c>
      <c r="E115" s="39" t="str">
        <f>VLOOKUP(B115,'[1]Pre Production'!$B:$E,4,FALSE)</f>
        <v>Pre-Production</v>
      </c>
      <c r="F115" s="39" t="s">
        <v>13</v>
      </c>
      <c r="G115" s="9">
        <v>14801</v>
      </c>
      <c r="H115" s="10">
        <f t="shared" ref="H115:H116" si="18">I115-G115</f>
        <v>14800</v>
      </c>
      <c r="I115" s="11">
        <v>29601</v>
      </c>
      <c r="J115" s="11">
        <f>VLOOKUP(B115,'Jul 26'!B:G,6,FALSE)</f>
        <v>14801</v>
      </c>
      <c r="K115" s="11">
        <v>0</v>
      </c>
      <c r="L115" s="11">
        <f>G115-J115</f>
        <v>0</v>
      </c>
    </row>
    <row r="116" spans="1:12" ht="16.5" thickTop="1" thickBot="1" x14ac:dyDescent="0.3">
      <c r="A116" s="5" t="s">
        <v>645</v>
      </c>
      <c r="B116" s="6">
        <v>86208</v>
      </c>
      <c r="C116" s="7" t="s">
        <v>38</v>
      </c>
      <c r="D116" s="39">
        <v>46143</v>
      </c>
      <c r="E116" s="39" t="str">
        <f>VLOOKUP(B116,'[1]Pre Production'!$B:$E,4,FALSE)</f>
        <v>Pre-Production</v>
      </c>
      <c r="F116" s="39" t="s">
        <v>13</v>
      </c>
      <c r="G116" s="9">
        <v>22287</v>
      </c>
      <c r="H116" s="10">
        <f t="shared" si="18"/>
        <v>22286</v>
      </c>
      <c r="I116" s="11">
        <v>44573</v>
      </c>
      <c r="J116" s="11">
        <f>VLOOKUP(B116,'Jul 26'!B:G,6,FALSE)</f>
        <v>22287</v>
      </c>
      <c r="K116" s="11">
        <v>0</v>
      </c>
      <c r="L116" s="11">
        <f>G116-J116</f>
        <v>0</v>
      </c>
    </row>
    <row r="117" spans="1:12" ht="16.5" thickTop="1" thickBot="1" x14ac:dyDescent="0.3">
      <c r="A117" s="5" t="s">
        <v>705</v>
      </c>
      <c r="B117" s="81">
        <v>89161</v>
      </c>
      <c r="C117" s="82" t="s">
        <v>21</v>
      </c>
      <c r="D117" s="49">
        <v>46177</v>
      </c>
      <c r="E117" s="49">
        <f>VLOOKUP(B117,[1]Production!$B:$E,4,FALSE)</f>
        <v>46231</v>
      </c>
      <c r="F117" s="49">
        <v>46259</v>
      </c>
      <c r="G117" s="45">
        <v>0</v>
      </c>
      <c r="H117" s="58">
        <v>0</v>
      </c>
      <c r="I117" s="59">
        <v>0</v>
      </c>
      <c r="J117" s="59">
        <f>VLOOKUP(B117,'Jul 26'!B:G,6,FALSE)</f>
        <v>30982</v>
      </c>
      <c r="K117" s="59">
        <f>IF(G117=0,J117-G117,0)</f>
        <v>30982</v>
      </c>
      <c r="L117" s="59" t="s">
        <v>791</v>
      </c>
    </row>
    <row r="118" spans="1:12" ht="16.5" thickTop="1" thickBot="1" x14ac:dyDescent="0.3">
      <c r="A118" s="5" t="s">
        <v>600</v>
      </c>
      <c r="B118" s="6">
        <v>89295</v>
      </c>
      <c r="C118" s="7" t="s">
        <v>21</v>
      </c>
      <c r="D118" s="39">
        <v>46127</v>
      </c>
      <c r="E118" s="39" t="str">
        <f>VLOOKUP(B118,'[1]Pre Production'!$B:$E,4,FALSE)</f>
        <v>Pre-Production</v>
      </c>
      <c r="F118" s="39" t="s">
        <v>13</v>
      </c>
      <c r="G118" s="9">
        <v>26512</v>
      </c>
      <c r="H118" s="10">
        <f>I118-G118</f>
        <v>26512</v>
      </c>
      <c r="I118" s="11">
        <v>53024</v>
      </c>
      <c r="J118" s="11">
        <f>VLOOKUP(B118,'Jul 26'!B:G,6,FALSE)</f>
        <v>26512</v>
      </c>
      <c r="K118" s="11">
        <v>0</v>
      </c>
      <c r="L118" s="11">
        <f>G118-J118</f>
        <v>0</v>
      </c>
    </row>
    <row r="119" spans="1:12" ht="16.5" thickTop="1" thickBot="1" x14ac:dyDescent="0.3">
      <c r="A119" s="5" t="s">
        <v>680</v>
      </c>
      <c r="B119" s="81">
        <v>90873</v>
      </c>
      <c r="C119" s="82" t="s">
        <v>11</v>
      </c>
      <c r="D119" s="49">
        <v>46164</v>
      </c>
      <c r="E119" s="49">
        <f>VLOOKUP(B119,[1]Production!$B:$E,4,FALSE)</f>
        <v>46204</v>
      </c>
      <c r="F119" s="49">
        <v>46255</v>
      </c>
      <c r="G119" s="45">
        <v>0</v>
      </c>
      <c r="H119" s="58">
        <v>0</v>
      </c>
      <c r="I119" s="59">
        <v>0</v>
      </c>
      <c r="J119" s="59">
        <f>VLOOKUP(B119,'Jul 26'!B:G,6,FALSE)</f>
        <v>54502.32</v>
      </c>
      <c r="K119" s="59">
        <f>IF(G119=0,J119-G119,0)</f>
        <v>54502.32</v>
      </c>
      <c r="L119" s="59" t="s">
        <v>791</v>
      </c>
    </row>
    <row r="120" spans="1:12" ht="16.5" thickTop="1" thickBot="1" x14ac:dyDescent="0.3">
      <c r="A120" s="5" t="s">
        <v>606</v>
      </c>
      <c r="B120" s="6">
        <v>88850</v>
      </c>
      <c r="C120" s="7" t="s">
        <v>14</v>
      </c>
      <c r="D120" s="39">
        <v>46115</v>
      </c>
      <c r="E120" s="39" t="str">
        <f>VLOOKUP(B120,'[1]Pre Production'!$B:$E,4,FALSE)</f>
        <v>Pre-Production</v>
      </c>
      <c r="F120" s="39" t="s">
        <v>13</v>
      </c>
      <c r="G120" s="9">
        <v>49392</v>
      </c>
      <c r="H120" s="10">
        <f t="shared" ref="H120:H123" si="19">I120-G120</f>
        <v>49391</v>
      </c>
      <c r="I120" s="11">
        <v>98783</v>
      </c>
      <c r="J120" s="11">
        <f>VLOOKUP(B120,'Jul 26'!B:G,6,FALSE)</f>
        <v>49392</v>
      </c>
      <c r="K120" s="11">
        <v>0</v>
      </c>
      <c r="L120" s="11">
        <f>G120-J120</f>
        <v>0</v>
      </c>
    </row>
    <row r="121" spans="1:12" ht="16.5" thickTop="1" thickBot="1" x14ac:dyDescent="0.3">
      <c r="A121" s="5" t="s">
        <v>739</v>
      </c>
      <c r="B121" s="6">
        <v>89066</v>
      </c>
      <c r="C121" s="7" t="s">
        <v>20</v>
      </c>
      <c r="D121" s="39">
        <v>46202</v>
      </c>
      <c r="E121" s="39">
        <f>VLOOKUP(B121,[1]Production!$B:$E,4,FALSE)</f>
        <v>46233</v>
      </c>
      <c r="F121" s="39" t="str">
        <f>VLOOKUP(B121,[1]Production!$B:$F,5,FALSE)</f>
        <v>Pull Material</v>
      </c>
      <c r="G121" s="9">
        <v>13039.91</v>
      </c>
      <c r="H121" s="10">
        <f t="shared" si="19"/>
        <v>13039.900000000001</v>
      </c>
      <c r="I121" s="11">
        <v>26079.81</v>
      </c>
      <c r="J121" s="11">
        <f>VLOOKUP(B121,'Jul 26'!B:G,6,FALSE)</f>
        <v>13039.91</v>
      </c>
      <c r="K121" s="11">
        <v>0</v>
      </c>
      <c r="L121" s="11">
        <f>G121-J121</f>
        <v>0</v>
      </c>
    </row>
    <row r="122" spans="1:12" ht="16.5" thickTop="1" thickBot="1" x14ac:dyDescent="0.3">
      <c r="A122" s="5" t="s">
        <v>625</v>
      </c>
      <c r="B122" s="6">
        <v>85309</v>
      </c>
      <c r="C122" s="7" t="s">
        <v>634</v>
      </c>
      <c r="D122" s="39">
        <v>46135</v>
      </c>
      <c r="E122" s="39">
        <f>VLOOKUP(B122,[1]Production!$B:$E,4,FALSE)</f>
        <v>46189</v>
      </c>
      <c r="F122" s="39" t="str">
        <f>VLOOKUP(B122,[1]Production!$B:$F,5,FALSE)</f>
        <v>Coating</v>
      </c>
      <c r="G122" s="9">
        <v>14942</v>
      </c>
      <c r="H122" s="10">
        <f t="shared" si="19"/>
        <v>14942</v>
      </c>
      <c r="I122" s="11">
        <v>29884</v>
      </c>
      <c r="J122" s="11">
        <f>VLOOKUP(B122,'Jul 26'!B:G,6,FALSE)</f>
        <v>14942</v>
      </c>
      <c r="K122" s="11">
        <f>IF(G122=0,J122-G122,0)</f>
        <v>0</v>
      </c>
      <c r="L122" s="11">
        <f>G122-J122</f>
        <v>0</v>
      </c>
    </row>
    <row r="123" spans="1:12" ht="16.5" thickTop="1" thickBot="1" x14ac:dyDescent="0.3">
      <c r="A123" s="5" t="s">
        <v>727</v>
      </c>
      <c r="B123" s="6">
        <v>87536</v>
      </c>
      <c r="C123" s="7" t="s">
        <v>737</v>
      </c>
      <c r="D123" s="39">
        <v>46190</v>
      </c>
      <c r="E123" s="39" t="str">
        <f>VLOOKUP(B123,'[1]Pre Production'!$B:$E,4,FALSE)</f>
        <v>Pre-Production</v>
      </c>
      <c r="F123" s="39" t="s">
        <v>13</v>
      </c>
      <c r="G123" s="9">
        <v>17907.14</v>
      </c>
      <c r="H123" s="10">
        <f t="shared" si="19"/>
        <v>17907.14</v>
      </c>
      <c r="I123" s="11">
        <v>35814.28</v>
      </c>
      <c r="J123" s="11">
        <f>VLOOKUP(B123,'Jul 26'!B:G,6,FALSE)</f>
        <v>17907.14</v>
      </c>
      <c r="K123" s="11">
        <v>0</v>
      </c>
      <c r="L123" s="11">
        <f>G123-J123</f>
        <v>0</v>
      </c>
    </row>
    <row r="124" spans="1:12" ht="16.5" thickTop="1" thickBot="1" x14ac:dyDescent="0.3">
      <c r="A124" s="5" t="s">
        <v>628</v>
      </c>
      <c r="B124" s="81">
        <v>89429</v>
      </c>
      <c r="C124" s="82" t="s">
        <v>14</v>
      </c>
      <c r="D124" s="49">
        <v>46136</v>
      </c>
      <c r="E124" s="49">
        <f>VLOOKUP(B124,[1]Production!$B:$E,4,FALSE)</f>
        <v>46197</v>
      </c>
      <c r="F124" s="49">
        <v>46251</v>
      </c>
      <c r="G124" s="45">
        <v>0</v>
      </c>
      <c r="H124" s="58">
        <v>0</v>
      </c>
      <c r="I124" s="59">
        <v>0</v>
      </c>
      <c r="J124" s="59">
        <f>VLOOKUP(B124,'Jul 26'!B:G,6,FALSE)</f>
        <v>24032</v>
      </c>
      <c r="K124" s="59">
        <f>IF(G124=0,J124-G124,0)</f>
        <v>24032</v>
      </c>
      <c r="L124" s="59" t="s">
        <v>791</v>
      </c>
    </row>
    <row r="125" spans="1:12" ht="16.5" thickTop="1" thickBot="1" x14ac:dyDescent="0.3">
      <c r="A125" s="5" t="s">
        <v>713</v>
      </c>
      <c r="B125" s="81">
        <v>91226</v>
      </c>
      <c r="C125" s="82" t="s">
        <v>14</v>
      </c>
      <c r="D125" s="49">
        <v>46181</v>
      </c>
      <c r="E125" s="49">
        <f>VLOOKUP(B125,[1]Production!$B:$E,4,FALSE)</f>
        <v>46197</v>
      </c>
      <c r="F125" s="49">
        <v>46251</v>
      </c>
      <c r="G125" s="45">
        <v>0</v>
      </c>
      <c r="H125" s="58">
        <v>0</v>
      </c>
      <c r="I125" s="59">
        <v>0</v>
      </c>
      <c r="J125" s="59">
        <f>VLOOKUP(B125,'Jul 26'!B:G,6,FALSE)</f>
        <v>52161.27</v>
      </c>
      <c r="K125" s="59">
        <f>IF(G125=0,J125-G125,0)</f>
        <v>52161.27</v>
      </c>
      <c r="L125" s="59" t="s">
        <v>791</v>
      </c>
    </row>
    <row r="126" spans="1:12" ht="16.5" thickTop="1" thickBot="1" x14ac:dyDescent="0.3">
      <c r="A126" s="5" t="s">
        <v>702</v>
      </c>
      <c r="B126" s="6">
        <v>90985</v>
      </c>
      <c r="C126" s="7" t="s">
        <v>14</v>
      </c>
      <c r="D126" s="39">
        <v>46177</v>
      </c>
      <c r="E126" s="39" t="str">
        <f>VLOOKUP(B126,'[1]Pre Production'!$B:$E,4,FALSE)</f>
        <v>Pre-Production</v>
      </c>
      <c r="F126" s="39" t="s">
        <v>13</v>
      </c>
      <c r="G126" s="9">
        <v>26358</v>
      </c>
      <c r="H126" s="10">
        <f t="shared" ref="H126:H127" si="20">I126-G126</f>
        <v>27764</v>
      </c>
      <c r="I126" s="11">
        <v>54122</v>
      </c>
      <c r="J126" s="11">
        <f>VLOOKUP(B126,'Jul 26'!B:G,6,FALSE)</f>
        <v>26358</v>
      </c>
      <c r="K126" s="11">
        <v>0</v>
      </c>
      <c r="L126" s="11">
        <f t="shared" ref="L126:L131" si="21">G126-J126</f>
        <v>0</v>
      </c>
    </row>
    <row r="127" spans="1:12" ht="16.5" thickTop="1" thickBot="1" x14ac:dyDescent="0.3">
      <c r="A127" s="5" t="s">
        <v>752</v>
      </c>
      <c r="B127" s="6">
        <v>91029</v>
      </c>
      <c r="C127" s="7" t="s">
        <v>40</v>
      </c>
      <c r="D127" s="39">
        <v>46210</v>
      </c>
      <c r="E127" s="39" t="str">
        <f>VLOOKUP(B127,'[1]Pre Production'!$B:$E,4,FALSE)</f>
        <v>Pre-Production</v>
      </c>
      <c r="F127" s="39" t="s">
        <v>13</v>
      </c>
      <c r="G127" s="9">
        <f>10526.14+2668.92</f>
        <v>13195.06</v>
      </c>
      <c r="H127" s="10">
        <f t="shared" si="20"/>
        <v>13195.050000000001</v>
      </c>
      <c r="I127" s="11">
        <v>26390.11</v>
      </c>
      <c r="J127" s="11">
        <f>VLOOKUP(B127,'Jul 26'!B:G,6,FALSE)</f>
        <v>10526.14</v>
      </c>
      <c r="K127" s="11">
        <v>0</v>
      </c>
      <c r="L127" s="11">
        <f t="shared" si="21"/>
        <v>2668.92</v>
      </c>
    </row>
    <row r="128" spans="1:12" ht="16.5" thickTop="1" thickBot="1" x14ac:dyDescent="0.3">
      <c r="A128" s="5" t="s">
        <v>601</v>
      </c>
      <c r="B128" s="81">
        <v>86011</v>
      </c>
      <c r="C128" s="82" t="s">
        <v>40</v>
      </c>
      <c r="D128" s="49">
        <v>46126</v>
      </c>
      <c r="E128" s="49">
        <v>46212</v>
      </c>
      <c r="F128" s="49">
        <v>46259</v>
      </c>
      <c r="G128" s="45">
        <v>0</v>
      </c>
      <c r="H128" s="58">
        <v>0</v>
      </c>
      <c r="I128" s="59">
        <v>0</v>
      </c>
      <c r="J128" s="59">
        <f>VLOOKUP(B128,'Jul 26'!B:G,6,FALSE)</f>
        <v>9490</v>
      </c>
      <c r="K128" s="59">
        <f>IF(G128=0,J128-G128,0)</f>
        <v>9490</v>
      </c>
      <c r="L128" s="59" t="s">
        <v>791</v>
      </c>
    </row>
    <row r="129" spans="1:12" ht="16.5" thickTop="1" thickBot="1" x14ac:dyDescent="0.3">
      <c r="A129" s="5" t="s">
        <v>735</v>
      </c>
      <c r="B129" s="6">
        <v>89071</v>
      </c>
      <c r="C129" s="7" t="s">
        <v>654</v>
      </c>
      <c r="D129" s="39">
        <v>46199</v>
      </c>
      <c r="E129" s="39" t="str">
        <f>VLOOKUP(B129,'[1]Pre Production'!$B:$E,4,FALSE)</f>
        <v>Pre-Production</v>
      </c>
      <c r="F129" s="39" t="s">
        <v>13</v>
      </c>
      <c r="G129" s="9">
        <v>44750.18</v>
      </c>
      <c r="H129" s="10">
        <f>I129-G129</f>
        <v>44750.18</v>
      </c>
      <c r="I129" s="11">
        <v>89500.36</v>
      </c>
      <c r="J129" s="11">
        <f>VLOOKUP(B129,'Jul 26'!B:G,6,FALSE)</f>
        <v>44750.18</v>
      </c>
      <c r="K129" s="11">
        <v>0</v>
      </c>
      <c r="L129" s="11">
        <f t="shared" si="21"/>
        <v>0</v>
      </c>
    </row>
    <row r="130" spans="1:12" ht="16.5" thickTop="1" thickBot="1" x14ac:dyDescent="0.3">
      <c r="A130" s="5" t="s">
        <v>756</v>
      </c>
      <c r="B130" s="81">
        <v>90447</v>
      </c>
      <c r="C130" s="82" t="s">
        <v>23</v>
      </c>
      <c r="D130" s="49">
        <v>46216</v>
      </c>
      <c r="E130" s="49">
        <f>VLOOKUP(B130,[1]Production!$B:$E,4,FALSE)</f>
        <v>46227</v>
      </c>
      <c r="F130" s="49">
        <v>46265</v>
      </c>
      <c r="G130" s="45">
        <v>0</v>
      </c>
      <c r="H130" s="58">
        <v>0</v>
      </c>
      <c r="I130" s="59">
        <v>0</v>
      </c>
      <c r="J130" s="59">
        <f>VLOOKUP(B130,'Jul 26'!B:G,6,FALSE)</f>
        <v>6165.14</v>
      </c>
      <c r="K130" s="59">
        <f>IF(G130=0,J130-G130,0)</f>
        <v>6165.14</v>
      </c>
      <c r="L130" s="59" t="s">
        <v>791</v>
      </c>
    </row>
    <row r="131" spans="1:12" ht="16.5" thickTop="1" thickBot="1" x14ac:dyDescent="0.3">
      <c r="A131" s="5" t="s">
        <v>758</v>
      </c>
      <c r="B131" s="6">
        <v>91555</v>
      </c>
      <c r="C131" s="7" t="s">
        <v>23</v>
      </c>
      <c r="D131" s="39">
        <v>46217</v>
      </c>
      <c r="E131" s="39">
        <f>VLOOKUP(B131,[1]Production!$B:$E,4,FALSE)</f>
        <v>46225</v>
      </c>
      <c r="F131" s="39" t="str">
        <f>VLOOKUP(B131,[1]Production!$B:$F,5,FALSE)</f>
        <v>Pull Material</v>
      </c>
      <c r="G131" s="9">
        <v>7670.31</v>
      </c>
      <c r="H131" s="10">
        <f>I131-G131</f>
        <v>9285.59</v>
      </c>
      <c r="I131" s="11">
        <v>16955.900000000001</v>
      </c>
      <c r="J131" s="11">
        <f>VLOOKUP(B131,'Jul 26'!B:G,6,FALSE)</f>
        <v>7670.31</v>
      </c>
      <c r="K131" s="11">
        <v>0</v>
      </c>
      <c r="L131" s="11">
        <f t="shared" si="21"/>
        <v>0</v>
      </c>
    </row>
    <row r="132" spans="1:12" ht="16.5" thickTop="1" thickBot="1" x14ac:dyDescent="0.3">
      <c r="A132" s="5" t="s">
        <v>688</v>
      </c>
      <c r="B132" s="6">
        <v>90882</v>
      </c>
      <c r="C132" s="7" t="s">
        <v>23</v>
      </c>
      <c r="D132" s="39">
        <v>46169</v>
      </c>
      <c r="E132" s="39">
        <f>VLOOKUP(B132,[1]Production!$B:$E,4,FALSE)</f>
        <v>46197</v>
      </c>
      <c r="F132" s="49">
        <v>46246</v>
      </c>
      <c r="G132" s="45">
        <v>0</v>
      </c>
      <c r="H132" s="58">
        <v>0</v>
      </c>
      <c r="I132" s="59">
        <v>0</v>
      </c>
      <c r="J132" s="59">
        <f>VLOOKUP(B132,'Jul 26'!B:G,6,FALSE)</f>
        <v>6981.39</v>
      </c>
      <c r="K132" s="59">
        <f>J132-G132</f>
        <v>6981.39</v>
      </c>
      <c r="L132" s="59" t="s">
        <v>791</v>
      </c>
    </row>
    <row r="133" spans="1:12" ht="16.5" thickTop="1" thickBot="1" x14ac:dyDescent="0.3">
      <c r="A133" s="5" t="s">
        <v>734</v>
      </c>
      <c r="B133" s="81">
        <v>89582</v>
      </c>
      <c r="C133" s="82" t="s">
        <v>23</v>
      </c>
      <c r="D133" s="49">
        <v>46199</v>
      </c>
      <c r="E133" s="49">
        <f>VLOOKUP(B133,[1]Production!$B:$E,4,FALSE)</f>
        <v>46216</v>
      </c>
      <c r="F133" s="49">
        <v>46254</v>
      </c>
      <c r="G133" s="45">
        <v>0</v>
      </c>
      <c r="H133" s="58">
        <v>0</v>
      </c>
      <c r="I133" s="59">
        <v>0</v>
      </c>
      <c r="J133" s="59">
        <f>VLOOKUP(B133,'Jul 26'!B:G,6,FALSE)</f>
        <v>17861.14</v>
      </c>
      <c r="K133" s="59">
        <f>IF(G133=0,J133-G133,0)</f>
        <v>17861.14</v>
      </c>
      <c r="L133" s="59" t="s">
        <v>791</v>
      </c>
    </row>
    <row r="134" spans="1:12" ht="16.5" thickTop="1" thickBot="1" x14ac:dyDescent="0.3">
      <c r="A134" s="5" t="s">
        <v>707</v>
      </c>
      <c r="B134" s="6">
        <v>90614</v>
      </c>
      <c r="C134" s="7" t="s">
        <v>21</v>
      </c>
      <c r="D134" s="39">
        <v>46181</v>
      </c>
      <c r="E134" s="39">
        <f>VLOOKUP(B134,[1]Production!$B:$E,4,FALSE)</f>
        <v>46216</v>
      </c>
      <c r="F134" s="39" t="str">
        <f>VLOOKUP(B134,[1]Production!$B:$F,5,FALSE)</f>
        <v>Cutting</v>
      </c>
      <c r="G134" s="9">
        <v>25740.36</v>
      </c>
      <c r="H134" s="10">
        <f t="shared" ref="H134:H137" si="22">I134-G134</f>
        <v>30422.14</v>
      </c>
      <c r="I134" s="11">
        <v>56162.5</v>
      </c>
      <c r="J134" s="11">
        <f>VLOOKUP(B134,'Jul 26'!B:G,6,FALSE)</f>
        <v>25740.36</v>
      </c>
      <c r="K134" s="11">
        <v>0</v>
      </c>
      <c r="L134" s="11">
        <f>G134-J134</f>
        <v>0</v>
      </c>
    </row>
    <row r="135" spans="1:12" ht="16.5" thickTop="1" thickBot="1" x14ac:dyDescent="0.3">
      <c r="A135" s="5" t="s">
        <v>757</v>
      </c>
      <c r="B135" s="6">
        <v>90916</v>
      </c>
      <c r="C135" s="7" t="s">
        <v>14</v>
      </c>
      <c r="D135" s="39">
        <v>46216</v>
      </c>
      <c r="E135" s="39" t="str">
        <f>VLOOKUP(B135,'[1]Pre Production'!$B:$E,4,FALSE)</f>
        <v>Pre-Production</v>
      </c>
      <c r="F135" s="39" t="s">
        <v>13</v>
      </c>
      <c r="G135" s="9">
        <v>17820.54</v>
      </c>
      <c r="H135" s="10">
        <f t="shared" si="22"/>
        <v>21499.54</v>
      </c>
      <c r="I135" s="11">
        <v>39320.080000000002</v>
      </c>
      <c r="J135" s="11">
        <f>VLOOKUP(B135,'Jul 26'!B:G,6,FALSE)</f>
        <v>17820.54</v>
      </c>
      <c r="K135" s="11">
        <v>0</v>
      </c>
      <c r="L135" s="11">
        <f>G135-J135</f>
        <v>0</v>
      </c>
    </row>
    <row r="136" spans="1:12" ht="16.5" thickTop="1" thickBot="1" x14ac:dyDescent="0.3">
      <c r="A136" s="5" t="s">
        <v>672</v>
      </c>
      <c r="B136" s="6">
        <v>90293</v>
      </c>
      <c r="C136" s="7" t="s">
        <v>44</v>
      </c>
      <c r="D136" s="39">
        <v>46160</v>
      </c>
      <c r="E136" s="39" t="str">
        <f>VLOOKUP(B136,'[1]Pre Production'!$B:$E,4,FALSE)</f>
        <v>Pre-Production</v>
      </c>
      <c r="F136" s="39" t="s">
        <v>13</v>
      </c>
      <c r="G136" s="9">
        <v>17650.97</v>
      </c>
      <c r="H136" s="10">
        <f t="shared" si="22"/>
        <v>17650.96</v>
      </c>
      <c r="I136" s="11">
        <v>35301.93</v>
      </c>
      <c r="J136" s="11">
        <f>VLOOKUP(B136,'Jul 26'!B:G,6,FALSE)</f>
        <v>17650.97</v>
      </c>
      <c r="K136" s="11"/>
      <c r="L136" s="11">
        <f>G136-J136</f>
        <v>0</v>
      </c>
    </row>
    <row r="137" spans="1:12" ht="16.5" thickTop="1" thickBot="1" x14ac:dyDescent="0.3">
      <c r="A137" s="5" t="s">
        <v>706</v>
      </c>
      <c r="B137" s="6">
        <v>90085</v>
      </c>
      <c r="C137" s="7" t="s">
        <v>57</v>
      </c>
      <c r="D137" s="39">
        <v>46178</v>
      </c>
      <c r="E137" s="39">
        <f>VLOOKUP(B137,[1]Production!$B:$E,4,FALSE)</f>
        <v>46202</v>
      </c>
      <c r="F137" s="39" t="str">
        <f>VLOOKUP(B137,[1]Production!$B:$F,5,FALSE)</f>
        <v>Assembly</v>
      </c>
      <c r="G137" s="9">
        <v>29088.5</v>
      </c>
      <c r="H137" s="10">
        <f t="shared" si="22"/>
        <v>29088.5</v>
      </c>
      <c r="I137" s="11">
        <v>58177</v>
      </c>
      <c r="J137" s="11">
        <f>VLOOKUP(B137,'Jul 26'!B:G,6,FALSE)</f>
        <v>29088.5</v>
      </c>
      <c r="K137" s="11">
        <v>0</v>
      </c>
      <c r="L137" s="11">
        <f>G137-J137</f>
        <v>0</v>
      </c>
    </row>
    <row r="138" spans="1:12" ht="16.5" thickTop="1" thickBot="1" x14ac:dyDescent="0.3">
      <c r="A138" s="5" t="s">
        <v>700</v>
      </c>
      <c r="B138" s="81">
        <v>89458</v>
      </c>
      <c r="C138" s="82" t="s">
        <v>20</v>
      </c>
      <c r="D138" s="49">
        <v>46175</v>
      </c>
      <c r="E138" s="49">
        <f>VLOOKUP(B138,[1]Production!$B:$E,4,FALSE)</f>
        <v>46216</v>
      </c>
      <c r="F138" s="49">
        <v>46254</v>
      </c>
      <c r="G138" s="45">
        <v>0</v>
      </c>
      <c r="H138" s="58">
        <v>0</v>
      </c>
      <c r="I138" s="59">
        <v>0</v>
      </c>
      <c r="J138" s="59">
        <f>VLOOKUP(B138,'Jul 26'!B:G,6,FALSE)</f>
        <v>1733.61</v>
      </c>
      <c r="K138" s="59">
        <f>IF(G138=0,J138-G138,0)</f>
        <v>1733.61</v>
      </c>
      <c r="L138" s="59" t="s">
        <v>791</v>
      </c>
    </row>
    <row r="139" spans="1:12" ht="16.5" thickTop="1" thickBot="1" x14ac:dyDescent="0.3">
      <c r="A139" s="5" t="s">
        <v>703</v>
      </c>
      <c r="B139" s="81">
        <v>91143</v>
      </c>
      <c r="C139" s="82" t="s">
        <v>21</v>
      </c>
      <c r="D139" s="49">
        <v>46177</v>
      </c>
      <c r="E139" s="39">
        <f>VLOOKUP(B139,[1]Production!$B:$E,4,FALSE)</f>
        <v>46212</v>
      </c>
      <c r="F139" s="49">
        <v>46245</v>
      </c>
      <c r="G139" s="45">
        <v>0</v>
      </c>
      <c r="H139" s="58">
        <v>0</v>
      </c>
      <c r="I139" s="59">
        <v>0</v>
      </c>
      <c r="J139" s="59">
        <f>VLOOKUP(B139,'Jul 26'!B:G,6,FALSE)</f>
        <v>4894.76</v>
      </c>
      <c r="K139" s="59">
        <f>J139-G139</f>
        <v>4894.76</v>
      </c>
      <c r="L139" s="59" t="s">
        <v>791</v>
      </c>
    </row>
    <row r="140" spans="1:12" ht="16.5" thickTop="1" thickBot="1" x14ac:dyDescent="0.3">
      <c r="A140" s="5" t="s">
        <v>500</v>
      </c>
      <c r="B140" s="6">
        <v>88490</v>
      </c>
      <c r="C140" s="7" t="s">
        <v>19</v>
      </c>
      <c r="D140" s="39">
        <v>46099</v>
      </c>
      <c r="E140" s="39">
        <f>VLOOKUP(B140,[1]Production!$B:$E,4,FALSE)</f>
        <v>46169</v>
      </c>
      <c r="F140" s="39" t="str">
        <f>VLOOKUP(B140,[1]Production!$B:$F,5,FALSE)</f>
        <v>Assembly</v>
      </c>
      <c r="G140" s="9">
        <v>21569</v>
      </c>
      <c r="H140" s="10">
        <f t="shared" ref="H140:H143" si="23">I140-G140</f>
        <v>21569</v>
      </c>
      <c r="I140" s="11">
        <v>43138</v>
      </c>
      <c r="J140" s="11">
        <f>VLOOKUP(B140,'Jul 26'!B:G,6,FALSE)</f>
        <v>21569</v>
      </c>
      <c r="K140" s="11">
        <v>0</v>
      </c>
      <c r="L140" s="11">
        <f>G140-J140</f>
        <v>0</v>
      </c>
    </row>
    <row r="141" spans="1:12" ht="16.5" thickTop="1" thickBot="1" x14ac:dyDescent="0.3">
      <c r="A141" s="5" t="s">
        <v>149</v>
      </c>
      <c r="B141" s="6">
        <v>87713</v>
      </c>
      <c r="C141" s="7" t="s">
        <v>31</v>
      </c>
      <c r="D141" s="39">
        <v>45960</v>
      </c>
      <c r="E141" s="39">
        <f>VLOOKUP(B141,[1]Production!$B:$E,4,FALSE)</f>
        <v>46168</v>
      </c>
      <c r="F141" s="39" t="str">
        <f>VLOOKUP(B141,[1]Production!$B:$F,5,FALSE)</f>
        <v>Coating</v>
      </c>
      <c r="G141" s="9">
        <v>192821</v>
      </c>
      <c r="H141" s="10">
        <f t="shared" si="23"/>
        <v>192821</v>
      </c>
      <c r="I141" s="11">
        <v>385642</v>
      </c>
      <c r="J141" s="11">
        <f>VLOOKUP(B141,'Jul 26'!B:G,6,FALSE)</f>
        <v>192821</v>
      </c>
      <c r="K141" s="11">
        <v>0</v>
      </c>
      <c r="L141" s="11">
        <f>G141-J141</f>
        <v>0</v>
      </c>
    </row>
    <row r="142" spans="1:12" ht="16.5" thickTop="1" thickBot="1" x14ac:dyDescent="0.3">
      <c r="A142" s="5" t="s">
        <v>150</v>
      </c>
      <c r="B142" s="6">
        <v>87716</v>
      </c>
      <c r="C142" s="7" t="s">
        <v>31</v>
      </c>
      <c r="D142" s="39">
        <v>45960</v>
      </c>
      <c r="E142" s="39">
        <f>VLOOKUP(B142,[1]Production!$B:$E,4,FALSE)</f>
        <v>46177</v>
      </c>
      <c r="F142" s="39" t="str">
        <f>VLOOKUP(B142,[1]Production!$B:$F,5,FALSE)</f>
        <v>Coating</v>
      </c>
      <c r="G142" s="9">
        <v>94522</v>
      </c>
      <c r="H142" s="10">
        <f t="shared" si="23"/>
        <v>94521</v>
      </c>
      <c r="I142" s="11">
        <v>189043</v>
      </c>
      <c r="J142" s="11">
        <f>VLOOKUP(B142,'Jul 26'!B:G,6,FALSE)</f>
        <v>94522</v>
      </c>
      <c r="K142" s="11">
        <v>0</v>
      </c>
      <c r="L142" s="11">
        <f>G142-J142</f>
        <v>0</v>
      </c>
    </row>
    <row r="143" spans="1:12" ht="16.5" thickTop="1" thickBot="1" x14ac:dyDescent="0.3">
      <c r="A143" s="5" t="s">
        <v>753</v>
      </c>
      <c r="B143" s="6">
        <v>91599</v>
      </c>
      <c r="C143" s="7" t="s">
        <v>23</v>
      </c>
      <c r="D143" s="39">
        <v>46213</v>
      </c>
      <c r="E143" s="39" t="str">
        <f>VLOOKUP(B143,'[1]Pre Production'!$B:$E,4,FALSE)</f>
        <v>Pre-Production</v>
      </c>
      <c r="F143" s="39" t="s">
        <v>13</v>
      </c>
      <c r="G143" s="9">
        <v>20654.009999999998</v>
      </c>
      <c r="H143" s="10">
        <f t="shared" si="23"/>
        <v>20654.000000000004</v>
      </c>
      <c r="I143" s="11">
        <v>41308.01</v>
      </c>
      <c r="J143" s="11">
        <f>VLOOKUP(B143,'Jul 26'!B:G,6,FALSE)</f>
        <v>20654.009999999998</v>
      </c>
      <c r="K143" s="11">
        <v>0</v>
      </c>
      <c r="L143" s="11">
        <f>G143-J143</f>
        <v>0</v>
      </c>
    </row>
    <row r="144" spans="1:12" ht="16.5" thickTop="1" thickBot="1" x14ac:dyDescent="0.3">
      <c r="A144" s="5" t="s">
        <v>171</v>
      </c>
      <c r="B144" s="81">
        <v>87145</v>
      </c>
      <c r="C144" s="82" t="s">
        <v>23</v>
      </c>
      <c r="D144" s="49">
        <v>45982</v>
      </c>
      <c r="E144" s="39">
        <f>VLOOKUP(B144,[1]Production!$B:$E,4,FALSE)</f>
        <v>46153</v>
      </c>
      <c r="F144" s="49">
        <v>46240</v>
      </c>
      <c r="G144" s="45">
        <v>0</v>
      </c>
      <c r="H144" s="58">
        <v>0</v>
      </c>
      <c r="I144" s="59">
        <v>0</v>
      </c>
      <c r="J144" s="59">
        <f>VLOOKUP(B144,'Jul 26'!B:G,6,FALSE)</f>
        <v>100990</v>
      </c>
      <c r="K144" s="59">
        <f>J144-G144</f>
        <v>100990</v>
      </c>
      <c r="L144" s="59" t="s">
        <v>791</v>
      </c>
    </row>
    <row r="145" spans="1:12" ht="16.5" thickTop="1" thickBot="1" x14ac:dyDescent="0.3">
      <c r="A145" s="5" t="s">
        <v>728</v>
      </c>
      <c r="B145" s="6" t="s">
        <v>738</v>
      </c>
      <c r="C145" s="7" t="s">
        <v>11</v>
      </c>
      <c r="D145" s="39">
        <v>46195</v>
      </c>
      <c r="E145" s="39">
        <v>46233</v>
      </c>
      <c r="F145" s="39" t="s">
        <v>353</v>
      </c>
      <c r="G145" s="9">
        <v>25293.599999999999</v>
      </c>
      <c r="H145" s="10">
        <f t="shared" ref="H145:H148" si="24">I145-G145</f>
        <v>25804.58</v>
      </c>
      <c r="I145" s="11">
        <v>51098.18</v>
      </c>
      <c r="J145" s="11">
        <f>VLOOKUP(B145,'Jul 26'!B:G,6,FALSE)</f>
        <v>25293.599999999999</v>
      </c>
      <c r="K145" s="11">
        <v>0</v>
      </c>
      <c r="L145" s="11">
        <f>G145-J145</f>
        <v>0</v>
      </c>
    </row>
    <row r="146" spans="1:12" ht="16.5" thickTop="1" thickBot="1" x14ac:dyDescent="0.3">
      <c r="A146" s="5" t="s">
        <v>357</v>
      </c>
      <c r="B146" s="6">
        <v>88948</v>
      </c>
      <c r="C146" s="7" t="s">
        <v>23</v>
      </c>
      <c r="D146" s="39">
        <v>46084</v>
      </c>
      <c r="E146" s="39">
        <f>VLOOKUP(B146,[1]Production!$B:$E,4,FALSE)</f>
        <v>46164</v>
      </c>
      <c r="F146" s="39" t="str">
        <f>VLOOKUP(B146,[1]Production!$B:$F,5,FALSE)</f>
        <v>Assembly</v>
      </c>
      <c r="G146" s="9">
        <v>55860.75</v>
      </c>
      <c r="H146" s="10">
        <f t="shared" si="24"/>
        <v>58090.25</v>
      </c>
      <c r="I146" s="11">
        <v>113951</v>
      </c>
      <c r="J146" s="11">
        <f>VLOOKUP(B146,'Jul 26'!B:G,6,FALSE)</f>
        <v>55860.75</v>
      </c>
      <c r="K146" s="11">
        <v>0</v>
      </c>
      <c r="L146" s="11">
        <f>G146-J146</f>
        <v>0</v>
      </c>
    </row>
    <row r="147" spans="1:12" ht="16.5" thickTop="1" thickBot="1" x14ac:dyDescent="0.3">
      <c r="A147" s="5" t="s">
        <v>689</v>
      </c>
      <c r="B147" s="6">
        <v>88063</v>
      </c>
      <c r="C147" s="7" t="s">
        <v>23</v>
      </c>
      <c r="D147" s="39">
        <v>46169</v>
      </c>
      <c r="E147" s="39" t="str">
        <f>VLOOKUP(B147,'[1]Pre Production'!$B:$E,4,FALSE)</f>
        <v>Pre-Production</v>
      </c>
      <c r="F147" s="39" t="s">
        <v>13</v>
      </c>
      <c r="G147" s="9">
        <v>11338.47</v>
      </c>
      <c r="H147" s="10">
        <f t="shared" si="24"/>
        <v>11567.53</v>
      </c>
      <c r="I147" s="11">
        <v>22906</v>
      </c>
      <c r="J147" s="11">
        <f>VLOOKUP(B147,'Jul 26'!B:G,6,FALSE)</f>
        <v>11338.47</v>
      </c>
      <c r="K147" s="11"/>
      <c r="L147" s="11">
        <f>G147-J147</f>
        <v>0</v>
      </c>
    </row>
    <row r="148" spans="1:12" ht="16.5" thickTop="1" thickBot="1" x14ac:dyDescent="0.3">
      <c r="A148" s="5" t="s">
        <v>788</v>
      </c>
      <c r="B148" s="6">
        <v>91860</v>
      </c>
      <c r="C148" s="7" t="s">
        <v>21</v>
      </c>
      <c r="D148" s="39">
        <v>46233</v>
      </c>
      <c r="E148" s="39" t="str">
        <f>VLOOKUP(B148,'[1]Pre Production'!$B:$E,4,FALSE)</f>
        <v>Pre-Production</v>
      </c>
      <c r="F148" s="39" t="s">
        <v>13</v>
      </c>
      <c r="G148" s="9">
        <f>7621.98-76.22</f>
        <v>7545.7599999999993</v>
      </c>
      <c r="H148" s="10">
        <f t="shared" si="24"/>
        <v>7698.1900000000014</v>
      </c>
      <c r="I148" s="11">
        <v>15243.95</v>
      </c>
      <c r="J148" s="11">
        <f>VLOOKUP(B148,'Jul 26'!B:G,6,FALSE)</f>
        <v>7621.98</v>
      </c>
      <c r="K148" s="11">
        <v>0</v>
      </c>
      <c r="L148" s="11">
        <f>G148-J148</f>
        <v>-76.220000000000255</v>
      </c>
    </row>
    <row r="149" spans="1:12" ht="16.5" thickTop="1" thickBot="1" x14ac:dyDescent="0.3">
      <c r="A149" s="5" t="s">
        <v>726</v>
      </c>
      <c r="B149" s="6">
        <v>91019</v>
      </c>
      <c r="C149" s="7" t="s">
        <v>23</v>
      </c>
      <c r="D149" s="39">
        <v>46189</v>
      </c>
      <c r="E149" s="39">
        <f>VLOOKUP(B149,[1]Production!$B:$E,4,FALSE)</f>
        <v>46199</v>
      </c>
      <c r="F149" s="49">
        <v>46248</v>
      </c>
      <c r="G149" s="45">
        <v>0</v>
      </c>
      <c r="H149" s="58">
        <v>0</v>
      </c>
      <c r="I149" s="59">
        <v>0</v>
      </c>
      <c r="J149" s="59">
        <f>VLOOKUP(B149,'Jul 26'!B:G,6,FALSE)</f>
        <v>983.66</v>
      </c>
      <c r="K149" s="59">
        <f>J149-G149</f>
        <v>983.66</v>
      </c>
      <c r="L149" s="59" t="s">
        <v>791</v>
      </c>
    </row>
    <row r="150" spans="1:12" ht="16.5" thickTop="1" thickBot="1" x14ac:dyDescent="0.3">
      <c r="A150" s="5" t="s">
        <v>731</v>
      </c>
      <c r="B150" s="6">
        <v>90567</v>
      </c>
      <c r="C150" s="7" t="s">
        <v>23</v>
      </c>
      <c r="D150" s="39">
        <v>46198</v>
      </c>
      <c r="E150" s="39" t="str">
        <f>VLOOKUP(B150,'[1]Pre Production'!$B:$E,4,FALSE)</f>
        <v>Pre-Production</v>
      </c>
      <c r="F150" s="39" t="s">
        <v>13</v>
      </c>
      <c r="G150" s="9">
        <f>7410.8-74.11</f>
        <v>7336.6900000000005</v>
      </c>
      <c r="H150" s="10">
        <f t="shared" ref="H150:H151" si="25">I150-G150</f>
        <v>7484.91</v>
      </c>
      <c r="I150" s="11">
        <v>14821.6</v>
      </c>
      <c r="J150" s="11">
        <f>VLOOKUP(B150,'Jul 26'!B:G,6,FALSE)</f>
        <v>7336.6900000000005</v>
      </c>
      <c r="K150" s="11">
        <v>0</v>
      </c>
      <c r="L150" s="11">
        <f>G150-J150</f>
        <v>0</v>
      </c>
    </row>
    <row r="151" spans="1:12" ht="16.5" thickTop="1" thickBot="1" x14ac:dyDescent="0.3">
      <c r="A151" s="5" t="s">
        <v>768</v>
      </c>
      <c r="B151" s="6">
        <v>91679</v>
      </c>
      <c r="C151" s="7" t="s">
        <v>23</v>
      </c>
      <c r="D151" s="39">
        <v>46224</v>
      </c>
      <c r="E151" s="39" t="str">
        <f>VLOOKUP(B151,'[1]Pre Production'!$B:$E,4,FALSE)</f>
        <v>Pre-Production</v>
      </c>
      <c r="F151" s="39" t="s">
        <v>13</v>
      </c>
      <c r="G151" s="9">
        <v>17700.54</v>
      </c>
      <c r="H151" s="10">
        <f t="shared" si="25"/>
        <v>18058.11</v>
      </c>
      <c r="I151" s="11">
        <v>35758.65</v>
      </c>
      <c r="J151" s="11">
        <f>VLOOKUP(B151,'Jul 26'!B:G,6,FALSE)</f>
        <v>17700.54</v>
      </c>
      <c r="K151" s="11">
        <v>0</v>
      </c>
      <c r="L151" s="11">
        <f>G151-J151</f>
        <v>0</v>
      </c>
    </row>
    <row r="152" spans="1:12" ht="16.5" thickTop="1" thickBot="1" x14ac:dyDescent="0.3">
      <c r="A152" s="5" t="s">
        <v>683</v>
      </c>
      <c r="B152" s="81">
        <v>90741</v>
      </c>
      <c r="C152" s="82" t="s">
        <v>23</v>
      </c>
      <c r="D152" s="49">
        <v>46168</v>
      </c>
      <c r="E152" s="39" t="str">
        <f>VLOOKUP(B152,'[1]Pre Production'!$B:$E,4,FALSE)</f>
        <v>Pre-Production</v>
      </c>
      <c r="F152" s="49">
        <v>46240</v>
      </c>
      <c r="G152" s="45">
        <v>0</v>
      </c>
      <c r="H152" s="58">
        <v>0</v>
      </c>
      <c r="I152" s="59">
        <v>0</v>
      </c>
      <c r="J152" s="59">
        <f>VLOOKUP(B152,'Jul 26'!B:G,6,FALSE)</f>
        <v>15437.15</v>
      </c>
      <c r="K152" s="59">
        <f>J152-G152</f>
        <v>15437.15</v>
      </c>
      <c r="L152" s="59" t="s">
        <v>791</v>
      </c>
    </row>
    <row r="153" spans="1:12" ht="16.5" thickTop="1" thickBot="1" x14ac:dyDescent="0.3">
      <c r="A153" s="5" t="s">
        <v>331</v>
      </c>
      <c r="B153" s="6">
        <v>89367</v>
      </c>
      <c r="C153" s="7" t="s">
        <v>57</v>
      </c>
      <c r="D153" s="39">
        <v>46076</v>
      </c>
      <c r="E153" s="39">
        <f>VLOOKUP(B153,[1]Production!$B:$E,4,FALSE)</f>
        <v>46155</v>
      </c>
      <c r="F153" s="49">
        <v>46246</v>
      </c>
      <c r="G153" s="45">
        <v>0</v>
      </c>
      <c r="H153" s="58">
        <v>0</v>
      </c>
      <c r="I153" s="59">
        <v>0</v>
      </c>
      <c r="J153" s="59">
        <f>VLOOKUP(B153,'Jul 26'!B:G,6,FALSE)</f>
        <v>105339.96</v>
      </c>
      <c r="K153" s="59">
        <f>J153-G153</f>
        <v>105339.96</v>
      </c>
      <c r="L153" s="59" t="s">
        <v>791</v>
      </c>
    </row>
    <row r="154" spans="1:12" ht="16.5" thickTop="1" thickBot="1" x14ac:dyDescent="0.3">
      <c r="A154" s="5" t="s">
        <v>714</v>
      </c>
      <c r="B154" s="6">
        <v>86062</v>
      </c>
      <c r="C154" s="7" t="s">
        <v>32</v>
      </c>
      <c r="D154" s="39">
        <v>46181</v>
      </c>
      <c r="E154" s="39" t="str">
        <f>VLOOKUP(B154,'[1]Pre Production'!$B:$E,4,FALSE)</f>
        <v>Pre-Production</v>
      </c>
      <c r="F154" s="39" t="s">
        <v>13</v>
      </c>
      <c r="G154" s="9">
        <v>11413.71</v>
      </c>
      <c r="H154" s="10">
        <f t="shared" ref="H154:H160" si="26">I154-G154</f>
        <v>17580.690000000002</v>
      </c>
      <c r="I154" s="11">
        <v>28994.400000000001</v>
      </c>
      <c r="J154" s="11">
        <f>VLOOKUP(B154,'Jul 26'!B:G,6,FALSE)</f>
        <v>11413.71</v>
      </c>
      <c r="K154" s="11">
        <v>0</v>
      </c>
      <c r="L154" s="11">
        <f t="shared" ref="L154:L164" si="27">G154-J154</f>
        <v>0</v>
      </c>
    </row>
    <row r="155" spans="1:12" ht="16.5" thickTop="1" thickBot="1" x14ac:dyDescent="0.3">
      <c r="A155" s="5" t="s">
        <v>109</v>
      </c>
      <c r="B155" s="6">
        <v>86334</v>
      </c>
      <c r="C155" s="7" t="s">
        <v>23</v>
      </c>
      <c r="D155" s="39">
        <v>45890</v>
      </c>
      <c r="E155" s="39" t="str">
        <f>VLOOKUP(B155,'[1]Pre Production'!$B:$E,4,FALSE)</f>
        <v>Pre-Production</v>
      </c>
      <c r="F155" s="39" t="s">
        <v>13</v>
      </c>
      <c r="G155" s="9">
        <v>5093.55</v>
      </c>
      <c r="H155" s="10">
        <f t="shared" si="26"/>
        <v>5195.45</v>
      </c>
      <c r="I155" s="11">
        <v>10289</v>
      </c>
      <c r="J155" s="11">
        <f>VLOOKUP(B155,'Jul 26'!B:G,6,FALSE)</f>
        <v>5093.55</v>
      </c>
      <c r="K155" s="11">
        <v>0</v>
      </c>
      <c r="L155" s="11">
        <f t="shared" si="27"/>
        <v>0</v>
      </c>
    </row>
    <row r="156" spans="1:12" ht="16.5" thickTop="1" thickBot="1" x14ac:dyDescent="0.3">
      <c r="A156" s="5" t="s">
        <v>341</v>
      </c>
      <c r="B156" s="6">
        <v>87599</v>
      </c>
      <c r="C156" s="7" t="s">
        <v>27</v>
      </c>
      <c r="D156" s="39">
        <v>46080</v>
      </c>
      <c r="E156" s="39" t="str">
        <f>VLOOKUP(B156,'[1]Pre Production'!$B:$E,4,FALSE)</f>
        <v>Pre-Production</v>
      </c>
      <c r="F156" s="39" t="s">
        <v>13</v>
      </c>
      <c r="G156" s="9">
        <v>51424.45</v>
      </c>
      <c r="H156" s="10">
        <f t="shared" si="26"/>
        <v>73834.55</v>
      </c>
      <c r="I156" s="11">
        <v>125259</v>
      </c>
      <c r="J156" s="11">
        <f>VLOOKUP(B156,'Jul 26'!B:G,6,FALSE)</f>
        <v>51424.45</v>
      </c>
      <c r="K156" s="11">
        <v>0</v>
      </c>
      <c r="L156" s="11">
        <f t="shared" si="27"/>
        <v>0</v>
      </c>
    </row>
    <row r="157" spans="1:12" ht="16.5" thickTop="1" thickBot="1" x14ac:dyDescent="0.3">
      <c r="A157" s="5" t="s">
        <v>721</v>
      </c>
      <c r="B157" s="6">
        <v>87059</v>
      </c>
      <c r="C157" s="7" t="s">
        <v>14</v>
      </c>
      <c r="D157" s="39">
        <v>46188</v>
      </c>
      <c r="E157" s="39" t="str">
        <f>VLOOKUP(B157,'[1]Pre Production'!$B:$E,4,FALSE)</f>
        <v>Pre-Production</v>
      </c>
      <c r="F157" s="39" t="s">
        <v>13</v>
      </c>
      <c r="G157" s="9">
        <v>25737</v>
      </c>
      <c r="H157" s="10">
        <f t="shared" si="26"/>
        <v>25737</v>
      </c>
      <c r="I157" s="11">
        <v>51474</v>
      </c>
      <c r="J157" s="11">
        <f>VLOOKUP(B157,'Jul 26'!B:G,6,FALSE)</f>
        <v>25737</v>
      </c>
      <c r="K157" s="11">
        <v>0</v>
      </c>
      <c r="L157" s="11">
        <f t="shared" si="27"/>
        <v>0</v>
      </c>
    </row>
    <row r="158" spans="1:12" ht="16.5" thickTop="1" thickBot="1" x14ac:dyDescent="0.3">
      <c r="A158" s="5" t="s">
        <v>110</v>
      </c>
      <c r="B158" s="6">
        <v>84075</v>
      </c>
      <c r="C158" s="7" t="s">
        <v>14</v>
      </c>
      <c r="D158" s="39">
        <v>45894</v>
      </c>
      <c r="E158" s="39">
        <f>VLOOKUP(B158,[1]Production!$B:$E,4,FALSE)</f>
        <v>46154</v>
      </c>
      <c r="F158" s="39" t="str">
        <f>VLOOKUP(B158,[1]Production!$B:$F,5,FALSE)</f>
        <v>Assembly</v>
      </c>
      <c r="G158" s="9">
        <v>13567</v>
      </c>
      <c r="H158" s="10">
        <f t="shared" si="26"/>
        <v>13566</v>
      </c>
      <c r="I158" s="11">
        <v>27133</v>
      </c>
      <c r="J158" s="11">
        <f>VLOOKUP(B158,'Jul 26'!B:G,6,FALSE)</f>
        <v>13567</v>
      </c>
      <c r="K158" s="11">
        <v>0</v>
      </c>
      <c r="L158" s="11">
        <f t="shared" si="27"/>
        <v>0</v>
      </c>
    </row>
    <row r="159" spans="1:12" ht="16.5" thickTop="1" thickBot="1" x14ac:dyDescent="0.3">
      <c r="A159" s="5" t="s">
        <v>97</v>
      </c>
      <c r="B159" s="6">
        <v>84726</v>
      </c>
      <c r="C159" s="7" t="s">
        <v>14</v>
      </c>
      <c r="D159" s="39">
        <v>45845</v>
      </c>
      <c r="E159" s="39">
        <f>VLOOKUP(B159,[1]Production!$B:$E,4,FALSE)</f>
        <v>46141</v>
      </c>
      <c r="F159" s="39" t="str">
        <f>VLOOKUP(B159,[1]Production!$B:$F,5,FALSE)</f>
        <v>Cutting</v>
      </c>
      <c r="G159" s="9">
        <v>231351</v>
      </c>
      <c r="H159" s="10">
        <f t="shared" si="26"/>
        <v>231350</v>
      </c>
      <c r="I159" s="11">
        <v>462701</v>
      </c>
      <c r="J159" s="11">
        <f>VLOOKUP(B159,'Jul 26'!B:G,6,FALSE)</f>
        <v>231351</v>
      </c>
      <c r="K159" s="11">
        <v>0</v>
      </c>
      <c r="L159" s="11">
        <f t="shared" si="27"/>
        <v>0</v>
      </c>
    </row>
    <row r="160" spans="1:12" ht="16.5" thickTop="1" thickBot="1" x14ac:dyDescent="0.3">
      <c r="A160" s="5" t="s">
        <v>96</v>
      </c>
      <c r="B160" s="6">
        <v>84719</v>
      </c>
      <c r="C160" s="7" t="s">
        <v>14</v>
      </c>
      <c r="D160" s="39">
        <v>45845</v>
      </c>
      <c r="E160" s="39">
        <f>VLOOKUP(B160,[1]Production!$B:$E,4,FALSE)</f>
        <v>46133</v>
      </c>
      <c r="F160" s="39" t="str">
        <f>VLOOKUP(B160,[1]Production!$B:$F,5,FALSE)</f>
        <v>Assembly</v>
      </c>
      <c r="G160" s="9">
        <v>416603</v>
      </c>
      <c r="H160" s="10">
        <f t="shared" si="26"/>
        <v>416602</v>
      </c>
      <c r="I160" s="11">
        <v>833205</v>
      </c>
      <c r="J160" s="11">
        <f>VLOOKUP(B160,'Jul 26'!B:G,6,FALSE)</f>
        <v>416603</v>
      </c>
      <c r="K160" s="11">
        <v>0</v>
      </c>
      <c r="L160" s="11">
        <f t="shared" si="27"/>
        <v>0</v>
      </c>
    </row>
    <row r="161" spans="1:12" ht="16.5" thickTop="1" thickBot="1" x14ac:dyDescent="0.3">
      <c r="A161" s="5" t="s">
        <v>659</v>
      </c>
      <c r="B161" s="81">
        <v>88243</v>
      </c>
      <c r="C161" s="82" t="s">
        <v>27</v>
      </c>
      <c r="D161" s="49" t="s">
        <v>668</v>
      </c>
      <c r="E161" s="49">
        <f>VLOOKUP(B161,[1]Production!$B:$E,4,FALSE)</f>
        <v>46181</v>
      </c>
      <c r="F161" s="49">
        <v>46259</v>
      </c>
      <c r="G161" s="45">
        <v>0</v>
      </c>
      <c r="H161" s="58">
        <v>0</v>
      </c>
      <c r="I161" s="59">
        <v>0</v>
      </c>
      <c r="J161" s="59">
        <f>VLOOKUP(B161,'Jul 26'!B:G,6,FALSE)</f>
        <v>11197</v>
      </c>
      <c r="K161" s="59">
        <f>IF(G161=0,J161-G161,0)</f>
        <v>11197</v>
      </c>
      <c r="L161" s="59" t="s">
        <v>791</v>
      </c>
    </row>
    <row r="162" spans="1:12" ht="16.5" thickTop="1" thickBot="1" x14ac:dyDescent="0.3">
      <c r="A162" s="5" t="s">
        <v>694</v>
      </c>
      <c r="B162" s="6">
        <v>88512</v>
      </c>
      <c r="C162" s="7" t="s">
        <v>14</v>
      </c>
      <c r="D162" s="39">
        <v>46171</v>
      </c>
      <c r="E162" s="39" t="str">
        <f>VLOOKUP(B162,'[1]Pre Production'!$B:$E,4,FALSE)</f>
        <v>Pre-Production</v>
      </c>
      <c r="F162" s="39" t="s">
        <v>13</v>
      </c>
      <c r="G162" s="9">
        <v>33240</v>
      </c>
      <c r="H162" s="10">
        <f t="shared" ref="H162:H164" si="28">I162-G162</f>
        <v>33240</v>
      </c>
      <c r="I162" s="11">
        <v>66480</v>
      </c>
      <c r="J162" s="11">
        <f>VLOOKUP(B162,'Jul 26'!B:G,6,FALSE)</f>
        <v>33240</v>
      </c>
      <c r="K162" s="11"/>
      <c r="L162" s="11">
        <f t="shared" si="27"/>
        <v>0</v>
      </c>
    </row>
    <row r="163" spans="1:12" ht="16.5" thickTop="1" thickBot="1" x14ac:dyDescent="0.3">
      <c r="A163" s="5" t="s">
        <v>261</v>
      </c>
      <c r="B163" s="6">
        <v>88206</v>
      </c>
      <c r="C163" s="7" t="s">
        <v>14</v>
      </c>
      <c r="D163" s="39">
        <v>46050</v>
      </c>
      <c r="E163" s="39">
        <f>VLOOKUP(B163,[1]Production!$B:$E,4,FALSE)</f>
        <v>46182</v>
      </c>
      <c r="F163" s="39" t="str">
        <f>VLOOKUP(B163,[1]Production!$B:$F,5,FALSE)</f>
        <v>Coating</v>
      </c>
      <c r="G163" s="9">
        <f>42008+26591.16</f>
        <v>68599.16</v>
      </c>
      <c r="H163" s="10">
        <f t="shared" si="28"/>
        <v>57826.84</v>
      </c>
      <c r="I163" s="11">
        <v>126426</v>
      </c>
      <c r="J163" s="11">
        <f>VLOOKUP(B163,'Jul 26'!B:G,6,FALSE)</f>
        <v>68599.16</v>
      </c>
      <c r="K163" s="11">
        <v>0</v>
      </c>
      <c r="L163" s="11">
        <f t="shared" si="27"/>
        <v>0</v>
      </c>
    </row>
    <row r="164" spans="1:12" ht="16.5" thickTop="1" thickBot="1" x14ac:dyDescent="0.3">
      <c r="A164" s="5" t="s">
        <v>772</v>
      </c>
      <c r="B164" s="6">
        <v>87176</v>
      </c>
      <c r="C164" s="7" t="s">
        <v>776</v>
      </c>
      <c r="D164" s="39">
        <v>46227</v>
      </c>
      <c r="E164" s="39" t="str">
        <f>VLOOKUP(B164,'[1]Pre Production'!$B:$E,4,FALSE)</f>
        <v>Pre-Production</v>
      </c>
      <c r="F164" s="39" t="s">
        <v>13</v>
      </c>
      <c r="G164" s="9">
        <v>9608</v>
      </c>
      <c r="H164" s="10">
        <f t="shared" si="28"/>
        <v>9664.18</v>
      </c>
      <c r="I164" s="11">
        <v>19272.18</v>
      </c>
      <c r="J164" s="11">
        <f>VLOOKUP(B164,'Jul 26'!B:G,6,FALSE)</f>
        <v>9608</v>
      </c>
      <c r="K164" s="11">
        <v>0</v>
      </c>
      <c r="L164" s="11">
        <f t="shared" si="27"/>
        <v>0</v>
      </c>
    </row>
    <row r="165" spans="1:12" ht="16.5" thickTop="1" thickBot="1" x14ac:dyDescent="0.3">
      <c r="A165" s="5" t="s">
        <v>656</v>
      </c>
      <c r="B165" s="81">
        <v>90634</v>
      </c>
      <c r="C165" s="82" t="s">
        <v>23</v>
      </c>
      <c r="D165" s="49" t="s">
        <v>667</v>
      </c>
      <c r="E165" s="39">
        <f>VLOOKUP(B165,[1]Production!$B:$E,4,FALSE)</f>
        <v>46199</v>
      </c>
      <c r="F165" s="49">
        <v>46241</v>
      </c>
      <c r="G165" s="45">
        <v>0</v>
      </c>
      <c r="H165" s="58">
        <v>0</v>
      </c>
      <c r="I165" s="59">
        <v>0</v>
      </c>
      <c r="J165" s="59">
        <f>VLOOKUP(B165,'Jul 26'!B:G,6,FALSE)</f>
        <v>49603</v>
      </c>
      <c r="K165" s="59">
        <f>J165-G165</f>
        <v>49603</v>
      </c>
      <c r="L165" s="59" t="s">
        <v>791</v>
      </c>
    </row>
    <row r="166" spans="1:12" ht="16.5" thickTop="1" thickBot="1" x14ac:dyDescent="0.3">
      <c r="A166" s="5" t="s">
        <v>513</v>
      </c>
      <c r="B166" s="6">
        <v>86157</v>
      </c>
      <c r="C166" s="7" t="s">
        <v>23</v>
      </c>
      <c r="D166" s="39">
        <v>46101</v>
      </c>
      <c r="E166" s="39" t="str">
        <f>VLOOKUP(B166,'[1]Pre Production'!$B:$E,4,FALSE)</f>
        <v>Pre-Production</v>
      </c>
      <c r="F166" s="39" t="s">
        <v>13</v>
      </c>
      <c r="G166" s="9">
        <v>255026</v>
      </c>
      <c r="H166" s="10">
        <f t="shared" ref="H166:H168" si="29">I166-G166</f>
        <v>255025</v>
      </c>
      <c r="I166" s="11">
        <v>510051</v>
      </c>
      <c r="J166" s="11">
        <f>VLOOKUP(B166,'Jul 26'!B:G,6,FALSE)</f>
        <v>255026</v>
      </c>
      <c r="K166" s="11">
        <v>0</v>
      </c>
      <c r="L166" s="11">
        <f>G166-J166</f>
        <v>0</v>
      </c>
    </row>
    <row r="167" spans="1:12" ht="16.5" thickTop="1" thickBot="1" x14ac:dyDescent="0.3">
      <c r="A167" s="5" t="s">
        <v>233</v>
      </c>
      <c r="B167" s="6">
        <v>86089</v>
      </c>
      <c r="C167" s="7" t="s">
        <v>23</v>
      </c>
      <c r="D167" s="39">
        <v>46038</v>
      </c>
      <c r="E167" s="39" t="str">
        <f>VLOOKUP(B167,'[1]Pre Production'!$B:$E,4,FALSE)</f>
        <v>Pre-Production</v>
      </c>
      <c r="F167" s="39" t="s">
        <v>13</v>
      </c>
      <c r="G167" s="9">
        <v>416889.25</v>
      </c>
      <c r="H167" s="10">
        <f t="shared" si="29"/>
        <v>412013.75</v>
      </c>
      <c r="I167" s="11">
        <v>828903</v>
      </c>
      <c r="J167" s="11">
        <f>VLOOKUP(B167,'Jul 26'!B:G,6,FALSE)</f>
        <v>416889.25</v>
      </c>
      <c r="K167" s="11">
        <v>0</v>
      </c>
      <c r="L167" s="11">
        <f>G167-J167</f>
        <v>0</v>
      </c>
    </row>
    <row r="168" spans="1:12" ht="16.5" thickTop="1" thickBot="1" x14ac:dyDescent="0.3">
      <c r="A168" s="5" t="s">
        <v>289</v>
      </c>
      <c r="B168" s="6">
        <v>87805</v>
      </c>
      <c r="C168" s="7" t="s">
        <v>33</v>
      </c>
      <c r="D168" s="39">
        <v>46065</v>
      </c>
      <c r="E168" s="39" t="str">
        <f>VLOOKUP(B168,'[1]Pre Production'!$B:$E,4,FALSE)</f>
        <v>Pre-Production</v>
      </c>
      <c r="F168" s="39" t="s">
        <v>13</v>
      </c>
      <c r="G168" s="9">
        <f>3646+3646</f>
        <v>7292</v>
      </c>
      <c r="H168" s="10">
        <f t="shared" si="29"/>
        <v>9402</v>
      </c>
      <c r="I168" s="11">
        <v>16694</v>
      </c>
      <c r="J168" s="11">
        <f>VLOOKUP(B168,'Jul 26'!B:G,6,FALSE)</f>
        <v>7292</v>
      </c>
      <c r="K168" s="11">
        <v>0</v>
      </c>
      <c r="L168" s="11">
        <f>G168-J168</f>
        <v>0</v>
      </c>
    </row>
    <row r="169" spans="1:12" ht="16.5" thickTop="1" thickBot="1" x14ac:dyDescent="0.3">
      <c r="A169" s="5" t="s">
        <v>665</v>
      </c>
      <c r="B169" s="6">
        <v>90372</v>
      </c>
      <c r="C169" s="7" t="s">
        <v>23</v>
      </c>
      <c r="D169" s="39" t="s">
        <v>670</v>
      </c>
      <c r="E169" s="39">
        <f>VLOOKUP(B169,[1]Production!$B:$E,4,FALSE)</f>
        <v>46199</v>
      </c>
      <c r="F169" s="85" t="s">
        <v>823</v>
      </c>
      <c r="G169" s="86">
        <v>13763.57</v>
      </c>
      <c r="H169" s="87">
        <f>I169-G169</f>
        <v>12376.510000000002</v>
      </c>
      <c r="I169" s="88">
        <v>26140.080000000002</v>
      </c>
      <c r="J169" s="88">
        <f>VLOOKUP(B169,'Jul 26'!B:G,6,FALSE)</f>
        <v>24466.02</v>
      </c>
      <c r="K169" s="88">
        <f>J169-G169</f>
        <v>10702.45</v>
      </c>
      <c r="L169" s="88" t="s">
        <v>791</v>
      </c>
    </row>
    <row r="170" spans="1:12" ht="16.5" thickTop="1" thickBot="1" x14ac:dyDescent="0.3">
      <c r="A170" s="5" t="s">
        <v>94</v>
      </c>
      <c r="B170" s="6">
        <v>85860</v>
      </c>
      <c r="C170" s="7" t="s">
        <v>38</v>
      </c>
      <c r="D170" s="39">
        <v>45826</v>
      </c>
      <c r="E170" s="39" t="str">
        <f>VLOOKUP(B170,'[1]Pre Production'!$B:$E,4,FALSE)</f>
        <v>Pre-Production</v>
      </c>
      <c r="F170" s="39" t="s">
        <v>13</v>
      </c>
      <c r="G170" s="9">
        <v>68221</v>
      </c>
      <c r="H170" s="10">
        <f>I170-G170</f>
        <v>75946</v>
      </c>
      <c r="I170" s="11">
        <v>144167</v>
      </c>
      <c r="J170" s="11">
        <f>VLOOKUP(B170,'Jul 26'!B:G,6,FALSE)</f>
        <v>68221</v>
      </c>
      <c r="K170" s="11">
        <v>0</v>
      </c>
      <c r="L170" s="11">
        <f t="shared" ref="L170:L176" si="30">G170-J170</f>
        <v>0</v>
      </c>
    </row>
    <row r="171" spans="1:12" ht="16.5" thickTop="1" thickBot="1" x14ac:dyDescent="0.3">
      <c r="A171" s="5" t="s">
        <v>785</v>
      </c>
      <c r="B171" s="13">
        <v>91560</v>
      </c>
      <c r="C171" s="14" t="s">
        <v>21</v>
      </c>
      <c r="D171" s="40">
        <v>46232</v>
      </c>
      <c r="E171" s="39" t="str">
        <f>VLOOKUP(B171,'[1]Pre Production'!$B:$E,4,FALSE)</f>
        <v>Pre-Production</v>
      </c>
      <c r="F171" s="40" t="s">
        <v>13</v>
      </c>
      <c r="G171" s="16">
        <v>8379.99</v>
      </c>
      <c r="H171" s="17">
        <f>I171-G171</f>
        <v>0</v>
      </c>
      <c r="I171" s="18">
        <v>8379.99</v>
      </c>
      <c r="J171" s="18">
        <f>VLOOKUP(B171,'Jul 26'!B:G,6,FALSE)</f>
        <v>8379.99</v>
      </c>
      <c r="K171" s="18">
        <v>0</v>
      </c>
      <c r="L171" s="18">
        <f t="shared" si="30"/>
        <v>0</v>
      </c>
    </row>
    <row r="172" spans="1:12" ht="16.5" thickTop="1" thickBot="1" x14ac:dyDescent="0.3">
      <c r="A172" s="5" t="s">
        <v>786</v>
      </c>
      <c r="B172" s="13">
        <v>90548</v>
      </c>
      <c r="C172" s="14" t="s">
        <v>21</v>
      </c>
      <c r="D172" s="40">
        <v>46232</v>
      </c>
      <c r="E172" s="39" t="str">
        <f>VLOOKUP(B172,'[1]Pre Production'!$B:$E,4,FALSE)</f>
        <v>Pre-Production</v>
      </c>
      <c r="F172" s="40" t="s">
        <v>13</v>
      </c>
      <c r="G172" s="16">
        <v>4673.7</v>
      </c>
      <c r="H172" s="17">
        <f>I172-G172</f>
        <v>0</v>
      </c>
      <c r="I172" s="18">
        <v>4673.7</v>
      </c>
      <c r="J172" s="18">
        <f>VLOOKUP(B172,'Jul 26'!B:G,6,FALSE)</f>
        <v>4673.7</v>
      </c>
      <c r="K172" s="18">
        <v>0</v>
      </c>
      <c r="L172" s="18">
        <f t="shared" si="30"/>
        <v>0</v>
      </c>
    </row>
    <row r="173" spans="1:12" ht="16.5" thickTop="1" thickBot="1" x14ac:dyDescent="0.3">
      <c r="A173" s="5" t="s">
        <v>751</v>
      </c>
      <c r="B173" s="6">
        <v>91258</v>
      </c>
      <c r="C173" s="7" t="s">
        <v>21</v>
      </c>
      <c r="D173" s="39">
        <v>46210</v>
      </c>
      <c r="E173" s="39" t="str">
        <f>VLOOKUP(B173,'[1]Pre Production'!$B:$E,4,FALSE)</f>
        <v>Pre-Production</v>
      </c>
      <c r="F173" s="39" t="s">
        <v>13</v>
      </c>
      <c r="G173" s="9">
        <v>8755.11</v>
      </c>
      <c r="H173" s="10">
        <f t="shared" ref="H173:H176" si="31">I173-G173</f>
        <v>8755.11</v>
      </c>
      <c r="I173" s="11">
        <v>17510.22</v>
      </c>
      <c r="J173" s="11">
        <f>VLOOKUP(B173,'Jul 26'!B:G,6,FALSE)</f>
        <v>8755.11</v>
      </c>
      <c r="K173" s="11">
        <v>0</v>
      </c>
      <c r="L173" s="11">
        <f t="shared" si="30"/>
        <v>0</v>
      </c>
    </row>
    <row r="174" spans="1:12" ht="16.5" thickTop="1" thickBot="1" x14ac:dyDescent="0.3">
      <c r="A174" s="5" t="s">
        <v>276</v>
      </c>
      <c r="B174" s="6">
        <v>88397</v>
      </c>
      <c r="C174" s="7" t="s">
        <v>19</v>
      </c>
      <c r="D174" s="39">
        <v>46062</v>
      </c>
      <c r="E174" s="39" t="str">
        <f>VLOOKUP(B174,'[1]Pre Production'!$B:$E,4,FALSE)</f>
        <v>Pre-Production</v>
      </c>
      <c r="F174" s="39" t="s">
        <v>13</v>
      </c>
      <c r="G174" s="9">
        <v>59154.25</v>
      </c>
      <c r="H174" s="10">
        <f t="shared" si="31"/>
        <v>181512.75</v>
      </c>
      <c r="I174" s="11">
        <v>240667</v>
      </c>
      <c r="J174" s="11">
        <f>VLOOKUP(B174,'Jul 26'!B:G,6,FALSE)</f>
        <v>59154.25</v>
      </c>
      <c r="K174" s="11">
        <v>0</v>
      </c>
      <c r="L174" s="11">
        <f t="shared" si="30"/>
        <v>0</v>
      </c>
    </row>
    <row r="175" spans="1:12" ht="16.5" thickTop="1" thickBot="1" x14ac:dyDescent="0.3">
      <c r="A175" s="5" t="s">
        <v>661</v>
      </c>
      <c r="B175" s="6">
        <v>90359</v>
      </c>
      <c r="C175" s="7" t="s">
        <v>21</v>
      </c>
      <c r="D175" s="39" t="s">
        <v>670</v>
      </c>
      <c r="E175" s="39" t="str">
        <f>VLOOKUP(B175,'[1]Pre Production'!$B:$E,4,FALSE)</f>
        <v>Pre-Production</v>
      </c>
      <c r="F175" s="39" t="s">
        <v>13</v>
      </c>
      <c r="G175" s="9">
        <v>6614</v>
      </c>
      <c r="H175" s="10">
        <f t="shared" si="31"/>
        <v>6613.75</v>
      </c>
      <c r="I175" s="11">
        <v>13227.75</v>
      </c>
      <c r="J175" s="11">
        <f>VLOOKUP(B175,'Jul 26'!B:G,6,FALSE)</f>
        <v>6614</v>
      </c>
      <c r="K175" s="11">
        <v>0</v>
      </c>
      <c r="L175" s="11">
        <f t="shared" si="30"/>
        <v>0</v>
      </c>
    </row>
    <row r="176" spans="1:12" ht="16.5" thickTop="1" thickBot="1" x14ac:dyDescent="0.3">
      <c r="A176" s="5" t="s">
        <v>190</v>
      </c>
      <c r="B176" s="6">
        <v>84246</v>
      </c>
      <c r="C176" s="7" t="s">
        <v>21</v>
      </c>
      <c r="D176" s="39">
        <v>45995</v>
      </c>
      <c r="E176" s="39" t="str">
        <f>VLOOKUP(B176,'[1]Pre Production'!$B:$E,4,FALSE)</f>
        <v>Pre-Production</v>
      </c>
      <c r="F176" s="39" t="s">
        <v>13</v>
      </c>
      <c r="G176" s="9">
        <v>17115</v>
      </c>
      <c r="H176" s="10">
        <f t="shared" si="31"/>
        <v>17115</v>
      </c>
      <c r="I176" s="11">
        <v>34230</v>
      </c>
      <c r="J176" s="11">
        <f>VLOOKUP(B176,'Jul 26'!B:G,6,FALSE)</f>
        <v>17115</v>
      </c>
      <c r="K176" s="11">
        <v>0</v>
      </c>
      <c r="L176" s="11">
        <f t="shared" si="30"/>
        <v>0</v>
      </c>
    </row>
    <row r="177" spans="1:12" ht="16.5" thickTop="1" thickBot="1" x14ac:dyDescent="0.3">
      <c r="A177" s="5" t="s">
        <v>676</v>
      </c>
      <c r="B177" s="6">
        <v>90686</v>
      </c>
      <c r="C177" s="7" t="s">
        <v>11</v>
      </c>
      <c r="D177" s="39">
        <v>46162</v>
      </c>
      <c r="E177" s="39">
        <f>VLOOKUP(B177,[1]Production!$B:$E,4,FALSE)</f>
        <v>46191</v>
      </c>
      <c r="F177" s="49">
        <v>46245</v>
      </c>
      <c r="G177" s="45">
        <v>0</v>
      </c>
      <c r="H177" s="58">
        <v>0</v>
      </c>
      <c r="I177" s="59">
        <v>0</v>
      </c>
      <c r="J177" s="59">
        <f>VLOOKUP(B177,'Jul 26'!B:G,6,FALSE)</f>
        <v>10685.52</v>
      </c>
      <c r="K177" s="59">
        <f>J177-G177</f>
        <v>10685.52</v>
      </c>
      <c r="L177" s="59" t="s">
        <v>791</v>
      </c>
    </row>
    <row r="178" spans="1:12" ht="16.5" thickTop="1" thickBot="1" x14ac:dyDescent="0.3">
      <c r="A178" s="5" t="s">
        <v>100</v>
      </c>
      <c r="B178" s="81">
        <v>84221</v>
      </c>
      <c r="C178" s="82" t="s">
        <v>58</v>
      </c>
      <c r="D178" s="49">
        <v>45863</v>
      </c>
      <c r="E178" s="49">
        <f>VLOOKUP(B178,[1]Production!$B:$E,4,FALSE)</f>
        <v>46177</v>
      </c>
      <c r="F178" s="49">
        <v>46259</v>
      </c>
      <c r="G178" s="45">
        <v>0</v>
      </c>
      <c r="H178" s="58">
        <v>0</v>
      </c>
      <c r="I178" s="59">
        <v>0</v>
      </c>
      <c r="J178" s="59">
        <f>VLOOKUP(B178,'Jul 26'!B:G,6,FALSE)</f>
        <v>264658</v>
      </c>
      <c r="K178" s="59">
        <f>IF(G178=0,J178-G178,0)</f>
        <v>264658</v>
      </c>
      <c r="L178" s="59" t="s">
        <v>791</v>
      </c>
    </row>
    <row r="179" spans="1:12" ht="16.5" thickTop="1" thickBot="1" x14ac:dyDescent="0.3">
      <c r="A179" s="5" t="s">
        <v>325</v>
      </c>
      <c r="B179" s="6">
        <v>87450</v>
      </c>
      <c r="C179" s="7" t="s">
        <v>327</v>
      </c>
      <c r="D179" s="39">
        <v>46073</v>
      </c>
      <c r="E179" s="39" t="str">
        <f>VLOOKUP(B179,'[1]Pre Production'!$B:$E,4,FALSE)</f>
        <v>Pre-Production</v>
      </c>
      <c r="F179" s="39" t="s">
        <v>13</v>
      </c>
      <c r="G179" s="9">
        <v>9898</v>
      </c>
      <c r="H179" s="10">
        <f>I179-G179</f>
        <v>29693</v>
      </c>
      <c r="I179" s="11">
        <v>39591</v>
      </c>
      <c r="J179" s="11">
        <f>VLOOKUP(B179,'Jul 26'!B:G,6,FALSE)</f>
        <v>9898</v>
      </c>
      <c r="K179" s="11">
        <v>0</v>
      </c>
      <c r="L179" s="11">
        <f>G179-J179</f>
        <v>0</v>
      </c>
    </row>
    <row r="180" spans="1:12" ht="16.5" thickTop="1" thickBot="1" x14ac:dyDescent="0.3">
      <c r="A180" s="5" t="s">
        <v>695</v>
      </c>
      <c r="B180" s="6">
        <v>89137</v>
      </c>
      <c r="C180" s="7" t="s">
        <v>697</v>
      </c>
      <c r="D180" s="39">
        <v>46171</v>
      </c>
      <c r="E180" s="39">
        <f>VLOOKUP(B180,[1]Production!$B:$E,4,FALSE)</f>
        <v>46197</v>
      </c>
      <c r="F180" s="49">
        <v>46245</v>
      </c>
      <c r="G180" s="45">
        <v>0</v>
      </c>
      <c r="H180" s="58">
        <v>0</v>
      </c>
      <c r="I180" s="59">
        <v>0</v>
      </c>
      <c r="J180" s="59">
        <f>VLOOKUP(B180,'Jul 26'!B:G,6,FALSE)</f>
        <v>17698</v>
      </c>
      <c r="K180" s="59">
        <f>J180-G180</f>
        <v>17698</v>
      </c>
      <c r="L180" s="59" t="s">
        <v>791</v>
      </c>
    </row>
    <row r="181" spans="1:12" ht="16.5" thickTop="1" thickBot="1" x14ac:dyDescent="0.3">
      <c r="A181" s="5" t="s">
        <v>691</v>
      </c>
      <c r="B181" s="6">
        <v>90031</v>
      </c>
      <c r="C181" s="7" t="s">
        <v>14</v>
      </c>
      <c r="D181" s="39">
        <v>46170</v>
      </c>
      <c r="E181" s="39">
        <f>VLOOKUP(B181,[1]Production!$B:$E,4,FALSE)</f>
        <v>46217</v>
      </c>
      <c r="F181" s="39" t="str">
        <f>VLOOKUP(B181,[1]Production!$B:$F,5,FALSE)</f>
        <v>Coating</v>
      </c>
      <c r="G181" s="9">
        <v>80668</v>
      </c>
      <c r="H181" s="10">
        <f t="shared" ref="H181:H220" si="32">I181-G181</f>
        <v>84600</v>
      </c>
      <c r="I181" s="11">
        <v>165268</v>
      </c>
      <c r="J181" s="11">
        <f>VLOOKUP(B181,'Jul 26'!B:G,6,FALSE)</f>
        <v>80668</v>
      </c>
      <c r="K181" s="11"/>
      <c r="L181" s="11">
        <f t="shared" ref="L181:L199" si="33">G181-J181</f>
        <v>0</v>
      </c>
    </row>
    <row r="182" spans="1:12" ht="16.5" thickTop="1" thickBot="1" x14ac:dyDescent="0.3">
      <c r="A182" s="5" t="s">
        <v>333</v>
      </c>
      <c r="B182" s="6">
        <v>86704</v>
      </c>
      <c r="C182" s="7" t="s">
        <v>33</v>
      </c>
      <c r="D182" s="39">
        <v>46076</v>
      </c>
      <c r="E182" s="39" t="str">
        <f>VLOOKUP(B182,'[1]Pre Production'!$B:$E,4,FALSE)</f>
        <v>Pre-Production</v>
      </c>
      <c r="F182" s="39" t="s">
        <v>13</v>
      </c>
      <c r="G182" s="9">
        <v>90025</v>
      </c>
      <c r="H182" s="10">
        <f t="shared" si="32"/>
        <v>90024</v>
      </c>
      <c r="I182" s="11">
        <v>180049</v>
      </c>
      <c r="J182" s="11">
        <f>VLOOKUP(B182,'Jul 26'!B:G,6,FALSE)</f>
        <v>90025</v>
      </c>
      <c r="K182" s="11">
        <v>0</v>
      </c>
      <c r="L182" s="11">
        <f t="shared" si="33"/>
        <v>0</v>
      </c>
    </row>
    <row r="183" spans="1:12" ht="16.5" thickTop="1" thickBot="1" x14ac:dyDescent="0.3">
      <c r="A183" s="5" t="s">
        <v>715</v>
      </c>
      <c r="B183" s="6">
        <v>87035</v>
      </c>
      <c r="C183" s="7" t="s">
        <v>14</v>
      </c>
      <c r="D183" s="39">
        <v>46182</v>
      </c>
      <c r="E183" s="39" t="str">
        <f>VLOOKUP(B183,'[1]Pre Production'!$B:$E,4,FALSE)</f>
        <v>Pre-Production</v>
      </c>
      <c r="F183" s="39" t="s">
        <v>13</v>
      </c>
      <c r="G183" s="9">
        <v>48949</v>
      </c>
      <c r="H183" s="10">
        <f t="shared" si="32"/>
        <v>48948</v>
      </c>
      <c r="I183" s="11">
        <v>97897</v>
      </c>
      <c r="J183" s="11">
        <f>VLOOKUP(B183,'Jul 26'!B:G,6,FALSE)</f>
        <v>48949</v>
      </c>
      <c r="K183" s="11">
        <v>0</v>
      </c>
      <c r="L183" s="11">
        <f t="shared" si="33"/>
        <v>0</v>
      </c>
    </row>
    <row r="184" spans="1:12" ht="16.5" thickTop="1" thickBot="1" x14ac:dyDescent="0.3">
      <c r="A184" s="5" t="s">
        <v>783</v>
      </c>
      <c r="B184" s="6">
        <v>91683</v>
      </c>
      <c r="C184" s="7" t="s">
        <v>23</v>
      </c>
      <c r="D184" s="39">
        <v>46231</v>
      </c>
      <c r="E184" s="39" t="str">
        <f>VLOOKUP(B184,'[1]Pre Production'!$B:$E,4,FALSE)</f>
        <v>Pre-Production</v>
      </c>
      <c r="F184" s="39" t="s">
        <v>13</v>
      </c>
      <c r="G184" s="9">
        <v>20825</v>
      </c>
      <c r="H184" s="10">
        <f t="shared" si="32"/>
        <v>20824.43</v>
      </c>
      <c r="I184" s="11">
        <v>41649.43</v>
      </c>
      <c r="J184" s="11">
        <f>VLOOKUP(B184,'Jul 26'!B:G,6,FALSE)</f>
        <v>20825</v>
      </c>
      <c r="K184" s="11">
        <v>0</v>
      </c>
      <c r="L184" s="11">
        <f t="shared" si="33"/>
        <v>0</v>
      </c>
    </row>
    <row r="185" spans="1:12" ht="16.5" thickTop="1" thickBot="1" x14ac:dyDescent="0.3">
      <c r="A185" s="5" t="s">
        <v>792</v>
      </c>
      <c r="B185" s="6">
        <v>92121</v>
      </c>
      <c r="C185" s="7" t="s">
        <v>20</v>
      </c>
      <c r="D185" s="39">
        <v>46237</v>
      </c>
      <c r="E185" s="39" t="s">
        <v>13</v>
      </c>
      <c r="F185" s="39" t="s">
        <v>13</v>
      </c>
      <c r="G185" s="9">
        <v>30970.43</v>
      </c>
      <c r="H185" s="10">
        <f t="shared" si="32"/>
        <v>0</v>
      </c>
      <c r="I185" s="11">
        <v>30970.43</v>
      </c>
      <c r="J185" s="11">
        <v>0</v>
      </c>
      <c r="K185" s="11">
        <v>0</v>
      </c>
      <c r="L185" s="11">
        <f t="shared" si="33"/>
        <v>30970.43</v>
      </c>
    </row>
    <row r="186" spans="1:12" ht="16.5" thickTop="1" thickBot="1" x14ac:dyDescent="0.3">
      <c r="A186" s="5" t="s">
        <v>793</v>
      </c>
      <c r="B186" s="6">
        <v>91310</v>
      </c>
      <c r="C186" s="7" t="s">
        <v>23</v>
      </c>
      <c r="D186" s="39">
        <v>46237</v>
      </c>
      <c r="E186" s="39" t="s">
        <v>13</v>
      </c>
      <c r="F186" s="39" t="s">
        <v>13</v>
      </c>
      <c r="G186" s="9">
        <v>57000</v>
      </c>
      <c r="H186" s="10">
        <f t="shared" si="32"/>
        <v>44719.91</v>
      </c>
      <c r="I186" s="11">
        <v>101719.91</v>
      </c>
      <c r="J186" s="11">
        <v>0</v>
      </c>
      <c r="K186" s="11">
        <v>0</v>
      </c>
      <c r="L186" s="11">
        <f t="shared" si="33"/>
        <v>57000</v>
      </c>
    </row>
    <row r="187" spans="1:12" ht="16.5" thickTop="1" thickBot="1" x14ac:dyDescent="0.3">
      <c r="A187" s="5" t="s">
        <v>794</v>
      </c>
      <c r="B187" s="6">
        <v>91108</v>
      </c>
      <c r="C187" s="7" t="s">
        <v>31</v>
      </c>
      <c r="D187" s="39">
        <v>46238</v>
      </c>
      <c r="E187" s="39" t="s">
        <v>13</v>
      </c>
      <c r="F187" s="39" t="s">
        <v>13</v>
      </c>
      <c r="G187" s="9">
        <v>5016.6099999999997</v>
      </c>
      <c r="H187" s="10">
        <f t="shared" si="32"/>
        <v>5016.5999999999995</v>
      </c>
      <c r="I187" s="11">
        <v>10033.209999999999</v>
      </c>
      <c r="J187" s="11">
        <v>0</v>
      </c>
      <c r="K187" s="11">
        <v>0</v>
      </c>
      <c r="L187" s="11">
        <f t="shared" si="33"/>
        <v>5016.6099999999997</v>
      </c>
    </row>
    <row r="188" spans="1:12" ht="16.5" thickTop="1" thickBot="1" x14ac:dyDescent="0.3">
      <c r="A188" s="5" t="s">
        <v>795</v>
      </c>
      <c r="B188" s="6">
        <v>90778</v>
      </c>
      <c r="C188" s="7" t="s">
        <v>572</v>
      </c>
      <c r="D188" s="39">
        <v>46238</v>
      </c>
      <c r="E188" s="39" t="s">
        <v>13</v>
      </c>
      <c r="F188" s="39" t="s">
        <v>13</v>
      </c>
      <c r="G188" s="9">
        <v>7737.76</v>
      </c>
      <c r="H188" s="10">
        <f t="shared" si="32"/>
        <v>7737.9499999999989</v>
      </c>
      <c r="I188" s="11">
        <v>15475.71</v>
      </c>
      <c r="J188" s="11">
        <v>0</v>
      </c>
      <c r="K188" s="11">
        <v>0</v>
      </c>
      <c r="L188" s="11">
        <f t="shared" si="33"/>
        <v>7737.76</v>
      </c>
    </row>
    <row r="189" spans="1:12" ht="16.5" thickTop="1" thickBot="1" x14ac:dyDescent="0.3">
      <c r="A189" s="5" t="s">
        <v>796</v>
      </c>
      <c r="B189" s="6">
        <v>91869</v>
      </c>
      <c r="C189" s="7" t="s">
        <v>23</v>
      </c>
      <c r="D189" s="39">
        <v>46238</v>
      </c>
      <c r="E189" s="39" t="s">
        <v>13</v>
      </c>
      <c r="F189" s="39" t="s">
        <v>13</v>
      </c>
      <c r="G189" s="9">
        <f>1286.81-12.87</f>
        <v>1273.94</v>
      </c>
      <c r="H189" s="10">
        <f t="shared" si="32"/>
        <v>1299.67</v>
      </c>
      <c r="I189" s="11">
        <v>2573.61</v>
      </c>
      <c r="J189" s="11">
        <v>0</v>
      </c>
      <c r="K189" s="11">
        <v>0</v>
      </c>
      <c r="L189" s="11">
        <f t="shared" si="33"/>
        <v>1273.94</v>
      </c>
    </row>
    <row r="190" spans="1:12" ht="16.5" thickTop="1" thickBot="1" x14ac:dyDescent="0.3">
      <c r="A190" s="5" t="s">
        <v>797</v>
      </c>
      <c r="B190" s="6">
        <v>90766</v>
      </c>
      <c r="C190" s="7" t="s">
        <v>16</v>
      </c>
      <c r="D190" s="39">
        <v>46239</v>
      </c>
      <c r="E190" s="39" t="s">
        <v>13</v>
      </c>
      <c r="F190" s="39" t="s">
        <v>13</v>
      </c>
      <c r="G190" s="9">
        <v>32000</v>
      </c>
      <c r="H190" s="10">
        <f t="shared" si="32"/>
        <v>26724.79</v>
      </c>
      <c r="I190" s="11">
        <v>58724.79</v>
      </c>
      <c r="J190" s="11">
        <v>0</v>
      </c>
      <c r="K190" s="11">
        <v>0</v>
      </c>
      <c r="L190" s="11">
        <f t="shared" si="33"/>
        <v>32000</v>
      </c>
    </row>
    <row r="191" spans="1:12" ht="16.5" thickTop="1" thickBot="1" x14ac:dyDescent="0.3">
      <c r="A191" s="5" t="s">
        <v>798</v>
      </c>
      <c r="B191" s="6">
        <v>91450</v>
      </c>
      <c r="C191" s="7" t="s">
        <v>21</v>
      </c>
      <c r="D191" s="39">
        <v>46239</v>
      </c>
      <c r="E191" s="39" t="s">
        <v>13</v>
      </c>
      <c r="F191" s="39" t="s">
        <v>13</v>
      </c>
      <c r="G191" s="9">
        <v>6012.76</v>
      </c>
      <c r="H191" s="10">
        <f t="shared" si="32"/>
        <v>6012.76</v>
      </c>
      <c r="I191" s="11">
        <v>12025.52</v>
      </c>
      <c r="J191" s="11">
        <v>0</v>
      </c>
      <c r="K191" s="11">
        <v>0</v>
      </c>
      <c r="L191" s="11">
        <f t="shared" si="33"/>
        <v>6012.76</v>
      </c>
    </row>
    <row r="192" spans="1:12" ht="16.5" thickTop="1" thickBot="1" x14ac:dyDescent="0.3">
      <c r="A192" s="5" t="s">
        <v>799</v>
      </c>
      <c r="B192" s="6">
        <v>91695</v>
      </c>
      <c r="C192" s="7" t="s">
        <v>21</v>
      </c>
      <c r="D192" s="39">
        <v>46239</v>
      </c>
      <c r="E192" s="39" t="s">
        <v>13</v>
      </c>
      <c r="F192" s="39" t="s">
        <v>13</v>
      </c>
      <c r="G192" s="9">
        <v>6413.27</v>
      </c>
      <c r="H192" s="10">
        <f t="shared" si="32"/>
        <v>6511.4399999999987</v>
      </c>
      <c r="I192" s="11">
        <v>12924.71</v>
      </c>
      <c r="J192" s="11">
        <v>0</v>
      </c>
      <c r="K192" s="11">
        <v>0</v>
      </c>
      <c r="L192" s="11">
        <f t="shared" si="33"/>
        <v>6413.27</v>
      </c>
    </row>
    <row r="193" spans="1:12" ht="16.5" thickTop="1" thickBot="1" x14ac:dyDescent="0.3">
      <c r="A193" s="5" t="s">
        <v>800</v>
      </c>
      <c r="B193" s="6">
        <v>87745</v>
      </c>
      <c r="C193" s="7" t="s">
        <v>23</v>
      </c>
      <c r="D193" s="39">
        <v>46240</v>
      </c>
      <c r="E193" s="39" t="s">
        <v>13</v>
      </c>
      <c r="F193" s="39" t="s">
        <v>13</v>
      </c>
      <c r="G193" s="9">
        <v>26051.25</v>
      </c>
      <c r="H193" s="10">
        <f t="shared" si="32"/>
        <v>26051.25</v>
      </c>
      <c r="I193" s="11">
        <v>52102.5</v>
      </c>
      <c r="J193" s="11">
        <v>0</v>
      </c>
      <c r="K193" s="11">
        <v>0</v>
      </c>
      <c r="L193" s="11">
        <f t="shared" si="33"/>
        <v>26051.25</v>
      </c>
    </row>
    <row r="194" spans="1:12" ht="16.5" thickTop="1" thickBot="1" x14ac:dyDescent="0.3">
      <c r="A194" s="5" t="s">
        <v>801</v>
      </c>
      <c r="B194" s="6">
        <v>83756</v>
      </c>
      <c r="C194" s="7" t="s">
        <v>38</v>
      </c>
      <c r="D194" s="39">
        <v>46241</v>
      </c>
      <c r="E194" s="39" t="s">
        <v>13</v>
      </c>
      <c r="F194" s="39" t="s">
        <v>13</v>
      </c>
      <c r="G194" s="9">
        <v>14979.06</v>
      </c>
      <c r="H194" s="10">
        <f t="shared" si="32"/>
        <v>14679.06</v>
      </c>
      <c r="I194" s="11">
        <v>29658.12</v>
      </c>
      <c r="J194" s="11">
        <v>0</v>
      </c>
      <c r="K194" s="11">
        <v>0</v>
      </c>
      <c r="L194" s="11">
        <f t="shared" si="33"/>
        <v>14979.06</v>
      </c>
    </row>
    <row r="195" spans="1:12" ht="16.5" thickTop="1" thickBot="1" x14ac:dyDescent="0.3">
      <c r="A195" s="5" t="s">
        <v>802</v>
      </c>
      <c r="B195" s="6">
        <v>91452</v>
      </c>
      <c r="C195" s="7" t="s">
        <v>21</v>
      </c>
      <c r="D195" s="39">
        <v>46244</v>
      </c>
      <c r="E195" s="39" t="s">
        <v>13</v>
      </c>
      <c r="F195" s="39" t="s">
        <v>13</v>
      </c>
      <c r="G195" s="9">
        <v>8633.7900000000009</v>
      </c>
      <c r="H195" s="10">
        <f t="shared" si="32"/>
        <v>8633.7900000000009</v>
      </c>
      <c r="I195" s="11">
        <v>17267.580000000002</v>
      </c>
      <c r="J195" s="11">
        <v>0</v>
      </c>
      <c r="K195" s="11">
        <v>0</v>
      </c>
      <c r="L195" s="11">
        <f t="shared" si="33"/>
        <v>8633.7900000000009</v>
      </c>
    </row>
    <row r="196" spans="1:12" ht="16.5" thickTop="1" thickBot="1" x14ac:dyDescent="0.3">
      <c r="A196" s="5" t="s">
        <v>803</v>
      </c>
      <c r="B196" s="6">
        <v>89690</v>
      </c>
      <c r="C196" s="7" t="s">
        <v>14</v>
      </c>
      <c r="D196" s="39">
        <v>46245</v>
      </c>
      <c r="E196" s="39" t="s">
        <v>13</v>
      </c>
      <c r="F196" s="39" t="s">
        <v>13</v>
      </c>
      <c r="G196" s="9">
        <v>13551.62</v>
      </c>
      <c r="H196" s="10">
        <f t="shared" si="32"/>
        <v>13551.62</v>
      </c>
      <c r="I196" s="11">
        <v>27103.24</v>
      </c>
      <c r="J196" s="11">
        <v>0</v>
      </c>
      <c r="K196" s="11">
        <v>0</v>
      </c>
      <c r="L196" s="11">
        <f t="shared" si="33"/>
        <v>13551.62</v>
      </c>
    </row>
    <row r="197" spans="1:12" ht="16.5" thickTop="1" thickBot="1" x14ac:dyDescent="0.3">
      <c r="A197" s="5" t="s">
        <v>804</v>
      </c>
      <c r="B197" s="6">
        <v>88405</v>
      </c>
      <c r="C197" s="7" t="s">
        <v>11</v>
      </c>
      <c r="D197" s="39">
        <v>46245</v>
      </c>
      <c r="E197" s="39" t="s">
        <v>13</v>
      </c>
      <c r="F197" s="39" t="s">
        <v>13</v>
      </c>
      <c r="G197" s="9">
        <v>2877.11</v>
      </c>
      <c r="H197" s="10">
        <f t="shared" si="32"/>
        <v>2877.11</v>
      </c>
      <c r="I197" s="11">
        <v>5754.22</v>
      </c>
      <c r="J197" s="11">
        <v>0</v>
      </c>
      <c r="K197" s="11">
        <v>0</v>
      </c>
      <c r="L197" s="11">
        <f t="shared" si="33"/>
        <v>2877.11</v>
      </c>
    </row>
    <row r="198" spans="1:12" ht="16.5" thickTop="1" thickBot="1" x14ac:dyDescent="0.3">
      <c r="A198" s="5" t="s">
        <v>805</v>
      </c>
      <c r="B198" s="6">
        <v>92249</v>
      </c>
      <c r="C198" s="7" t="s">
        <v>21</v>
      </c>
      <c r="D198" s="39">
        <v>46247</v>
      </c>
      <c r="E198" s="39" t="s">
        <v>13</v>
      </c>
      <c r="F198" s="39" t="s">
        <v>13</v>
      </c>
      <c r="G198" s="9">
        <v>4709.72</v>
      </c>
      <c r="H198" s="10">
        <f t="shared" si="32"/>
        <v>4781.9899999999989</v>
      </c>
      <c r="I198" s="11">
        <v>9491.7099999999991</v>
      </c>
      <c r="J198" s="11">
        <v>0</v>
      </c>
      <c r="K198" s="11">
        <v>0</v>
      </c>
      <c r="L198" s="11">
        <f t="shared" si="33"/>
        <v>4709.72</v>
      </c>
    </row>
    <row r="199" spans="1:12" ht="16.5" thickTop="1" thickBot="1" x14ac:dyDescent="0.3">
      <c r="A199" s="5" t="s">
        <v>806</v>
      </c>
      <c r="B199" s="6">
        <v>92246</v>
      </c>
      <c r="C199" s="7" t="s">
        <v>57</v>
      </c>
      <c r="D199" s="39">
        <v>46247</v>
      </c>
      <c r="E199" s="39" t="s">
        <v>13</v>
      </c>
      <c r="F199" s="39" t="s">
        <v>13</v>
      </c>
      <c r="G199" s="9">
        <v>10549.85</v>
      </c>
      <c r="H199" s="10">
        <f t="shared" si="32"/>
        <v>10549.839999999998</v>
      </c>
      <c r="I199" s="11">
        <v>21099.69</v>
      </c>
      <c r="J199" s="11">
        <v>0</v>
      </c>
      <c r="K199" s="11">
        <v>0</v>
      </c>
      <c r="L199" s="11">
        <f t="shared" si="33"/>
        <v>10549.85</v>
      </c>
    </row>
    <row r="200" spans="1:12" ht="16.5" thickTop="1" thickBot="1" x14ac:dyDescent="0.3">
      <c r="A200" s="5" t="s">
        <v>808</v>
      </c>
      <c r="B200" s="6">
        <v>89234</v>
      </c>
      <c r="C200" s="7" t="s">
        <v>370</v>
      </c>
      <c r="D200" s="39">
        <v>46251</v>
      </c>
      <c r="E200" s="39" t="s">
        <v>13</v>
      </c>
      <c r="F200" s="39" t="s">
        <v>13</v>
      </c>
      <c r="G200" s="9">
        <v>16397.27</v>
      </c>
      <c r="H200" s="10">
        <f t="shared" si="32"/>
        <v>16397.259999999998</v>
      </c>
      <c r="I200" s="11">
        <v>32794.53</v>
      </c>
      <c r="J200" s="11">
        <v>0</v>
      </c>
      <c r="K200" s="11">
        <v>0</v>
      </c>
      <c r="L200" s="11">
        <f t="shared" ref="L200:L212" si="34">G200-J200</f>
        <v>16397.27</v>
      </c>
    </row>
    <row r="201" spans="1:12" ht="16.5" thickTop="1" thickBot="1" x14ac:dyDescent="0.3">
      <c r="A201" s="5" t="s">
        <v>809</v>
      </c>
      <c r="B201" s="6">
        <v>91342</v>
      </c>
      <c r="C201" s="7" t="s">
        <v>40</v>
      </c>
      <c r="D201" s="39">
        <v>46251</v>
      </c>
      <c r="E201" s="39" t="s">
        <v>13</v>
      </c>
      <c r="F201" s="39" t="s">
        <v>13</v>
      </c>
      <c r="G201" s="9">
        <v>8404.57</v>
      </c>
      <c r="H201" s="10">
        <f t="shared" si="32"/>
        <v>8404.5600000000013</v>
      </c>
      <c r="I201" s="11">
        <v>16809.13</v>
      </c>
      <c r="J201" s="11">
        <v>0</v>
      </c>
      <c r="K201" s="11">
        <v>0</v>
      </c>
      <c r="L201" s="11">
        <f t="shared" si="34"/>
        <v>8404.57</v>
      </c>
    </row>
    <row r="202" spans="1:12" ht="16.5" thickTop="1" thickBot="1" x14ac:dyDescent="0.3">
      <c r="A202" s="5" t="s">
        <v>810</v>
      </c>
      <c r="B202" s="6">
        <v>86644</v>
      </c>
      <c r="C202" s="7" t="s">
        <v>14</v>
      </c>
      <c r="D202" s="39">
        <v>46251</v>
      </c>
      <c r="E202" s="39" t="s">
        <v>13</v>
      </c>
      <c r="F202" s="39" t="s">
        <v>13</v>
      </c>
      <c r="G202" s="9">
        <v>17211.11</v>
      </c>
      <c r="H202" s="10">
        <f t="shared" si="32"/>
        <v>17211.099999999999</v>
      </c>
      <c r="I202" s="11">
        <v>34422.21</v>
      </c>
      <c r="J202" s="11">
        <v>0</v>
      </c>
      <c r="K202" s="11">
        <v>0</v>
      </c>
      <c r="L202" s="11">
        <f t="shared" si="34"/>
        <v>17211.11</v>
      </c>
    </row>
    <row r="203" spans="1:12" ht="16.5" thickTop="1" thickBot="1" x14ac:dyDescent="0.3">
      <c r="A203" s="5" t="s">
        <v>811</v>
      </c>
      <c r="B203" s="6">
        <v>92257</v>
      </c>
      <c r="C203" s="7" t="s">
        <v>21</v>
      </c>
      <c r="D203" s="39">
        <v>46251</v>
      </c>
      <c r="E203" s="39" t="s">
        <v>13</v>
      </c>
      <c r="F203" s="39" t="s">
        <v>13</v>
      </c>
      <c r="G203" s="9">
        <v>45000</v>
      </c>
      <c r="H203" s="10">
        <f t="shared" si="32"/>
        <v>44215.25</v>
      </c>
      <c r="I203" s="11">
        <v>89215.25</v>
      </c>
      <c r="J203" s="11">
        <v>0</v>
      </c>
      <c r="K203" s="11">
        <v>0</v>
      </c>
      <c r="L203" s="11">
        <f t="shared" si="34"/>
        <v>45000</v>
      </c>
    </row>
    <row r="204" spans="1:12" ht="16.5" thickTop="1" thickBot="1" x14ac:dyDescent="0.3">
      <c r="A204" s="5" t="s">
        <v>812</v>
      </c>
      <c r="B204" s="6">
        <v>84176</v>
      </c>
      <c r="C204" s="7" t="s">
        <v>14</v>
      </c>
      <c r="D204" s="39">
        <v>46251</v>
      </c>
      <c r="E204" s="39" t="s">
        <v>13</v>
      </c>
      <c r="F204" s="39" t="s">
        <v>13</v>
      </c>
      <c r="G204" s="9">
        <v>39098.199999999997</v>
      </c>
      <c r="H204" s="10">
        <f t="shared" si="32"/>
        <v>39098.19</v>
      </c>
      <c r="I204" s="11">
        <v>78196.39</v>
      </c>
      <c r="J204" s="11">
        <v>0</v>
      </c>
      <c r="K204" s="11">
        <v>0</v>
      </c>
      <c r="L204" s="11">
        <f t="shared" si="34"/>
        <v>39098.199999999997</v>
      </c>
    </row>
    <row r="205" spans="1:12" ht="16.5" thickTop="1" thickBot="1" x14ac:dyDescent="0.3">
      <c r="A205" s="5" t="s">
        <v>813</v>
      </c>
      <c r="B205" s="6">
        <v>92314</v>
      </c>
      <c r="C205" s="7" t="s">
        <v>21</v>
      </c>
      <c r="D205" s="39">
        <v>46253</v>
      </c>
      <c r="E205" s="39" t="s">
        <v>13</v>
      </c>
      <c r="F205" s="39" t="s">
        <v>13</v>
      </c>
      <c r="G205" s="9">
        <v>14518.74</v>
      </c>
      <c r="H205" s="10">
        <f t="shared" si="32"/>
        <v>14518.74</v>
      </c>
      <c r="I205" s="11">
        <v>29037.48</v>
      </c>
      <c r="J205" s="11">
        <v>0</v>
      </c>
      <c r="K205" s="11">
        <v>0</v>
      </c>
      <c r="L205" s="11">
        <f t="shared" si="34"/>
        <v>14518.74</v>
      </c>
    </row>
    <row r="206" spans="1:12" ht="16.5" thickTop="1" thickBot="1" x14ac:dyDescent="0.3">
      <c r="A206" s="5" t="s">
        <v>814</v>
      </c>
      <c r="B206" s="6">
        <v>92310</v>
      </c>
      <c r="C206" s="7" t="s">
        <v>23</v>
      </c>
      <c r="D206" s="39">
        <v>46253</v>
      </c>
      <c r="E206" s="39" t="s">
        <v>13</v>
      </c>
      <c r="F206" s="39" t="s">
        <v>13</v>
      </c>
      <c r="G206" s="9">
        <v>13512.99</v>
      </c>
      <c r="H206" s="10">
        <f t="shared" si="32"/>
        <v>13512.99</v>
      </c>
      <c r="I206" s="11">
        <v>27025.98</v>
      </c>
      <c r="J206" s="11">
        <v>0</v>
      </c>
      <c r="K206" s="11">
        <v>0</v>
      </c>
      <c r="L206" s="11">
        <f t="shared" si="34"/>
        <v>13512.99</v>
      </c>
    </row>
    <row r="207" spans="1:12" ht="16.5" thickTop="1" thickBot="1" x14ac:dyDescent="0.3">
      <c r="A207" s="5" t="s">
        <v>815</v>
      </c>
      <c r="B207" s="6">
        <v>92250</v>
      </c>
      <c r="C207" s="7" t="s">
        <v>23</v>
      </c>
      <c r="D207" s="39">
        <v>46253</v>
      </c>
      <c r="E207" s="39" t="s">
        <v>13</v>
      </c>
      <c r="F207" s="39" t="s">
        <v>13</v>
      </c>
      <c r="G207" s="9">
        <f>3977.37-39.77</f>
        <v>3937.6</v>
      </c>
      <c r="H207" s="10">
        <f t="shared" si="32"/>
        <v>4017.14</v>
      </c>
      <c r="I207" s="11">
        <v>7954.74</v>
      </c>
      <c r="J207" s="11">
        <v>0</v>
      </c>
      <c r="K207" s="11">
        <v>0</v>
      </c>
      <c r="L207" s="11">
        <f t="shared" si="34"/>
        <v>3937.6</v>
      </c>
    </row>
    <row r="208" spans="1:12" ht="16.5" thickTop="1" thickBot="1" x14ac:dyDescent="0.3">
      <c r="A208" s="5" t="s">
        <v>816</v>
      </c>
      <c r="B208" s="6">
        <v>91561</v>
      </c>
      <c r="C208" s="7" t="s">
        <v>23</v>
      </c>
      <c r="D208" s="39">
        <v>46254</v>
      </c>
      <c r="E208" s="39" t="s">
        <v>13</v>
      </c>
      <c r="F208" s="39" t="s">
        <v>13</v>
      </c>
      <c r="G208" s="9">
        <v>10289.43</v>
      </c>
      <c r="H208" s="10">
        <f t="shared" si="32"/>
        <v>10289.439999999999</v>
      </c>
      <c r="I208" s="11">
        <v>20578.87</v>
      </c>
      <c r="J208" s="11">
        <v>0</v>
      </c>
      <c r="K208" s="11">
        <v>0</v>
      </c>
      <c r="L208" s="11">
        <f t="shared" si="34"/>
        <v>10289.43</v>
      </c>
    </row>
    <row r="209" spans="1:12" ht="16.5" thickTop="1" thickBot="1" x14ac:dyDescent="0.3">
      <c r="A209" s="5" t="s">
        <v>817</v>
      </c>
      <c r="B209" s="6">
        <v>91457</v>
      </c>
      <c r="C209" s="7" t="s">
        <v>21</v>
      </c>
      <c r="D209" s="39">
        <v>46254</v>
      </c>
      <c r="E209" s="39" t="s">
        <v>13</v>
      </c>
      <c r="F209" s="39" t="s">
        <v>13</v>
      </c>
      <c r="G209" s="9">
        <v>14380</v>
      </c>
      <c r="H209" s="10">
        <f t="shared" si="32"/>
        <v>14490.8</v>
      </c>
      <c r="I209" s="11">
        <v>28870.799999999999</v>
      </c>
      <c r="J209" s="11">
        <v>0</v>
      </c>
      <c r="K209" s="11">
        <v>0</v>
      </c>
      <c r="L209" s="11">
        <f t="shared" si="34"/>
        <v>14380</v>
      </c>
    </row>
    <row r="210" spans="1:12" ht="16.5" thickTop="1" thickBot="1" x14ac:dyDescent="0.3">
      <c r="A210" s="5" t="s">
        <v>818</v>
      </c>
      <c r="B210" s="6">
        <v>91603</v>
      </c>
      <c r="C210" s="7" t="s">
        <v>821</v>
      </c>
      <c r="D210" s="39">
        <v>46255</v>
      </c>
      <c r="E210" s="39" t="s">
        <v>13</v>
      </c>
      <c r="F210" s="39" t="s">
        <v>13</v>
      </c>
      <c r="G210" s="9">
        <v>29226</v>
      </c>
      <c r="H210" s="10">
        <f t="shared" si="32"/>
        <v>29224.989999999998</v>
      </c>
      <c r="I210" s="11">
        <v>58450.99</v>
      </c>
      <c r="J210" s="11">
        <v>0</v>
      </c>
      <c r="K210" s="11">
        <v>0</v>
      </c>
      <c r="L210" s="11">
        <f t="shared" si="34"/>
        <v>29226</v>
      </c>
    </row>
    <row r="211" spans="1:12" ht="16.5" thickTop="1" thickBot="1" x14ac:dyDescent="0.3">
      <c r="A211" s="5" t="s">
        <v>819</v>
      </c>
      <c r="B211" s="6">
        <v>90820</v>
      </c>
      <c r="C211" s="7" t="s">
        <v>20</v>
      </c>
      <c r="D211" s="39">
        <v>46255</v>
      </c>
      <c r="E211" s="39" t="s">
        <v>13</v>
      </c>
      <c r="F211" s="39" t="s">
        <v>13</v>
      </c>
      <c r="G211" s="9">
        <v>5841.5</v>
      </c>
      <c r="H211" s="10">
        <f t="shared" si="32"/>
        <v>5841.5</v>
      </c>
      <c r="I211" s="11">
        <v>11683</v>
      </c>
      <c r="J211" s="11">
        <v>0</v>
      </c>
      <c r="K211" s="11">
        <v>0</v>
      </c>
      <c r="L211" s="11">
        <f t="shared" si="34"/>
        <v>5841.5</v>
      </c>
    </row>
    <row r="212" spans="1:12" ht="16.5" thickTop="1" thickBot="1" x14ac:dyDescent="0.3">
      <c r="A212" s="5" t="s">
        <v>820</v>
      </c>
      <c r="B212" s="6">
        <v>90043</v>
      </c>
      <c r="C212" s="7" t="s">
        <v>822</v>
      </c>
      <c r="D212" s="39">
        <v>46255</v>
      </c>
      <c r="E212" s="39" t="s">
        <v>13</v>
      </c>
      <c r="F212" s="39" t="s">
        <v>13</v>
      </c>
      <c r="G212" s="9">
        <v>10982.91</v>
      </c>
      <c r="H212" s="10">
        <f t="shared" si="32"/>
        <v>10982.900000000001</v>
      </c>
      <c r="I212" s="11">
        <v>21965.81</v>
      </c>
      <c r="J212" s="11">
        <v>0</v>
      </c>
      <c r="K212" s="11">
        <v>0</v>
      </c>
      <c r="L212" s="11">
        <f t="shared" si="34"/>
        <v>10982.91</v>
      </c>
    </row>
    <row r="213" spans="1:12" ht="16.5" thickTop="1" thickBot="1" x14ac:dyDescent="0.3">
      <c r="A213" s="5" t="s">
        <v>825</v>
      </c>
      <c r="B213" s="6">
        <v>91096</v>
      </c>
      <c r="C213" s="7" t="s">
        <v>18</v>
      </c>
      <c r="D213" s="39">
        <v>46258</v>
      </c>
      <c r="E213" s="39" t="s">
        <v>13</v>
      </c>
      <c r="F213" s="39" t="s">
        <v>13</v>
      </c>
      <c r="G213" s="9">
        <v>88551.09</v>
      </c>
      <c r="H213" s="10">
        <f t="shared" si="32"/>
        <v>88551.09</v>
      </c>
      <c r="I213" s="11">
        <v>177102.18</v>
      </c>
      <c r="J213" s="11">
        <v>0</v>
      </c>
      <c r="K213" s="11">
        <v>0</v>
      </c>
      <c r="L213" s="11">
        <f t="shared" ref="L213:L220" si="35">G213-J213</f>
        <v>88551.09</v>
      </c>
    </row>
    <row r="214" spans="1:12" ht="16.5" thickTop="1" thickBot="1" x14ac:dyDescent="0.3">
      <c r="A214" s="5" t="s">
        <v>826</v>
      </c>
      <c r="B214" s="6">
        <v>91551</v>
      </c>
      <c r="C214" s="7" t="s">
        <v>57</v>
      </c>
      <c r="D214" s="39">
        <v>46258</v>
      </c>
      <c r="E214" s="39" t="s">
        <v>13</v>
      </c>
      <c r="F214" s="39" t="s">
        <v>13</v>
      </c>
      <c r="G214" s="9">
        <v>43790.559999999998</v>
      </c>
      <c r="H214" s="10">
        <f t="shared" si="32"/>
        <v>43790.559999999998</v>
      </c>
      <c r="I214" s="11">
        <v>87581.119999999995</v>
      </c>
      <c r="J214" s="11">
        <v>0</v>
      </c>
      <c r="K214" s="11">
        <v>0</v>
      </c>
      <c r="L214" s="11">
        <f t="shared" si="35"/>
        <v>43790.559999999998</v>
      </c>
    </row>
    <row r="215" spans="1:12" ht="16.5" thickTop="1" thickBot="1" x14ac:dyDescent="0.3">
      <c r="A215" s="5" t="s">
        <v>827</v>
      </c>
      <c r="B215" s="6">
        <v>91760</v>
      </c>
      <c r="C215" s="7" t="s">
        <v>23</v>
      </c>
      <c r="D215" s="39">
        <v>46259</v>
      </c>
      <c r="E215" s="39" t="s">
        <v>13</v>
      </c>
      <c r="F215" s="39" t="s">
        <v>13</v>
      </c>
      <c r="G215" s="9">
        <v>13000</v>
      </c>
      <c r="H215" s="10">
        <f t="shared" si="32"/>
        <v>6112.7200000000012</v>
      </c>
      <c r="I215" s="11">
        <v>19112.72</v>
      </c>
      <c r="J215" s="11">
        <v>0</v>
      </c>
      <c r="K215" s="11">
        <v>0</v>
      </c>
      <c r="L215" s="11">
        <f t="shared" si="35"/>
        <v>13000</v>
      </c>
    </row>
    <row r="216" spans="1:12" ht="16.5" thickTop="1" thickBot="1" x14ac:dyDescent="0.3">
      <c r="A216" s="5" t="s">
        <v>828</v>
      </c>
      <c r="B216" s="6">
        <v>92326</v>
      </c>
      <c r="C216" s="7" t="s">
        <v>14</v>
      </c>
      <c r="D216" s="39">
        <v>46261</v>
      </c>
      <c r="E216" s="39" t="s">
        <v>13</v>
      </c>
      <c r="F216" s="39" t="s">
        <v>13</v>
      </c>
      <c r="G216" s="9">
        <v>47956.69</v>
      </c>
      <c r="H216" s="10">
        <f t="shared" si="32"/>
        <v>24476.699999999997</v>
      </c>
      <c r="I216" s="11">
        <v>72433.39</v>
      </c>
      <c r="J216" s="11">
        <v>0</v>
      </c>
      <c r="K216" s="11">
        <v>0</v>
      </c>
      <c r="L216" s="11">
        <f t="shared" si="35"/>
        <v>47956.69</v>
      </c>
    </row>
    <row r="217" spans="1:12" ht="16.5" thickTop="1" thickBot="1" x14ac:dyDescent="0.3">
      <c r="A217" s="5" t="s">
        <v>829</v>
      </c>
      <c r="B217" s="6">
        <v>92290</v>
      </c>
      <c r="C217" s="7" t="s">
        <v>37</v>
      </c>
      <c r="D217" s="39">
        <v>46265</v>
      </c>
      <c r="E217" s="39" t="s">
        <v>13</v>
      </c>
      <c r="F217" s="39" t="s">
        <v>13</v>
      </c>
      <c r="G217" s="9">
        <v>4398.38</v>
      </c>
      <c r="H217" s="10">
        <f t="shared" si="32"/>
        <v>39525.380000000005</v>
      </c>
      <c r="I217" s="11">
        <v>43923.76</v>
      </c>
      <c r="J217" s="11">
        <v>0</v>
      </c>
      <c r="K217" s="11">
        <v>0</v>
      </c>
      <c r="L217" s="11">
        <f t="shared" si="35"/>
        <v>4398.38</v>
      </c>
    </row>
    <row r="218" spans="1:12" ht="16.5" thickTop="1" thickBot="1" x14ac:dyDescent="0.3">
      <c r="A218" s="5" t="s">
        <v>830</v>
      </c>
      <c r="B218" s="6">
        <v>92060</v>
      </c>
      <c r="C218" s="7" t="s">
        <v>23</v>
      </c>
      <c r="D218" s="39">
        <v>46265</v>
      </c>
      <c r="E218" s="39" t="s">
        <v>13</v>
      </c>
      <c r="F218" s="39" t="s">
        <v>13</v>
      </c>
      <c r="G218" s="9">
        <v>3607.38</v>
      </c>
      <c r="H218" s="10">
        <f t="shared" si="32"/>
        <v>0</v>
      </c>
      <c r="I218" s="11">
        <v>3607.38</v>
      </c>
      <c r="J218" s="11">
        <v>0</v>
      </c>
      <c r="K218" s="11">
        <v>0</v>
      </c>
      <c r="L218" s="11">
        <f t="shared" si="35"/>
        <v>3607.38</v>
      </c>
    </row>
    <row r="219" spans="1:12" ht="16.5" thickTop="1" thickBot="1" x14ac:dyDescent="0.3">
      <c r="A219" s="5" t="s">
        <v>831</v>
      </c>
      <c r="B219" s="6">
        <v>92233</v>
      </c>
      <c r="C219" s="7" t="s">
        <v>23</v>
      </c>
      <c r="D219" s="39">
        <v>46265</v>
      </c>
      <c r="E219" s="39" t="s">
        <v>13</v>
      </c>
      <c r="F219" s="39" t="s">
        <v>13</v>
      </c>
      <c r="G219" s="9">
        <v>218664</v>
      </c>
      <c r="H219" s="10">
        <f t="shared" si="32"/>
        <v>218664</v>
      </c>
      <c r="I219" s="11">
        <v>437328</v>
      </c>
      <c r="J219" s="11">
        <v>0</v>
      </c>
      <c r="K219" s="11">
        <v>0</v>
      </c>
      <c r="L219" s="11">
        <f t="shared" si="35"/>
        <v>218664</v>
      </c>
    </row>
    <row r="220" spans="1:12" ht="16.5" thickTop="1" thickBot="1" x14ac:dyDescent="0.3">
      <c r="A220" s="5" t="s">
        <v>832</v>
      </c>
      <c r="B220" s="6">
        <v>91377</v>
      </c>
      <c r="C220" s="7" t="s">
        <v>21</v>
      </c>
      <c r="D220" s="39">
        <v>46265</v>
      </c>
      <c r="E220" s="39" t="s">
        <v>13</v>
      </c>
      <c r="F220" s="39" t="s">
        <v>13</v>
      </c>
      <c r="G220" s="9">
        <v>7479.09</v>
      </c>
      <c r="H220" s="10">
        <f t="shared" si="32"/>
        <v>7479.08</v>
      </c>
      <c r="I220" s="11">
        <v>14958.17</v>
      </c>
      <c r="J220" s="11">
        <v>0</v>
      </c>
      <c r="K220" s="11">
        <v>0</v>
      </c>
      <c r="L220" s="11">
        <f t="shared" si="35"/>
        <v>7479.09</v>
      </c>
    </row>
    <row r="221" spans="1:12" ht="16.5" thickTop="1" thickBot="1" x14ac:dyDescent="0.3">
      <c r="A221" s="5"/>
      <c r="B221" s="6"/>
      <c r="C221" s="7"/>
      <c r="D221" s="39"/>
      <c r="E221" s="39"/>
      <c r="F221" s="39"/>
      <c r="G221" s="9"/>
      <c r="H221" s="10"/>
      <c r="I221" s="11"/>
      <c r="J221" s="11"/>
      <c r="K221" s="11"/>
      <c r="L221" s="84" t="s">
        <v>807</v>
      </c>
    </row>
    <row r="222" spans="1:12" ht="16.5" thickTop="1" thickBot="1" x14ac:dyDescent="0.3">
      <c r="A222" s="22" t="s">
        <v>790</v>
      </c>
      <c r="B222" s="23"/>
      <c r="C222" s="24" t="s">
        <v>115</v>
      </c>
      <c r="D222" s="25" t="s">
        <v>53</v>
      </c>
      <c r="E222" s="26"/>
      <c r="F222" s="27"/>
      <c r="G222" s="28">
        <f>SUM(G2:G221)</f>
        <v>7236434.1100000003</v>
      </c>
      <c r="H222" s="28">
        <f t="shared" ref="H222:L222" si="36">SUM(H2:H221)</f>
        <v>6891262.2800000003</v>
      </c>
      <c r="I222" s="28">
        <f t="shared" si="36"/>
        <v>14127696.390000002</v>
      </c>
      <c r="J222" s="28">
        <f t="shared" si="36"/>
        <v>8370713.2799999984</v>
      </c>
      <c r="K222" s="28">
        <f t="shared" si="36"/>
        <v>2067127.1099999996</v>
      </c>
      <c r="L222" s="28">
        <f t="shared" si="36"/>
        <v>932847.93999999983</v>
      </c>
    </row>
    <row r="223" spans="1:12" ht="15.75" thickTop="1" x14ac:dyDescent="0.25">
      <c r="J223" s="33">
        <f>J222-'Jul 26'!G223</f>
        <v>0</v>
      </c>
      <c r="L223" s="33"/>
    </row>
    <row r="224" spans="1:12" x14ac:dyDescent="0.25">
      <c r="L224" s="33"/>
    </row>
    <row r="225" spans="1:12" x14ac:dyDescent="0.25">
      <c r="A225" t="s">
        <v>63</v>
      </c>
      <c r="D225" s="30" t="s">
        <v>63</v>
      </c>
      <c r="F225" s="35" t="s">
        <v>9</v>
      </c>
      <c r="G225" s="36">
        <f>J222</f>
        <v>8370713.2799999984</v>
      </c>
      <c r="J225" s="33"/>
    </row>
    <row r="226" spans="1:12" x14ac:dyDescent="0.25">
      <c r="F226" s="31" t="s">
        <v>492</v>
      </c>
      <c r="G226" s="32">
        <f>G222</f>
        <v>7236434.1100000003</v>
      </c>
      <c r="L226" s="33"/>
    </row>
    <row r="227" spans="1:12" x14ac:dyDescent="0.25">
      <c r="F227" s="35" t="s">
        <v>493</v>
      </c>
      <c r="G227" s="36">
        <f>G222-G225</f>
        <v>-1134279.1699999981</v>
      </c>
      <c r="H227" s="33"/>
      <c r="I227" s="38">
        <f>G222</f>
        <v>7236434.1100000003</v>
      </c>
    </row>
    <row r="228" spans="1:12" x14ac:dyDescent="0.25">
      <c r="I228" s="38">
        <v>-7236434.1100000003</v>
      </c>
      <c r="J228" t="s">
        <v>55</v>
      </c>
      <c r="K228" s="34" t="s">
        <v>85</v>
      </c>
    </row>
    <row r="229" spans="1:12" x14ac:dyDescent="0.25">
      <c r="F229" s="31" t="s">
        <v>56</v>
      </c>
      <c r="G229" s="32">
        <f>G226+I228</f>
        <v>0</v>
      </c>
      <c r="K229"/>
    </row>
    <row r="230" spans="1:12" s="34" customFormat="1" x14ac:dyDescent="0.25">
      <c r="A230"/>
      <c r="B230" s="29"/>
      <c r="C230"/>
      <c r="D230" s="30"/>
      <c r="E230"/>
      <c r="F230" s="31"/>
      <c r="G230" s="32"/>
      <c r="H230"/>
      <c r="I230" s="37">
        <f>I227++I228</f>
        <v>0</v>
      </c>
      <c r="J230" t="s">
        <v>824</v>
      </c>
      <c r="L230"/>
    </row>
    <row r="232" spans="1:12" x14ac:dyDescent="0.25">
      <c r="F232" s="31" t="s">
        <v>63</v>
      </c>
    </row>
  </sheetData>
  <autoFilter ref="A1:M223" xr:uid="{EA880DEE-2FDA-42F8-AA49-FF9FB96C7B45}"/>
  <conditionalFormatting sqref="A23:A81">
    <cfRule type="duplicateValues" dxfId="9" priority="244"/>
  </conditionalFormatting>
  <conditionalFormatting sqref="A224:A231">
    <cfRule type="duplicateValues" dxfId="8" priority="2"/>
  </conditionalFormatting>
  <conditionalFormatting sqref="A232:A1048576 A1:A22 A82:A223">
    <cfRule type="duplicateValues" dxfId="7" priority="3"/>
  </conditionalFormatting>
  <conditionalFormatting sqref="B1:B1048576">
    <cfRule type="duplicateValues" dxfId="6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8BEA-D7E5-4599-AC87-085F7D3EFCD4}">
  <dimension ref="A1:M216"/>
  <sheetViews>
    <sheetView tabSelected="1" zoomScale="115" zoomScaleNormal="115" workbookViewId="0">
      <pane ySplit="1" topLeftCell="A116" activePane="bottomLeft" state="frozen"/>
      <selection pane="bottomLeft" activeCell="F209" sqref="F209"/>
    </sheetView>
  </sheetViews>
  <sheetFormatPr defaultRowHeight="15" x14ac:dyDescent="0.25"/>
  <cols>
    <col min="1" max="1" width="58.7109375" customWidth="1"/>
    <col min="2" max="2" width="13.28515625" style="29" customWidth="1"/>
    <col min="3" max="3" width="11.28515625" customWidth="1"/>
    <col min="4" max="4" width="13.42578125" style="30" customWidth="1"/>
    <col min="5" max="5" width="19.140625" customWidth="1"/>
    <col min="6" max="6" width="32.85546875" style="31" customWidth="1"/>
    <col min="7" max="7" width="16.5703125" style="32" bestFit="1" customWidth="1"/>
    <col min="8" max="8" width="17.42578125" customWidth="1"/>
    <col min="9" max="9" width="17.28515625" customWidth="1"/>
    <col min="10" max="10" width="20.5703125" bestFit="1" customWidth="1"/>
    <col min="11" max="11" width="16" style="34" bestFit="1" customWidth="1"/>
    <col min="12" max="12" width="27.85546875" bestFit="1" customWidth="1"/>
    <col min="13" max="13" width="110" customWidth="1"/>
  </cols>
  <sheetData>
    <row r="1" spans="1:13" ht="31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4" t="s">
        <v>5</v>
      </c>
      <c r="G1" s="3" t="s">
        <v>6</v>
      </c>
      <c r="H1" s="4" t="s">
        <v>7</v>
      </c>
      <c r="I1" s="42" t="s">
        <v>8</v>
      </c>
      <c r="J1" s="42" t="s">
        <v>9</v>
      </c>
      <c r="K1" s="42" t="s">
        <v>10</v>
      </c>
      <c r="L1" s="42" t="s">
        <v>90</v>
      </c>
      <c r="M1" s="42" t="inlineStr">
        <is>
          <t>Status Check 9/30/26 (monday PM board)</t>
        </is>
      </c>
    </row>
    <row r="2" spans="1:13" ht="16.5" thickTop="1" thickBot="1" x14ac:dyDescent="0.3">
      <c r="A2" s="5" t="s">
        <v>371</v>
      </c>
      <c r="B2" s="6">
        <v>88562</v>
      </c>
      <c r="C2" s="7" t="s">
        <v>370</v>
      </c>
      <c r="D2" s="39">
        <v>46091</v>
      </c>
      <c r="E2" s="39">
        <v>46253</v>
      </c>
      <c r="F2" s="39" t="inlineStr">
        <is>
          <t>In Production</t>
        </is>
      </c>
      <c r="G2" s="19">
        <v>51110.14</v>
      </c>
      <c r="H2" s="10">
        <f t="shared" ref="H2:H29" si="0">I2-G2</f>
        <v>0</v>
      </c>
      <c r="I2" s="11">
        <v>51110.14</v>
      </c>
      <c r="J2" s="11">
        <f>VLOOKUP(B2,'Aug 26'!B:G,6,FALSE)</f>
        <v>51110.14</v>
      </c>
      <c r="K2" s="11">
        <v>0</v>
      </c>
      <c r="L2" s="11">
        <f t="shared" ref="L2:L29" si="1">G2-J2</f>
        <v>0</v>
      </c>
      <c r="M2" s="5" t="inlineStr">
        <is>
          <t>PM board (88562): In Production / In Production; job to floor 08/19/26</t>
        </is>
      </c>
    </row>
    <row r="3" spans="1:13" ht="16.5" thickTop="1" thickBot="1" x14ac:dyDescent="0.3">
      <c r="A3" s="60" t="s">
        <v>801</v>
      </c>
      <c r="B3" s="6">
        <v>83756</v>
      </c>
      <c r="C3" s="7" t="s">
        <v>38</v>
      </c>
      <c r="D3" s="39">
        <v>46241</v>
      </c>
      <c r="E3" s="39" t="inlineStr">
        <is>
          <t>Pre-Production</t>
        </is>
      </c>
      <c r="F3" s="39" t="inlineStr">
        <is>
          <t>Pre-Production</t>
        </is>
      </c>
      <c r="G3" s="9">
        <v>14979.06</v>
      </c>
      <c r="H3" s="10">
        <f t="shared" si="0"/>
        <v>14679.06</v>
      </c>
      <c r="I3" s="11">
        <v>29658.12</v>
      </c>
      <c r="J3" s="11">
        <f>VLOOKUP(B3,'Aug 26'!B:G,6,FALSE)</f>
        <v>14979.06</v>
      </c>
      <c r="K3" s="11">
        <v>0</v>
      </c>
      <c r="L3" s="11">
        <f t="shared" si="1"/>
        <v>0</v>
      </c>
      <c r="M3" s="5" t="inlineStr">
        <is>
          <t>Not on PM board at 9/30 (engineering/JDM) - pre-production</t>
        </is>
      </c>
    </row>
    <row r="4" spans="1:13" ht="16.5" thickTop="1" thickBot="1" x14ac:dyDescent="0.3">
      <c r="A4" s="5" t="s">
        <v>730</v>
      </c>
      <c r="B4" s="6">
        <v>88164</v>
      </c>
      <c r="C4" s="7" t="s">
        <v>14</v>
      </c>
      <c r="D4" s="39">
        <v>46195</v>
      </c>
      <c r="E4" s="39" t="inlineStr">
        <is>
          <t>Pre-Production</t>
        </is>
      </c>
      <c r="F4" s="39" t="inlineStr">
        <is>
          <t>Pre-Production</t>
        </is>
      </c>
      <c r="G4" s="9">
        <v>22283</v>
      </c>
      <c r="H4" s="10">
        <f t="shared" si="0"/>
        <v>22282</v>
      </c>
      <c r="I4" s="11">
        <v>44565</v>
      </c>
      <c r="J4" s="11">
        <f>VLOOKUP(B4,'Aug 26'!B:G,6,FALSE)</f>
        <v>22283</v>
      </c>
      <c r="K4" s="11">
        <v>0</v>
      </c>
      <c r="L4" s="11">
        <f t="shared" si="1"/>
        <v>0</v>
      </c>
      <c r="M4" s="5" t="inlineStr">
        <is>
          <t>PM board (88164): Pending Deposit in Invoicing / Pending Deposit</t>
        </is>
      </c>
    </row>
    <row r="5" spans="1:13" ht="16.5" thickTop="1" thickBot="1" x14ac:dyDescent="0.3">
      <c r="A5" s="5" t="s">
        <v>813</v>
      </c>
      <c r="B5" s="6">
        <v>92314</v>
      </c>
      <c r="C5" s="7" t="s">
        <v>21</v>
      </c>
      <c r="D5" s="39">
        <v>46253</v>
      </c>
      <c r="E5" s="39" t="inlineStr">
        <is>
          <t>Pre-Production</t>
        </is>
      </c>
      <c r="F5" s="39" t="inlineStr">
        <is>
          <t>Pre-Production</t>
        </is>
      </c>
      <c r="G5" s="9">
        <v>14518.74</v>
      </c>
      <c r="H5" s="10">
        <f t="shared" si="0"/>
        <v>14518.74</v>
      </c>
      <c r="I5" s="11">
        <v>29037.48</v>
      </c>
      <c r="J5" s="11">
        <f>VLOOKUP(B5,'Aug 26'!B:G,6,FALSE)</f>
        <v>14518.74</v>
      </c>
      <c r="K5" s="11">
        <v>0</v>
      </c>
      <c r="L5" s="11">
        <f t="shared" si="1"/>
        <v>0</v>
      </c>
      <c r="M5" s="5" t="inlineStr">
        <is>
          <t>Not on PM board at 9/30 (engineering/JDM) - pre-production</t>
        </is>
      </c>
    </row>
    <row r="6" spans="1:13" ht="16.5" thickTop="1" thickBot="1" x14ac:dyDescent="0.3">
      <c r="A6" s="5" t="s">
        <v>318</v>
      </c>
      <c r="B6" s="6">
        <v>87616</v>
      </c>
      <c r="C6" s="7" t="s">
        <v>15</v>
      </c>
      <c r="D6" s="39">
        <v>46069</v>
      </c>
      <c r="E6" s="39" t="inlineStr">
        <is>
          <t>Pre-Production</t>
        </is>
      </c>
      <c r="F6" s="39" t="inlineStr">
        <is>
          <t>Pre-Production</t>
        </is>
      </c>
      <c r="G6" s="9">
        <v>35586</v>
      </c>
      <c r="H6" s="10">
        <f t="shared" si="0"/>
        <v>9375</v>
      </c>
      <c r="I6" s="11">
        <v>44961</v>
      </c>
      <c r="J6" s="11">
        <f>VLOOKUP(B6,'Aug 26'!B:G,6,FALSE)</f>
        <v>35586</v>
      </c>
      <c r="K6" s="11">
        <v>0</v>
      </c>
      <c r="L6" s="11">
        <f t="shared" si="1"/>
        <v>0</v>
      </c>
      <c r="M6" s="5" t="inlineStr">
        <is>
          <t>PM board (87616): Sent to Engineering / Sent to Engineering</t>
        </is>
      </c>
    </row>
    <row r="7" spans="1:12" ht="16.5" thickTop="1" thickBot="1" x14ac:dyDescent="0.3">
      <c r="A7" s="5" t="s">
        <v>767</v>
      </c>
      <c r="B7" s="81">
        <v>89725</v>
      </c>
      <c r="C7" s="82" t="s">
        <v>21</v>
      </c>
      <c r="D7" s="49">
        <v>46223</v>
      </c>
      <c r="E7" s="49" t="str">
        <f>VLOOKUP(B7,'[1]Pre Production'!$B:$E,4,FALSE)</f>
        <v>Pre-Production</v>
      </c>
      <c r="F7" s="49">
        <v>46281</v>
      </c>
      <c r="G7" s="45"/>
      <c r="H7" s="58"/>
      <c r="I7" s="59"/>
      <c r="J7" s="59">
        <f>VLOOKUP(B7,'Aug 26'!B:G,6,FALSE)</f>
        <v>5480.65</v>
      </c>
      <c r="K7" s="59">
        <f>J7-G7</f>
        <v>5480.65</v>
      </c>
      <c r="L7" s="59" t="s">
        <v>791</v>
      </c>
    </row>
    <row r="8" spans="1:13" ht="16.5" thickTop="1" thickBot="1" x14ac:dyDescent="0.3">
      <c r="A8" s="5" t="s">
        <v>189</v>
      </c>
      <c r="B8" s="6">
        <v>87185</v>
      </c>
      <c r="C8" s="7" t="s">
        <v>21</v>
      </c>
      <c r="D8" s="39">
        <v>45995</v>
      </c>
      <c r="E8" s="39" t="inlineStr">
        <is>
          <t>Pre-Production</t>
        </is>
      </c>
      <c r="F8" s="39" t="inlineStr">
        <is>
          <t>Pre-Production</t>
        </is>
      </c>
      <c r="G8" s="9">
        <v>31515</v>
      </c>
      <c r="H8" s="10">
        <f t="shared" si="0"/>
        <v>31514</v>
      </c>
      <c r="I8" s="11">
        <v>63029</v>
      </c>
      <c r="J8" s="11">
        <f>VLOOKUP(B8,'Aug 26'!B:G,6,FALSE)</f>
        <v>31515</v>
      </c>
      <c r="K8" s="11">
        <v>0</v>
      </c>
      <c r="L8" s="11">
        <f t="shared" si="1"/>
        <v>0</v>
      </c>
      <c r="M8" s="5" t="inlineStr">
        <is>
          <t>PM board (87185): Sent to Engineering / Sent to Engineering</t>
        </is>
      </c>
    </row>
    <row r="9" spans="1:13" ht="16.5" thickTop="1" thickBot="1" x14ac:dyDescent="0.3">
      <c r="A9" s="5" t="s">
        <v>749</v>
      </c>
      <c r="B9" s="6">
        <v>91559</v>
      </c>
      <c r="C9" s="7" t="s">
        <v>21</v>
      </c>
      <c r="D9" s="39">
        <v>46210</v>
      </c>
      <c r="E9" s="39">
        <v>46259</v>
      </c>
      <c r="F9" s="39" t="inlineStr">
        <is>
          <t>Test Wall</t>
        </is>
      </c>
      <c r="G9" s="9">
        <v>50000</v>
      </c>
      <c r="H9" s="10">
        <f t="shared" si="0"/>
        <v>21.260000000002037</v>
      </c>
      <c r="I9" s="11">
        <v>50021.26</v>
      </c>
      <c r="J9" s="11">
        <f>VLOOKUP(B9,'Aug 26'!B:G,6,FALSE)</f>
        <v>50000</v>
      </c>
      <c r="K9" s="11">
        <v>0</v>
      </c>
      <c r="L9" s="11">
        <f t="shared" si="1"/>
        <v>0</v>
      </c>
      <c r="M9" s="5" t="inlineStr">
        <is>
          <t>PM board (91559): Test Wall / Test Wall; job to floor 08/25/26</t>
        </is>
      </c>
    </row>
    <row r="10" spans="1:13" ht="16.5" thickTop="1" thickBot="1" x14ac:dyDescent="0.3">
      <c r="A10" s="5" t="s">
        <v>802</v>
      </c>
      <c r="B10" s="6">
        <v>91452</v>
      </c>
      <c r="C10" s="7" t="s">
        <v>21</v>
      </c>
      <c r="D10" s="39">
        <v>46244</v>
      </c>
      <c r="E10" s="39" t="inlineStr">
        <is>
          <t>Pre-Production</t>
        </is>
      </c>
      <c r="F10" s="39" t="inlineStr">
        <is>
          <t>Pre-Production</t>
        </is>
      </c>
      <c r="G10" s="9">
        <v>8633.7900000000009</v>
      </c>
      <c r="H10" s="10">
        <f t="shared" si="0"/>
        <v>8633.7900000000009</v>
      </c>
      <c r="I10" s="11">
        <v>17267.580000000002</v>
      </c>
      <c r="J10" s="11">
        <f>VLOOKUP(B10,'Aug 26'!B:G,6,FALSE)</f>
        <v>8633.7900000000009</v>
      </c>
      <c r="K10" s="11">
        <v>0</v>
      </c>
      <c r="L10" s="11">
        <f t="shared" si="1"/>
        <v>0</v>
      </c>
      <c r="M10" s="5" t="inlineStr">
        <is>
          <t>Not on PM board at 9/30 (engineering/JDM) - pre-production</t>
        </is>
      </c>
    </row>
    <row r="11" spans="1:13" ht="16.5" thickTop="1" thickBot="1" x14ac:dyDescent="0.3">
      <c r="A11" s="5" t="s">
        <v>777</v>
      </c>
      <c r="B11" s="6">
        <v>91539</v>
      </c>
      <c r="C11" s="7" t="s">
        <v>11</v>
      </c>
      <c r="D11" s="39">
        <v>46227</v>
      </c>
      <c r="E11" s="39">
        <v>46268</v>
      </c>
      <c r="F11" s="39" t="inlineStr">
        <is>
          <t>In Production</t>
        </is>
      </c>
      <c r="G11" s="9">
        <v>110050.59</v>
      </c>
      <c r="H11" s="10">
        <f t="shared" si="0"/>
        <v>110050.58000000002</v>
      </c>
      <c r="I11" s="11">
        <v>220101.17</v>
      </c>
      <c r="J11" s="11">
        <f>VLOOKUP(B11,'Aug 26'!B:G,6,FALSE)</f>
        <v>110050.59</v>
      </c>
      <c r="K11" s="11">
        <v>0</v>
      </c>
      <c r="L11" s="11">
        <f t="shared" si="1"/>
        <v>0</v>
      </c>
      <c r="M11" s="5" t="inlineStr">
        <is>
          <t>PM board (91539): In Production / In Production; job to floor 09/03/26</t>
        </is>
      </c>
    </row>
    <row r="12" spans="1:13" ht="16.5" thickTop="1" thickBot="1" x14ac:dyDescent="0.3">
      <c r="A12" s="5" t="s">
        <v>649</v>
      </c>
      <c r="B12" s="6">
        <v>88159</v>
      </c>
      <c r="C12" s="7" t="s">
        <v>14</v>
      </c>
      <c r="D12" s="39">
        <v>46148</v>
      </c>
      <c r="E12" s="39">
        <v>46267</v>
      </c>
      <c r="F12" s="39" t="inlineStr">
        <is>
          <t>In Production</t>
        </is>
      </c>
      <c r="G12" s="9">
        <f>8819+4091</f>
        <v>12910</v>
      </c>
      <c r="H12" s="10">
        <f t="shared" si="0"/>
        <v>12910</v>
      </c>
      <c r="I12" s="11">
        <v>25820</v>
      </c>
      <c r="J12" s="11">
        <f>VLOOKUP(B12,'Aug 26'!B:G,6,FALSE)</f>
        <v>8819</v>
      </c>
      <c r="K12" s="11">
        <v>0</v>
      </c>
      <c r="L12" s="11">
        <f t="shared" si="1"/>
        <v>4091</v>
      </c>
      <c r="M12" s="5" t="inlineStr">
        <is>
          <t>PM board (88159): In Production / In Production; job to floor 09/02/26</t>
        </is>
      </c>
    </row>
    <row r="13" spans="1:13" ht="16.5" thickTop="1" thickBot="1" x14ac:dyDescent="0.3">
      <c r="A13" s="5" t="s">
        <v>780</v>
      </c>
      <c r="B13" s="6">
        <v>91313</v>
      </c>
      <c r="C13" s="7" t="s">
        <v>11</v>
      </c>
      <c r="D13" s="39">
        <v>46230</v>
      </c>
      <c r="E13" s="39">
        <v>46262</v>
      </c>
      <c r="F13" s="39" t="inlineStr">
        <is>
          <t>In Production</t>
        </is>
      </c>
      <c r="G13" s="9">
        <v>11021</v>
      </c>
      <c r="H13" s="10">
        <f t="shared" si="0"/>
        <v>11020</v>
      </c>
      <c r="I13" s="11">
        <v>22041</v>
      </c>
      <c r="J13" s="11">
        <f>VLOOKUP(B13,'Aug 26'!B:G,6,FALSE)</f>
        <v>11021</v>
      </c>
      <c r="K13" s="11">
        <v>0</v>
      </c>
      <c r="L13" s="11">
        <f t="shared" si="1"/>
        <v>0</v>
      </c>
      <c r="M13" s="5" t="inlineStr">
        <is>
          <t>PM board (91313): In Production / In Production; job to floor 08/28/26</t>
        </is>
      </c>
    </row>
    <row r="14" spans="1:13" ht="16.5" thickTop="1" thickBot="1" x14ac:dyDescent="0.3">
      <c r="A14" s="5" t="s">
        <v>818</v>
      </c>
      <c r="B14" s="6">
        <v>91603</v>
      </c>
      <c r="C14" s="7" t="s">
        <v>821</v>
      </c>
      <c r="D14" s="39">
        <v>46255</v>
      </c>
      <c r="E14" s="39" t="inlineStr">
        <is>
          <t>Pre-Production</t>
        </is>
      </c>
      <c r="F14" s="39" t="inlineStr">
        <is>
          <t>Pre-Production</t>
        </is>
      </c>
      <c r="G14" s="9">
        <v>29226</v>
      </c>
      <c r="H14" s="10">
        <f t="shared" si="0"/>
        <v>29224.989999999998</v>
      </c>
      <c r="I14" s="11">
        <v>58450.99</v>
      </c>
      <c r="J14" s="11">
        <f>VLOOKUP(B14,'Aug 26'!B:G,6,FALSE)</f>
        <v>29226</v>
      </c>
      <c r="K14" s="11">
        <v>0</v>
      </c>
      <c r="L14" s="11">
        <f t="shared" si="1"/>
        <v>0</v>
      </c>
      <c r="M14" s="5" t="inlineStr">
        <is>
          <t>Not on PM board at 9/30 (engineering/JDM) - pre-production</t>
        </is>
      </c>
    </row>
    <row r="15" spans="1:13" ht="16.5" thickTop="1" thickBot="1" x14ac:dyDescent="0.3">
      <c r="A15" s="5" t="s">
        <v>770</v>
      </c>
      <c r="B15" s="6">
        <v>90366</v>
      </c>
      <c r="C15" s="7" t="s">
        <v>774</v>
      </c>
      <c r="D15" s="39">
        <v>46225</v>
      </c>
      <c r="E15" s="39">
        <v>46282</v>
      </c>
      <c r="F15" s="39" t="inlineStr">
        <is>
          <t>In Production</t>
        </is>
      </c>
      <c r="G15" s="9">
        <v>20063.72</v>
      </c>
      <c r="H15" s="10">
        <f t="shared" si="0"/>
        <v>32063.71</v>
      </c>
      <c r="I15" s="11">
        <v>52127.43</v>
      </c>
      <c r="J15" s="11">
        <f>VLOOKUP(B15,'Aug 26'!B:G,6,FALSE)</f>
        <v>20063.72</v>
      </c>
      <c r="K15" s="11">
        <v>0</v>
      </c>
      <c r="L15" s="11">
        <f t="shared" si="1"/>
        <v>0</v>
      </c>
      <c r="M15" s="5" t="inlineStr">
        <is>
          <t>PM board (90366): In Production / In Production; job to floor 09/17/26</t>
        </is>
      </c>
    </row>
    <row r="16" spans="1:13" ht="16.5" thickTop="1" thickBot="1" x14ac:dyDescent="0.3">
      <c r="A16" s="5" t="s">
        <v>831</v>
      </c>
      <c r="B16" s="6">
        <v>92233</v>
      </c>
      <c r="C16" s="7" t="s">
        <v>23</v>
      </c>
      <c r="D16" s="39">
        <v>46265</v>
      </c>
      <c r="E16" s="39" t="inlineStr">
        <is>
          <t>Pre-Production</t>
        </is>
      </c>
      <c r="F16" s="39" t="inlineStr">
        <is>
          <t>Pre-Production</t>
        </is>
      </c>
      <c r="G16" s="9">
        <v>218664</v>
      </c>
      <c r="H16" s="10">
        <f t="shared" si="0"/>
        <v>218664</v>
      </c>
      <c r="I16" s="11">
        <v>437328</v>
      </c>
      <c r="J16" s="11">
        <f>VLOOKUP(B16,'Aug 26'!B:G,6,FALSE)</f>
        <v>218664</v>
      </c>
      <c r="K16" s="11">
        <v>0</v>
      </c>
      <c r="L16" s="11">
        <f t="shared" si="1"/>
        <v>0</v>
      </c>
      <c r="M16" s="5" t="inlineStr">
        <is>
          <t>Not on PM board at 9/30 (engineering/JDM) - pre-production</t>
        </is>
      </c>
    </row>
    <row r="17" spans="1:13" ht="16.5" thickTop="1" thickBot="1" x14ac:dyDescent="0.3">
      <c r="A17" s="5" t="s">
        <v>829</v>
      </c>
      <c r="B17" s="6">
        <v>92290</v>
      </c>
      <c r="C17" s="7" t="s">
        <v>37</v>
      </c>
      <c r="D17" s="39">
        <v>46265</v>
      </c>
      <c r="E17" s="39" t="inlineStr">
        <is>
          <t>Pre-Production</t>
        </is>
      </c>
      <c r="F17" s="39" t="inlineStr">
        <is>
          <t>Pre-Production</t>
        </is>
      </c>
      <c r="G17" s="9">
        <v>4398.38</v>
      </c>
      <c r="H17" s="10">
        <f t="shared" si="0"/>
        <v>39525.380000000005</v>
      </c>
      <c r="I17" s="11">
        <v>43923.76</v>
      </c>
      <c r="J17" s="11">
        <f>VLOOKUP(B17,'Aug 26'!B:G,6,FALSE)</f>
        <v>4398.38</v>
      </c>
      <c r="K17" s="11">
        <v>0</v>
      </c>
      <c r="L17" s="11">
        <f t="shared" si="1"/>
        <v>0</v>
      </c>
      <c r="M17" s="5" t="inlineStr">
        <is>
          <t>PM board (92290): PM Review Documents / Avi Approval</t>
        </is>
      </c>
    </row>
    <row r="18" spans="1:12" ht="16.5" thickTop="1" thickBot="1" x14ac:dyDescent="0.3">
      <c r="A18" s="5" t="s">
        <v>709</v>
      </c>
      <c r="B18" s="6">
        <v>89869</v>
      </c>
      <c r="C18" s="7" t="s">
        <v>21</v>
      </c>
      <c r="D18" s="39">
        <v>46181</v>
      </c>
      <c r="E18" s="39" t="str">
        <f>VLOOKUP(B18,'[1]Pre Production'!$B:$E,4,FALSE)</f>
        <v>Pre-Production</v>
      </c>
      <c r="F18" s="39">
        <v>46286</v>
      </c>
      <c r="G18" s="45">
        <v>0</v>
      </c>
      <c r="H18" s="58">
        <v>0</v>
      </c>
      <c r="I18" s="59">
        <v>0</v>
      </c>
      <c r="J18" s="59">
        <f>VLOOKUP(B18,'Aug 26'!B:G,6,FALSE)</f>
        <v>6204</v>
      </c>
      <c r="K18" s="59">
        <f>J18-G18</f>
        <v>6204</v>
      </c>
      <c r="L18" s="59" t="s">
        <v>791</v>
      </c>
    </row>
    <row r="19" spans="1:13" ht="16.5" thickTop="1" thickBot="1" x14ac:dyDescent="0.3">
      <c r="A19" s="5" t="s">
        <v>825</v>
      </c>
      <c r="B19" s="6">
        <v>91096</v>
      </c>
      <c r="C19" s="7" t="s">
        <v>18</v>
      </c>
      <c r="D19" s="39">
        <v>46258</v>
      </c>
      <c r="E19" s="39">
        <v>46293</v>
      </c>
      <c r="F19" s="39" t="inlineStr">
        <is>
          <t>In Production</t>
        </is>
      </c>
      <c r="G19" s="9">
        <v>88551.09</v>
      </c>
      <c r="H19" s="10">
        <f t="shared" si="0"/>
        <v>88551.09</v>
      </c>
      <c r="I19" s="11">
        <v>177102.18</v>
      </c>
      <c r="J19" s="11">
        <f>VLOOKUP(B19,'Aug 26'!B:G,6,FALSE)</f>
        <v>88551.09</v>
      </c>
      <c r="K19" s="11">
        <v>0</v>
      </c>
      <c r="L19" s="11">
        <f t="shared" si="1"/>
        <v>0</v>
      </c>
      <c r="M19" s="5" t="inlineStr">
        <is>
          <t>PM board (91096): In Production / In Production; job to floor 09/28/26</t>
        </is>
      </c>
    </row>
    <row r="20" spans="1:13" ht="16.5" thickTop="1" thickBot="1" x14ac:dyDescent="0.3">
      <c r="A20" s="5" t="s">
        <v>169</v>
      </c>
      <c r="B20" s="6">
        <v>87022</v>
      </c>
      <c r="C20" s="7" t="s">
        <v>14</v>
      </c>
      <c r="D20" s="39">
        <v>45981</v>
      </c>
      <c r="E20" s="39" t="inlineStr">
        <is>
          <t>Pre-Production</t>
        </is>
      </c>
      <c r="F20" s="39" t="inlineStr">
        <is>
          <t>Pre-Production</t>
        </is>
      </c>
      <c r="G20" s="9">
        <v>60823</v>
      </c>
      <c r="H20" s="10">
        <f t="shared" si="0"/>
        <v>60822</v>
      </c>
      <c r="I20" s="11">
        <v>121645</v>
      </c>
      <c r="J20" s="11">
        <f>VLOOKUP(B20,'Aug 26'!B:G,6,FALSE)</f>
        <v>60823</v>
      </c>
      <c r="K20" s="11">
        <v>0</v>
      </c>
      <c r="L20" s="11">
        <f t="shared" si="1"/>
        <v>0</v>
      </c>
      <c r="M20" s="5" t="inlineStr">
        <is>
          <t>PM board (87022): Sent to Engineering / Sent to Engineering</t>
        </is>
      </c>
    </row>
    <row r="21" spans="1:13" ht="16.5" thickTop="1" thickBot="1" x14ac:dyDescent="0.3">
      <c r="A21" s="12" t="s">
        <v>718</v>
      </c>
      <c r="B21" s="13">
        <v>89319</v>
      </c>
      <c r="C21" s="14" t="s">
        <v>634</v>
      </c>
      <c r="D21" s="40">
        <v>46182</v>
      </c>
      <c r="E21" s="40">
        <v>46241</v>
      </c>
      <c r="F21" s="40" t="inlineStr">
        <is>
          <t>In Production</t>
        </is>
      </c>
      <c r="G21" s="16">
        <f>35841+10000+31298.86</f>
        <v>77139.86</v>
      </c>
      <c r="H21" s="17">
        <f t="shared" si="0"/>
        <v>0</v>
      </c>
      <c r="I21" s="18">
        <v>77139.86</v>
      </c>
      <c r="J21" s="18">
        <f>VLOOKUP(B21,'Aug 26'!B:G,6,FALSE)</f>
        <v>77139.86</v>
      </c>
      <c r="K21" s="18">
        <v>0</v>
      </c>
      <c r="L21" s="18">
        <f t="shared" si="1"/>
        <v>0</v>
      </c>
      <c r="M21" s="5" t="inlineStr">
        <is>
          <t>PM board (89319): In Production / In Production; job to floor 08/07/26</t>
        </is>
      </c>
    </row>
    <row r="22" spans="1:12" ht="16.5" thickTop="1" thickBot="1" x14ac:dyDescent="0.3">
      <c r="A22" s="5" t="s">
        <v>804</v>
      </c>
      <c r="B22" s="81">
        <v>88405</v>
      </c>
      <c r="C22" s="82" t="s">
        <v>11</v>
      </c>
      <c r="D22" s="49">
        <v>46245</v>
      </c>
      <c r="E22" s="49" t="s">
        <v>13</v>
      </c>
      <c r="F22" s="49">
        <v>46282</v>
      </c>
      <c r="G22" s="45"/>
      <c r="H22" s="58"/>
      <c r="I22" s="59"/>
      <c r="J22" s="59">
        <f>VLOOKUP(B22,'Aug 26'!B:G,6,FALSE)</f>
        <v>2877.11</v>
      </c>
      <c r="K22" s="59">
        <f>J22-G22</f>
        <v>2877.11</v>
      </c>
      <c r="L22" s="59" t="s">
        <v>791</v>
      </c>
    </row>
    <row r="23" spans="1:13" ht="16.5" thickTop="1" thickBot="1" x14ac:dyDescent="0.3">
      <c r="A23" s="5" t="s">
        <v>733</v>
      </c>
      <c r="B23" s="6">
        <v>89197</v>
      </c>
      <c r="C23" s="7" t="s">
        <v>11</v>
      </c>
      <c r="D23" s="39">
        <v>46198</v>
      </c>
      <c r="E23" s="39" t="inlineStr">
        <is>
          <t>Pre-Production</t>
        </is>
      </c>
      <c r="F23" s="39" t="inlineStr">
        <is>
          <t>Pre-Production</t>
        </is>
      </c>
      <c r="G23" s="9">
        <v>19024</v>
      </c>
      <c r="H23" s="10">
        <f t="shared" si="0"/>
        <v>19022.129999999997</v>
      </c>
      <c r="I23" s="11">
        <v>38046.129999999997</v>
      </c>
      <c r="J23" s="11">
        <f>VLOOKUP(B23,'Aug 26'!B:G,6,FALSE)</f>
        <v>19024</v>
      </c>
      <c r="K23" s="11">
        <v>0</v>
      </c>
      <c r="L23" s="11">
        <f t="shared" si="1"/>
        <v>0</v>
      </c>
      <c r="M23" s="5" t="inlineStr">
        <is>
          <t>Not on PM board at 9/30 (engineering/JDM) - pre-production</t>
        </is>
      </c>
    </row>
    <row r="24" spans="1:13" ht="16.5" thickTop="1" thickBot="1" x14ac:dyDescent="0.3">
      <c r="A24" s="5" t="s">
        <v>805</v>
      </c>
      <c r="B24" s="6">
        <v>92249</v>
      </c>
      <c r="C24" s="7" t="s">
        <v>21</v>
      </c>
      <c r="D24" s="39">
        <v>46247</v>
      </c>
      <c r="E24" s="39">
        <v>46279</v>
      </c>
      <c r="F24" s="39" t="inlineStr">
        <is>
          <t>In Production</t>
        </is>
      </c>
      <c r="G24" s="9">
        <v>4709.72</v>
      </c>
      <c r="H24" s="10">
        <f t="shared" si="0"/>
        <v>4781.9899999999989</v>
      </c>
      <c r="I24" s="11">
        <v>9491.7099999999991</v>
      </c>
      <c r="J24" s="11">
        <f>VLOOKUP(B24,'Aug 26'!B:G,6,FALSE)</f>
        <v>4709.72</v>
      </c>
      <c r="K24" s="11">
        <v>0</v>
      </c>
      <c r="L24" s="11">
        <f t="shared" si="1"/>
        <v>0</v>
      </c>
      <c r="M24" s="5" t="inlineStr">
        <is>
          <t>PM board (92249): Waiting For Final to be Collected / Final Invoicing; job to floor 09/14/26; production completed 10/01/26 (after month end); final invoice requested 10/01/26</t>
        </is>
      </c>
    </row>
    <row r="25" spans="1:12" ht="16.5" thickTop="1" thickBot="1" x14ac:dyDescent="0.3">
      <c r="A25" s="5" t="s">
        <v>144</v>
      </c>
      <c r="B25" s="81">
        <v>85791</v>
      </c>
      <c r="C25" s="82" t="s">
        <v>23</v>
      </c>
      <c r="D25" s="49">
        <v>45959</v>
      </c>
      <c r="E25" s="49">
        <f>VLOOKUP(B25,[1]Production!$B:$E,4,FALSE)</f>
        <v>46206</v>
      </c>
      <c r="F25" s="49">
        <v>46274</v>
      </c>
      <c r="G25" s="45"/>
      <c r="H25" s="58"/>
      <c r="I25" s="59"/>
      <c r="J25" s="59">
        <f>VLOOKUP(B25,'Aug 26'!B:G,6,FALSE)</f>
        <v>50992</v>
      </c>
      <c r="K25" s="59">
        <f>J25-G25</f>
        <v>50992</v>
      </c>
      <c r="L25" s="59" t="s">
        <v>791</v>
      </c>
    </row>
    <row r="26" spans="1:13" ht="16.5" thickTop="1" thickBot="1" x14ac:dyDescent="0.3">
      <c r="A26" s="5" t="s">
        <v>635</v>
      </c>
      <c r="B26" s="6">
        <v>89792</v>
      </c>
      <c r="C26" s="6" t="s">
        <v>23</v>
      </c>
      <c r="D26" s="39">
        <v>46140</v>
      </c>
      <c r="E26" s="39">
        <v>46269</v>
      </c>
      <c r="F26" s="39" t="inlineStr">
        <is>
          <t>In Production</t>
        </is>
      </c>
      <c r="G26" s="9">
        <v>34278</v>
      </c>
      <c r="H26" s="10">
        <f t="shared" si="0"/>
        <v>45076</v>
      </c>
      <c r="I26" s="11">
        <v>79354</v>
      </c>
      <c r="J26" s="11">
        <f>VLOOKUP(B26,'Aug 26'!B:G,6,FALSE)</f>
        <v>34278</v>
      </c>
      <c r="K26" s="11">
        <f>IF(G26=0,J26-G26,0)</f>
        <v>0</v>
      </c>
      <c r="L26" s="11">
        <f t="shared" si="1"/>
        <v>0</v>
      </c>
      <c r="M26" s="5" t="inlineStr">
        <is>
          <t>PM board (89792): In Production / In Production; job to floor 09/04/26</t>
        </is>
      </c>
    </row>
    <row r="27" spans="1:13" ht="16.5" thickTop="1" thickBot="1" x14ac:dyDescent="0.3">
      <c r="A27" s="5" t="s">
        <v>816</v>
      </c>
      <c r="B27" s="6">
        <v>91561</v>
      </c>
      <c r="C27" s="7" t="s">
        <v>23</v>
      </c>
      <c r="D27" s="39">
        <v>46254</v>
      </c>
      <c r="E27" s="39" t="inlineStr">
        <is>
          <t>Pre-Production</t>
        </is>
      </c>
      <c r="F27" s="39" t="inlineStr">
        <is>
          <t>Pre-Production</t>
        </is>
      </c>
      <c r="G27" s="9">
        <v>10289.43</v>
      </c>
      <c r="H27" s="10">
        <f t="shared" si="0"/>
        <v>10289.439999999999</v>
      </c>
      <c r="I27" s="11">
        <v>20578.87</v>
      </c>
      <c r="J27" s="11">
        <f>VLOOKUP(B27,'Aug 26'!B:G,6,FALSE)</f>
        <v>10289.43</v>
      </c>
      <c r="K27" s="11">
        <v>0</v>
      </c>
      <c r="L27" s="11">
        <f t="shared" si="1"/>
        <v>0</v>
      </c>
      <c r="M27" s="5" t="inlineStr">
        <is>
          <t>Not on PM board at 9/30 (engineering/JDM) - pre-production</t>
        </is>
      </c>
    </row>
    <row r="28" spans="1:13" ht="16.5" thickTop="1" thickBot="1" x14ac:dyDescent="0.3">
      <c r="A28" s="5" t="s">
        <v>145</v>
      </c>
      <c r="B28" s="6">
        <v>83690</v>
      </c>
      <c r="C28" s="7" t="s">
        <v>23</v>
      </c>
      <c r="D28" s="39">
        <v>45959</v>
      </c>
      <c r="E28" s="39">
        <v>46206</v>
      </c>
      <c r="F28" s="39" t="inlineStr">
        <is>
          <t>In Production</t>
        </is>
      </c>
      <c r="G28" s="9">
        <v>200341.5</v>
      </c>
      <c r="H28" s="10">
        <f t="shared" si="0"/>
        <v>205952.5</v>
      </c>
      <c r="I28" s="11">
        <v>406294</v>
      </c>
      <c r="J28" s="11">
        <f>VLOOKUP(B28,'Aug 26'!B:G,6,FALSE)</f>
        <v>200341.5</v>
      </c>
      <c r="K28" s="11">
        <f>J28-G28</f>
        <v>0</v>
      </c>
      <c r="L28" s="11">
        <f t="shared" si="1"/>
        <v>0</v>
      </c>
      <c r="M28" s="5" t="inlineStr">
        <is>
          <t>PM board (83690): In Production / In Production; job to floor 07/03/26</t>
        </is>
      </c>
    </row>
    <row r="29" spans="1:13" ht="16.5" thickTop="1" thickBot="1" x14ac:dyDescent="0.3">
      <c r="A29" s="5" t="s">
        <v>684</v>
      </c>
      <c r="B29" s="6">
        <v>89873</v>
      </c>
      <c r="C29" s="7" t="s">
        <v>23</v>
      </c>
      <c r="D29" s="39">
        <v>46168</v>
      </c>
      <c r="E29" s="39">
        <v>46216</v>
      </c>
      <c r="F29" s="39" t="inlineStr">
        <is>
          <t>In Production</t>
        </is>
      </c>
      <c r="G29" s="9">
        <v>165000</v>
      </c>
      <c r="H29" s="10">
        <f t="shared" si="0"/>
        <v>165000</v>
      </c>
      <c r="I29" s="11">
        <v>330000</v>
      </c>
      <c r="J29" s="11">
        <f>VLOOKUP(B29,'Aug 26'!B:G,6,FALSE)</f>
        <v>165000</v>
      </c>
      <c r="K29" s="11"/>
      <c r="L29" s="11">
        <f t="shared" si="1"/>
        <v>0</v>
      </c>
      <c r="M29" s="5" t="inlineStr">
        <is>
          <t>PM board (89873): In Production / In Production; job to floor 07/13/26</t>
        </is>
      </c>
    </row>
    <row r="30" spans="1:12" ht="16.5" thickTop="1" thickBot="1" x14ac:dyDescent="0.3">
      <c r="A30" s="95" t="s">
        <v>685</v>
      </c>
      <c r="B30" s="81">
        <v>90207</v>
      </c>
      <c r="C30" s="82" t="s">
        <v>23</v>
      </c>
      <c r="D30" s="49">
        <v>46168</v>
      </c>
      <c r="E30" s="49">
        <f>VLOOKUP(B30,[1]Production!$B:$E,4,FALSE)</f>
        <v>46224</v>
      </c>
      <c r="F30" s="49">
        <v>46268</v>
      </c>
      <c r="G30" s="45">
        <v>0</v>
      </c>
      <c r="H30" s="58">
        <v>0</v>
      </c>
      <c r="I30" s="59">
        <v>0</v>
      </c>
      <c r="J30" s="59">
        <f>VLOOKUP(B30,'Aug 26'!B:G,6,FALSE)</f>
        <v>7754</v>
      </c>
      <c r="K30" s="59">
        <f>J30-G30</f>
        <v>7754</v>
      </c>
      <c r="L30" s="59" t="s">
        <v>791</v>
      </c>
    </row>
    <row r="31" spans="1:13" ht="16.5" thickTop="1" thickBot="1" x14ac:dyDescent="0.3">
      <c r="A31" s="5" t="s">
        <v>584</v>
      </c>
      <c r="B31" s="6">
        <v>89607</v>
      </c>
      <c r="C31" s="7" t="s">
        <v>27</v>
      </c>
      <c r="D31" s="39">
        <v>46126</v>
      </c>
      <c r="E31" s="39" t="inlineStr">
        <is>
          <t>Pre-Production</t>
        </is>
      </c>
      <c r="F31" s="39" t="inlineStr">
        <is>
          <t>Pre-Production</t>
        </is>
      </c>
      <c r="G31" s="9">
        <v>19335</v>
      </c>
      <c r="H31" s="10">
        <f>I31-G31</f>
        <v>19335</v>
      </c>
      <c r="I31" s="11">
        <v>38670</v>
      </c>
      <c r="J31" s="11">
        <f>VLOOKUP(B31,'Aug 26'!B:G,6,FALSE)</f>
        <v>19335</v>
      </c>
      <c r="K31" s="11">
        <v>0</v>
      </c>
      <c r="L31" s="11">
        <f t="shared" ref="L31:L72" si="2">G31-J31</f>
        <v>0</v>
      </c>
      <c r="M31" s="5" t="inlineStr">
        <is>
          <t>PM board (89607): Sent to Engineering / Sent to Engineering</t>
        </is>
      </c>
    </row>
    <row r="32" spans="1:13" ht="16.5" thickTop="1" thickBot="1" x14ac:dyDescent="0.3">
      <c r="A32" s="5" t="s">
        <v>759</v>
      </c>
      <c r="B32" s="6">
        <v>87583</v>
      </c>
      <c r="C32" s="7" t="s">
        <v>23</v>
      </c>
      <c r="D32" s="39">
        <v>46217</v>
      </c>
      <c r="E32" s="39" t="inlineStr">
        <is>
          <t>Pre-Production</t>
        </is>
      </c>
      <c r="F32" s="39" t="inlineStr">
        <is>
          <t>Pre-Production</t>
        </is>
      </c>
      <c r="G32" s="9">
        <f>12356+4616.8</f>
        <v>16972.8</v>
      </c>
      <c r="H32" s="10">
        <f>I32-G32</f>
        <v>16000.000000000004</v>
      </c>
      <c r="I32" s="11">
        <v>32972.800000000003</v>
      </c>
      <c r="J32" s="11">
        <f>VLOOKUP(B32,'Aug 26'!B:G,6,FALSE)</f>
        <v>16972.8</v>
      </c>
      <c r="K32" s="11">
        <v>0</v>
      </c>
      <c r="L32" s="83">
        <f t="shared" si="2"/>
        <v>0</v>
      </c>
      <c r="M32" s="5" t="inlineStr">
        <is>
          <t>PM board (87583): PM Review Documents / PM Review</t>
        </is>
      </c>
    </row>
    <row r="33" spans="1:13" ht="16.5" thickTop="1" thickBot="1" x14ac:dyDescent="0.3">
      <c r="A33" s="5" t="s">
        <v>810</v>
      </c>
      <c r="B33" s="6">
        <v>86644</v>
      </c>
      <c r="C33" s="7" t="s">
        <v>14</v>
      </c>
      <c r="D33" s="39">
        <v>46251</v>
      </c>
      <c r="E33" s="39" t="inlineStr">
        <is>
          <t>Pre-Production</t>
        </is>
      </c>
      <c r="F33" s="39" t="inlineStr">
        <is>
          <t>Pre-Production</t>
        </is>
      </c>
      <c r="G33" s="9">
        <v>17211.11</v>
      </c>
      <c r="H33" s="10">
        <f>I33-G33</f>
        <v>17211.099999999999</v>
      </c>
      <c r="I33" s="11">
        <v>34422.21</v>
      </c>
      <c r="J33" s="11">
        <f>VLOOKUP(B33,'Aug 26'!B:G,6,FALSE)</f>
        <v>17211.11</v>
      </c>
      <c r="K33" s="11">
        <v>0</v>
      </c>
      <c r="L33" s="11">
        <f t="shared" si="2"/>
        <v>0</v>
      </c>
      <c r="M33" s="5" t="inlineStr">
        <is>
          <t>PM board (86644): Sent to Engineering / Sent to Engineering</t>
        </is>
      </c>
    </row>
    <row r="34" spans="1:13" ht="16.5" thickTop="1" thickBot="1" x14ac:dyDescent="0.3">
      <c r="A34" s="5" t="s">
        <v>502</v>
      </c>
      <c r="B34" s="6">
        <v>84966</v>
      </c>
      <c r="C34" s="7" t="s">
        <v>14</v>
      </c>
      <c r="D34" s="39">
        <v>46099</v>
      </c>
      <c r="E34" s="39" t="inlineStr">
        <is>
          <t>Pre-Production</t>
        </is>
      </c>
      <c r="F34" s="39" t="inlineStr">
        <is>
          <t>Pre-Production</t>
        </is>
      </c>
      <c r="G34" s="9">
        <v>39804</v>
      </c>
      <c r="H34" s="10">
        <f>I34-G34</f>
        <v>39803</v>
      </c>
      <c r="I34" s="11">
        <v>79607</v>
      </c>
      <c r="J34" s="11">
        <f>VLOOKUP(B34,'Aug 26'!B:G,6,FALSE)</f>
        <v>39804</v>
      </c>
      <c r="K34" s="11">
        <v>0</v>
      </c>
      <c r="L34" s="11">
        <f t="shared" si="2"/>
        <v>0</v>
      </c>
      <c r="M34" s="5" t="inlineStr">
        <is>
          <t>PM board (84966): Sent to Engineering / Sent to Engineering</t>
        </is>
      </c>
    </row>
    <row r="35" spans="1:13" ht="16.5" thickTop="1" thickBot="1" x14ac:dyDescent="0.3">
      <c r="A35" s="20" t="s">
        <v>24</v>
      </c>
      <c r="B35" s="13" t="s">
        <v>89</v>
      </c>
      <c r="C35" s="14"/>
      <c r="D35" s="40">
        <v>44712</v>
      </c>
      <c r="E35" s="40" t="inlineStr">
        <is>
          <t>Pre-Production</t>
        </is>
      </c>
      <c r="F35" s="40" t="inlineStr">
        <is>
          <t>Pre-Production</t>
        </is>
      </c>
      <c r="G35" s="21">
        <v>4108</v>
      </c>
      <c r="H35" s="17">
        <v>0</v>
      </c>
      <c r="I35" s="18">
        <v>4108</v>
      </c>
      <c r="J35" s="18">
        <f>VLOOKUP(B35,'Aug 26'!B:G,6,FALSE)</f>
        <v>4108</v>
      </c>
      <c r="K35" s="18">
        <v>0</v>
      </c>
      <c r="L35" s="18">
        <f t="shared" si="2"/>
        <v>0</v>
      </c>
      <c r="M35" s="5" t="inlineStr">
        <is>
          <t>Not on PM board at 9/30 (engineering/JDM) - pre-production</t>
        </is>
      </c>
    </row>
    <row r="36" spans="1:13" ht="16.5" thickTop="1" thickBot="1" x14ac:dyDescent="0.3">
      <c r="A36" s="5" t="s">
        <v>808</v>
      </c>
      <c r="B36" s="6">
        <v>89234</v>
      </c>
      <c r="C36" s="7" t="s">
        <v>370</v>
      </c>
      <c r="D36" s="39">
        <v>46251</v>
      </c>
      <c r="E36" s="39">
        <v>46288</v>
      </c>
      <c r="F36" s="39" t="inlineStr">
        <is>
          <t>In Production</t>
        </is>
      </c>
      <c r="G36" s="9">
        <v>16397.27</v>
      </c>
      <c r="H36" s="10">
        <f t="shared" ref="H36:H72" si="3">I36-G36</f>
        <v>16397.259999999998</v>
      </c>
      <c r="I36" s="11">
        <v>32794.53</v>
      </c>
      <c r="J36" s="11">
        <f>VLOOKUP(B36,'Aug 26'!B:G,6,FALSE)</f>
        <v>16397.27</v>
      </c>
      <c r="K36" s="11">
        <v>0</v>
      </c>
      <c r="L36" s="11">
        <f t="shared" si="2"/>
        <v>0</v>
      </c>
      <c r="M36" s="5" t="inlineStr">
        <is>
          <t>PM board (89234): In Production / In Production; job to floor 09/23/26</t>
        </is>
      </c>
    </row>
    <row r="37" spans="1:12" ht="16.5" thickTop="1" thickBot="1" x14ac:dyDescent="0.3">
      <c r="A37" s="5" t="s">
        <v>760</v>
      </c>
      <c r="B37" s="81">
        <v>91153</v>
      </c>
      <c r="C37" s="82" t="s">
        <v>40</v>
      </c>
      <c r="D37" s="49">
        <v>46217</v>
      </c>
      <c r="E37" s="49">
        <f>VLOOKUP(B37,[1]Production!$B:$E,4,FALSE)</f>
        <v>46232</v>
      </c>
      <c r="F37" s="49">
        <v>46273</v>
      </c>
      <c r="G37" s="45"/>
      <c r="H37" s="58"/>
      <c r="I37" s="59"/>
      <c r="J37" s="59">
        <f>VLOOKUP(B37,'Aug 26'!B:G,6,FALSE)</f>
        <v>6707.99</v>
      </c>
      <c r="K37" s="59">
        <f t="shared" ref="K37:K38" si="4">J37-G37</f>
        <v>6707.99</v>
      </c>
      <c r="L37" s="59" t="s">
        <v>791</v>
      </c>
    </row>
    <row r="38" spans="1:12" ht="16.5" thickTop="1" thickBot="1" x14ac:dyDescent="0.3">
      <c r="A38" s="5" t="s">
        <v>274</v>
      </c>
      <c r="B38" s="81">
        <v>88868</v>
      </c>
      <c r="C38" s="82" t="s">
        <v>45</v>
      </c>
      <c r="D38" s="49">
        <v>46059</v>
      </c>
      <c r="E38" s="49">
        <f>VLOOKUP(B38,[1]Production!$B:$E,4,FALSE)</f>
        <v>46181</v>
      </c>
      <c r="F38" s="49">
        <v>46273</v>
      </c>
      <c r="G38" s="45"/>
      <c r="H38" s="58"/>
      <c r="I38" s="59"/>
      <c r="J38" s="59">
        <f>VLOOKUP(B38,'Aug 26'!B:G,6,FALSE)</f>
        <v>17321</v>
      </c>
      <c r="K38" s="59">
        <f t="shared" si="4"/>
        <v>17321</v>
      </c>
      <c r="L38" s="59" t="s">
        <v>791</v>
      </c>
    </row>
    <row r="39" spans="1:13" ht="16.5" thickTop="1" thickBot="1" x14ac:dyDescent="0.3">
      <c r="A39" s="5" t="s">
        <v>586</v>
      </c>
      <c r="B39" s="6">
        <v>88845</v>
      </c>
      <c r="C39" s="7" t="s">
        <v>14</v>
      </c>
      <c r="D39" s="39">
        <v>46115</v>
      </c>
      <c r="E39" s="39" t="inlineStr">
        <is>
          <t>Pre-Production</t>
        </is>
      </c>
      <c r="F39" s="39" t="inlineStr">
        <is>
          <t>Pre-Production</t>
        </is>
      </c>
      <c r="G39" s="9">
        <v>51819</v>
      </c>
      <c r="H39" s="10">
        <f t="shared" si="3"/>
        <v>51818</v>
      </c>
      <c r="I39" s="11">
        <v>103637</v>
      </c>
      <c r="J39" s="11">
        <f>VLOOKUP(B39,'Aug 26'!B:G,6,FALSE)</f>
        <v>51819</v>
      </c>
      <c r="K39" s="11">
        <v>0</v>
      </c>
      <c r="L39" s="11">
        <f t="shared" si="2"/>
        <v>0</v>
      </c>
      <c r="M39" s="5" t="inlineStr">
        <is>
          <t>PM board (88845): Sent to Engineering / Sent to Engineering</t>
        </is>
      </c>
    </row>
    <row r="40" spans="1:13" ht="16.5" thickTop="1" thickBot="1" x14ac:dyDescent="0.3">
      <c r="A40" s="5" t="s">
        <v>800</v>
      </c>
      <c r="B40" s="6">
        <v>87745</v>
      </c>
      <c r="C40" s="7" t="s">
        <v>23</v>
      </c>
      <c r="D40" s="39">
        <v>46240</v>
      </c>
      <c r="E40" s="39">
        <v>46267</v>
      </c>
      <c r="F40" s="39" t="inlineStr">
        <is>
          <t>In Production</t>
        </is>
      </c>
      <c r="G40" s="9">
        <v>26051.25</v>
      </c>
      <c r="H40" s="10">
        <f t="shared" si="3"/>
        <v>26051.25</v>
      </c>
      <c r="I40" s="11">
        <v>52102.5</v>
      </c>
      <c r="J40" s="11">
        <f>VLOOKUP(B40,'Aug 26'!B:G,6,FALSE)</f>
        <v>26051.25</v>
      </c>
      <c r="K40" s="11">
        <v>0</v>
      </c>
      <c r="L40" s="11">
        <f t="shared" si="2"/>
        <v>0</v>
      </c>
      <c r="M40" s="5" t="inlineStr">
        <is>
          <t>PM board (87745): In Production / In Production; job to floor 09/02/26</t>
        </is>
      </c>
    </row>
    <row r="41" spans="1:13" ht="16.5" thickTop="1" thickBot="1" x14ac:dyDescent="0.3">
      <c r="A41" s="5" t="s">
        <v>641</v>
      </c>
      <c r="B41" s="6">
        <v>89254</v>
      </c>
      <c r="C41" s="6" t="s">
        <v>18</v>
      </c>
      <c r="D41" s="39">
        <v>46142</v>
      </c>
      <c r="E41" s="39" t="inlineStr">
        <is>
          <t>Pre-Production</t>
        </is>
      </c>
      <c r="F41" s="39" t="inlineStr">
        <is>
          <t>Pre-Production</t>
        </is>
      </c>
      <c r="G41" s="9">
        <v>8136</v>
      </c>
      <c r="H41" s="10">
        <f t="shared" si="3"/>
        <v>8136</v>
      </c>
      <c r="I41" s="11">
        <v>16272</v>
      </c>
      <c r="J41" s="11">
        <f>VLOOKUP(B41,'Aug 26'!B:G,6,FALSE)</f>
        <v>8136</v>
      </c>
      <c r="K41" s="11">
        <f>IF(G41=0,J41-G41,0)</f>
        <v>0</v>
      </c>
      <c r="L41" s="11">
        <f t="shared" si="2"/>
        <v>0</v>
      </c>
      <c r="M41" s="5" t="inlineStr">
        <is>
          <t>PM board (89254): Sent to Engineering / Sent to Engineering</t>
        </is>
      </c>
    </row>
    <row r="42" spans="1:13" ht="16.5" thickTop="1" thickBot="1" x14ac:dyDescent="0.3">
      <c r="A42" s="5" t="s">
        <v>819</v>
      </c>
      <c r="B42" s="6">
        <v>90820</v>
      </c>
      <c r="C42" s="7" t="s">
        <v>20</v>
      </c>
      <c r="D42" s="39">
        <v>46255</v>
      </c>
      <c r="E42" s="39">
        <v>46266</v>
      </c>
      <c r="F42" s="39" t="inlineStr">
        <is>
          <t>In Production</t>
        </is>
      </c>
      <c r="G42" s="9">
        <v>5841.5</v>
      </c>
      <c r="H42" s="10">
        <f t="shared" si="3"/>
        <v>5841.5</v>
      </c>
      <c r="I42" s="11">
        <v>11683</v>
      </c>
      <c r="J42" s="11">
        <f>VLOOKUP(B42,'Aug 26'!B:G,6,FALSE)</f>
        <v>5841.5</v>
      </c>
      <c r="K42" s="11">
        <v>0</v>
      </c>
      <c r="L42" s="11">
        <f t="shared" si="2"/>
        <v>0</v>
      </c>
      <c r="M42" s="5" t="inlineStr">
        <is>
          <t>PM board (90820): In Production / In Production; job to floor 09/01/26</t>
        </is>
      </c>
    </row>
    <row r="43" spans="1:13" ht="16.5" thickTop="1" thickBot="1" x14ac:dyDescent="0.3">
      <c r="A43" s="5" t="s">
        <v>75</v>
      </c>
      <c r="B43" s="6">
        <v>83108</v>
      </c>
      <c r="C43" s="7" t="s">
        <v>76</v>
      </c>
      <c r="D43" s="39">
        <v>45764</v>
      </c>
      <c r="E43" s="39">
        <v>46245</v>
      </c>
      <c r="F43" s="39" t="inlineStr">
        <is>
          <t>In Production</t>
        </is>
      </c>
      <c r="G43" s="9">
        <v>172204.5</v>
      </c>
      <c r="H43" s="10">
        <f t="shared" si="3"/>
        <v>162356.5</v>
      </c>
      <c r="I43" s="11">
        <v>334561</v>
      </c>
      <c r="J43" s="11">
        <f>VLOOKUP(B43,'Aug 26'!B:G,6,FALSE)</f>
        <v>172204.5</v>
      </c>
      <c r="K43" s="11">
        <v>0</v>
      </c>
      <c r="L43" s="11">
        <f t="shared" si="2"/>
        <v>0</v>
      </c>
      <c r="M43" s="5" t="inlineStr">
        <is>
          <t>PM board (83108): In Production / In Production; job to floor 08/11/26</t>
        </is>
      </c>
    </row>
    <row r="44" spans="1:13" ht="16.5" thickTop="1" thickBot="1" x14ac:dyDescent="0.3">
      <c r="A44" s="5" t="s">
        <v>378</v>
      </c>
      <c r="B44" s="6">
        <v>85777</v>
      </c>
      <c r="C44" s="7" t="s">
        <v>37</v>
      </c>
      <c r="D44" s="39">
        <v>46093</v>
      </c>
      <c r="E44" s="39" t="inlineStr">
        <is>
          <t>Pre-Production</t>
        </is>
      </c>
      <c r="F44" s="39" t="inlineStr">
        <is>
          <t>Pre-Production</t>
        </is>
      </c>
      <c r="G44" s="9">
        <v>17769</v>
      </c>
      <c r="H44" s="10">
        <f t="shared" si="3"/>
        <v>151010</v>
      </c>
      <c r="I44" s="11">
        <v>168779</v>
      </c>
      <c r="J44" s="11">
        <f>VLOOKUP(B44,'Aug 26'!B:G,6,FALSE)</f>
        <v>17769</v>
      </c>
      <c r="K44" s="11">
        <v>0</v>
      </c>
      <c r="L44" s="11">
        <f t="shared" si="2"/>
        <v>0</v>
      </c>
      <c r="M44" s="5" t="inlineStr">
        <is>
          <t>PM board (85777): Sent to Engineering / Sent to Engineering</t>
        </is>
      </c>
    </row>
    <row r="45" spans="1:13" ht="16.5" thickTop="1" thickBot="1" x14ac:dyDescent="0.3">
      <c r="A45" s="5" t="s">
        <v>814</v>
      </c>
      <c r="B45" s="6">
        <v>92310</v>
      </c>
      <c r="C45" s="7" t="s">
        <v>23</v>
      </c>
      <c r="D45" s="39">
        <v>46253</v>
      </c>
      <c r="E45" s="39">
        <v>46294</v>
      </c>
      <c r="F45" s="39" t="inlineStr">
        <is>
          <t>In Production</t>
        </is>
      </c>
      <c r="G45" s="9">
        <v>13512.99</v>
      </c>
      <c r="H45" s="10">
        <f t="shared" si="3"/>
        <v>13512.99</v>
      </c>
      <c r="I45" s="11">
        <v>27025.98</v>
      </c>
      <c r="J45" s="11">
        <f>VLOOKUP(B45,'Aug 26'!B:G,6,FALSE)</f>
        <v>13512.99</v>
      </c>
      <c r="K45" s="11">
        <v>0</v>
      </c>
      <c r="L45" s="11">
        <f t="shared" si="2"/>
        <v>0</v>
      </c>
      <c r="M45" s="5" t="inlineStr">
        <is>
          <t>PM board (92310/4158): In Production / In Production; job to floor 09/29/26</t>
        </is>
      </c>
    </row>
    <row r="46" spans="1:13" ht="16.5" thickTop="1" thickBot="1" x14ac:dyDescent="0.3">
      <c r="A46" s="5" t="s">
        <v>746</v>
      </c>
      <c r="B46" s="6">
        <v>91224</v>
      </c>
      <c r="C46" s="7" t="s">
        <v>23</v>
      </c>
      <c r="D46" s="39">
        <v>46206</v>
      </c>
      <c r="E46" s="39">
        <v>46276</v>
      </c>
      <c r="F46" s="39" t="inlineStr">
        <is>
          <t>In Production</t>
        </is>
      </c>
      <c r="G46" s="9">
        <v>37539</v>
      </c>
      <c r="H46" s="10">
        <f t="shared" si="3"/>
        <v>31177.229999999996</v>
      </c>
      <c r="I46" s="11">
        <v>68716.23</v>
      </c>
      <c r="J46" s="11">
        <f>VLOOKUP(B46,'Aug 26'!B:G,6,FALSE)</f>
        <v>37539</v>
      </c>
      <c r="K46" s="11">
        <v>0</v>
      </c>
      <c r="L46" s="11">
        <f t="shared" si="2"/>
        <v>0</v>
      </c>
      <c r="M46" s="5" t="inlineStr">
        <is>
          <t>PM board (91224): In Production / In Production; job to floor 09/11/26</t>
        </is>
      </c>
    </row>
    <row r="47" spans="1:13" ht="16.5" thickTop="1" thickBot="1" x14ac:dyDescent="0.3">
      <c r="A47" s="12" t="s">
        <v>763</v>
      </c>
      <c r="B47" s="13">
        <v>90986</v>
      </c>
      <c r="C47" s="14" t="s">
        <v>21</v>
      </c>
      <c r="D47" s="40">
        <v>46218</v>
      </c>
      <c r="E47" s="40">
        <v>46258</v>
      </c>
      <c r="F47" s="40" t="inlineStr">
        <is>
          <t>In Production</t>
        </is>
      </c>
      <c r="G47" s="16">
        <v>13364.81</v>
      </c>
      <c r="H47" s="17">
        <f t="shared" si="3"/>
        <v>0</v>
      </c>
      <c r="I47" s="18">
        <v>13364.81</v>
      </c>
      <c r="J47" s="18">
        <f>VLOOKUP(B47,'Aug 26'!B:G,6,FALSE)</f>
        <v>13364.81</v>
      </c>
      <c r="K47" s="18">
        <v>0</v>
      </c>
      <c r="L47" s="18">
        <f t="shared" si="2"/>
        <v>0</v>
      </c>
      <c r="M47" s="5" t="inlineStr">
        <is>
          <t>PM board (90986): In Production / In Production; job to floor 08/24/26</t>
        </is>
      </c>
    </row>
    <row r="48" spans="1:13" ht="16.5" thickTop="1" thickBot="1" x14ac:dyDescent="0.3">
      <c r="A48" s="12" t="s">
        <v>762</v>
      </c>
      <c r="B48" s="13">
        <v>91574</v>
      </c>
      <c r="C48" s="14" t="s">
        <v>21</v>
      </c>
      <c r="D48" s="40">
        <v>46218</v>
      </c>
      <c r="E48" s="40">
        <v>46258</v>
      </c>
      <c r="F48" s="40" t="inlineStr">
        <is>
          <t>In Production</t>
        </is>
      </c>
      <c r="G48" s="16">
        <v>17427.78</v>
      </c>
      <c r="H48" s="17">
        <f t="shared" si="3"/>
        <v>0</v>
      </c>
      <c r="I48" s="18">
        <v>17427.78</v>
      </c>
      <c r="J48" s="18">
        <f>VLOOKUP(B48,'Aug 26'!B:G,6,FALSE)</f>
        <v>17427.78</v>
      </c>
      <c r="K48" s="18">
        <v>0</v>
      </c>
      <c r="L48" s="18">
        <f t="shared" si="2"/>
        <v>0</v>
      </c>
      <c r="M48" s="5" t="inlineStr">
        <is>
          <t>PM board (91574): In Production / In Production; job to floor 08/24/26</t>
        </is>
      </c>
    </row>
    <row r="49" spans="1:13" ht="16.5" thickTop="1" thickBot="1" x14ac:dyDescent="0.3">
      <c r="A49" s="5" t="s">
        <v>663</v>
      </c>
      <c r="B49" s="6">
        <v>90600</v>
      </c>
      <c r="C49" s="7" t="s">
        <v>21</v>
      </c>
      <c r="D49" s="39" t="s">
        <v>670</v>
      </c>
      <c r="E49" s="39">
        <v>46189</v>
      </c>
      <c r="F49" s="39">
        <v>46293</v>
      </c>
      <c r="G49" s="19">
        <v>0</v>
      </c>
      <c r="H49" s="10">
        <v>0</v>
      </c>
      <c r="I49" s="11">
        <v>0</v>
      </c>
      <c r="J49" s="11">
        <f>VLOOKUP(B49,'Aug 26'!B:G,6,FALSE)</f>
        <v>84439.3</v>
      </c>
      <c r="K49" s="11">
        <f>J49-G49</f>
        <v>84439.3</v>
      </c>
      <c r="L49" s="11" t="inlineStr">
        <is>
          <t>Invoiced this month</t>
        </is>
      </c>
      <c r="M49" s="5" t="inlineStr">
        <is>
          <t>Final invoice #17526 09/28/26 applied deposit - PM board (90600): Crating / Packaging/Crating; job to floor 06/16/26; final invoice requested 09/28/26</t>
        </is>
      </c>
    </row>
    <row r="50" spans="1:13" ht="16.5" thickTop="1" thickBot="1" x14ac:dyDescent="0.3">
      <c r="A50" s="5" t="s">
        <v>375</v>
      </c>
      <c r="B50" s="6">
        <v>88756</v>
      </c>
      <c r="C50" s="7" t="s">
        <v>23</v>
      </c>
      <c r="D50" s="39">
        <v>46092</v>
      </c>
      <c r="E50" s="39">
        <v>46240</v>
      </c>
      <c r="F50" s="39" t="inlineStr">
        <is>
          <t>In Production</t>
        </is>
      </c>
      <c r="G50" s="9">
        <v>160000</v>
      </c>
      <c r="H50" s="10">
        <f t="shared" si="3"/>
        <v>158239</v>
      </c>
      <c r="I50" s="11">
        <v>318239</v>
      </c>
      <c r="J50" s="11">
        <f>VLOOKUP(B50,'Aug 26'!B:G,6,FALSE)</f>
        <v>160000</v>
      </c>
      <c r="K50" s="11">
        <v>0</v>
      </c>
      <c r="L50" s="11">
        <f t="shared" si="2"/>
        <v>0</v>
      </c>
      <c r="M50" s="5" t="inlineStr">
        <is>
          <t>PM board (88756): In Production / In Production; job to floor 08/06/26</t>
        </is>
      </c>
    </row>
    <row r="51" spans="1:12" ht="16.5" thickTop="1" thickBot="1" x14ac:dyDescent="0.3">
      <c r="A51" s="5" t="s">
        <v>711</v>
      </c>
      <c r="B51" s="81">
        <v>90442</v>
      </c>
      <c r="C51" s="82" t="s">
        <v>23</v>
      </c>
      <c r="D51" s="49">
        <v>46181</v>
      </c>
      <c r="E51" s="49">
        <f>VLOOKUP(B51,[1]Production!$B:$E,4,FALSE)</f>
        <v>46232</v>
      </c>
      <c r="F51" s="49">
        <v>46279</v>
      </c>
      <c r="G51" s="45"/>
      <c r="H51" s="58"/>
      <c r="I51" s="59"/>
      <c r="J51" s="59">
        <f>VLOOKUP(B51,'Aug 26'!B:G,6,FALSE)</f>
        <v>72316</v>
      </c>
      <c r="K51" s="59">
        <f>J51-G51</f>
        <v>72316</v>
      </c>
      <c r="L51" s="59" t="s">
        <v>791</v>
      </c>
    </row>
    <row r="52" spans="1:13" ht="16.5" thickTop="1" thickBot="1" x14ac:dyDescent="0.3">
      <c r="A52" s="5" t="s">
        <v>223</v>
      </c>
      <c r="B52" s="6">
        <v>83729</v>
      </c>
      <c r="C52" s="7" t="s">
        <v>23</v>
      </c>
      <c r="D52" s="39">
        <v>46028</v>
      </c>
      <c r="E52" s="39">
        <v>46156</v>
      </c>
      <c r="F52" s="39" t="inlineStr">
        <is>
          <t>In Production</t>
        </is>
      </c>
      <c r="G52" s="9">
        <v>31223</v>
      </c>
      <c r="H52" s="10">
        <f t="shared" si="3"/>
        <v>27501</v>
      </c>
      <c r="I52" s="11">
        <v>58724</v>
      </c>
      <c r="J52" s="11">
        <f>VLOOKUP(B52,'Aug 26'!B:G,6,FALSE)</f>
        <v>31223</v>
      </c>
      <c r="K52" s="11">
        <v>0</v>
      </c>
      <c r="L52" s="11">
        <f t="shared" si="2"/>
        <v>0</v>
      </c>
      <c r="M52" s="5" t="inlineStr">
        <is>
          <t>PM board (83729): In Production / In Production; job to floor 05/14/26</t>
        </is>
      </c>
    </row>
    <row r="53" spans="1:13" ht="16.5" thickTop="1" thickBot="1" x14ac:dyDescent="0.3">
      <c r="A53" s="5" t="s">
        <v>504</v>
      </c>
      <c r="B53" s="6">
        <v>85504</v>
      </c>
      <c r="C53" s="7" t="s">
        <v>38</v>
      </c>
      <c r="D53" s="39">
        <v>46100</v>
      </c>
      <c r="E53" s="39" t="inlineStr">
        <is>
          <t>Pre-Production</t>
        </is>
      </c>
      <c r="F53" s="39" t="inlineStr">
        <is>
          <t>Pre-Production</t>
        </is>
      </c>
      <c r="G53" s="9">
        <v>151068</v>
      </c>
      <c r="H53" s="10">
        <f t="shared" si="3"/>
        <v>151068</v>
      </c>
      <c r="I53" s="11">
        <v>302136</v>
      </c>
      <c r="J53" s="11">
        <f>VLOOKUP(B53,'Aug 26'!B:G,6,FALSE)</f>
        <v>151068</v>
      </c>
      <c r="K53" s="11">
        <v>0</v>
      </c>
      <c r="L53" s="11">
        <f t="shared" si="2"/>
        <v>0</v>
      </c>
      <c r="M53" s="5" t="inlineStr">
        <is>
          <t>PM board (85504): Sent to Engineering / Sent to Engineering</t>
        </is>
      </c>
    </row>
    <row r="54" spans="1:13" ht="16.5" thickTop="1" thickBot="1" x14ac:dyDescent="0.3">
      <c r="A54" s="5" t="s">
        <v>778</v>
      </c>
      <c r="B54" s="6">
        <v>87546</v>
      </c>
      <c r="C54" s="7" t="s">
        <v>33</v>
      </c>
      <c r="D54" s="39">
        <v>46230</v>
      </c>
      <c r="E54" s="39">
        <v>46273</v>
      </c>
      <c r="F54" s="39">
        <v>46295</v>
      </c>
      <c r="G54" s="9">
        <v>0</v>
      </c>
      <c r="H54" s="10">
        <v>0</v>
      </c>
      <c r="I54" s="11">
        <v>0</v>
      </c>
      <c r="J54" s="11">
        <f>VLOOKUP(B54,'Aug 26'!B:G,6,FALSE)</f>
        <v>14474.14</v>
      </c>
      <c r="K54" s="11">
        <f>J54-G54</f>
        <v>14474.14</v>
      </c>
      <c r="L54" s="11" t="inlineStr">
        <is>
          <t>Invoiced this month</t>
        </is>
      </c>
      <c r="M54" s="5" t="inlineStr">
        <is>
          <t>Final invoice #17541 09/30/26 applied deposit - PM board (87546): Crating / Packaging/Crating; job to floor 09/08/26; production completed 10/01/26 (after month end); final invoice requested 09/30/26</t>
        </is>
      </c>
    </row>
    <row r="55" spans="1:12" ht="16.5" thickTop="1" thickBot="1" x14ac:dyDescent="0.3">
      <c r="A55" s="5" t="s">
        <v>701</v>
      </c>
      <c r="B55" s="6">
        <v>90853</v>
      </c>
      <c r="C55" s="7" t="s">
        <v>40</v>
      </c>
      <c r="D55" s="39">
        <v>46177</v>
      </c>
      <c r="E55" s="39">
        <f>VLOOKUP(B55,[1]Production!$B:$E,4,FALSE)</f>
        <v>46202</v>
      </c>
      <c r="F55" s="39">
        <v>46286</v>
      </c>
      <c r="G55" s="45">
        <v>0</v>
      </c>
      <c r="H55" s="58">
        <v>0</v>
      </c>
      <c r="I55" s="59">
        <v>0</v>
      </c>
      <c r="J55" s="59">
        <f>VLOOKUP(B55,'Aug 26'!B:G,6,FALSE)</f>
        <v>48347</v>
      </c>
      <c r="K55" s="59">
        <f t="shared" ref="K55:K56" si="5">J55-G55</f>
        <v>48347</v>
      </c>
      <c r="L55" s="59" t="s">
        <v>791</v>
      </c>
    </row>
    <row r="56" spans="1:12" ht="16.5" thickTop="1" thickBot="1" x14ac:dyDescent="0.3">
      <c r="A56" s="5" t="s">
        <v>640</v>
      </c>
      <c r="B56" s="6">
        <v>89324</v>
      </c>
      <c r="C56" s="6" t="s">
        <v>31</v>
      </c>
      <c r="D56" s="39">
        <v>46141</v>
      </c>
      <c r="E56" s="39">
        <f>VLOOKUP(B56,[1]Production!$B:$E,4,FALSE)</f>
        <v>46197</v>
      </c>
      <c r="F56" s="39">
        <v>46286</v>
      </c>
      <c r="G56" s="45">
        <v>0</v>
      </c>
      <c r="H56" s="58">
        <v>0</v>
      </c>
      <c r="I56" s="59">
        <v>0</v>
      </c>
      <c r="J56" s="59">
        <f>VLOOKUP(B56,'Aug 26'!B:G,6,FALSE)</f>
        <v>15963</v>
      </c>
      <c r="K56" s="59">
        <f t="shared" si="5"/>
        <v>15963</v>
      </c>
      <c r="L56" s="59" t="s">
        <v>791</v>
      </c>
    </row>
    <row r="57" spans="1:13" ht="16.5" thickTop="1" thickBot="1" x14ac:dyDescent="0.3">
      <c r="A57" s="5" t="s">
        <v>174</v>
      </c>
      <c r="B57" s="6">
        <v>86960</v>
      </c>
      <c r="C57" s="7" t="s">
        <v>38</v>
      </c>
      <c r="D57" s="39">
        <v>45986</v>
      </c>
      <c r="E57" s="39">
        <v>46225</v>
      </c>
      <c r="F57" s="39" t="inlineStr">
        <is>
          <t>In Production</t>
        </is>
      </c>
      <c r="G57" s="9">
        <f>8962+8962</f>
        <v>17924</v>
      </c>
      <c r="H57" s="10">
        <f t="shared" si="3"/>
        <v>21178</v>
      </c>
      <c r="I57" s="11">
        <v>39102</v>
      </c>
      <c r="J57" s="11">
        <f>VLOOKUP(B57,'Aug 26'!B:G,6,FALSE)</f>
        <v>17924</v>
      </c>
      <c r="K57" s="11">
        <v>0</v>
      </c>
      <c r="L57" s="11">
        <f t="shared" si="2"/>
        <v>0</v>
      </c>
      <c r="M57" s="5" t="inlineStr">
        <is>
          <t>PM board (86960): In Production / In Production; job to floor 07/22/26</t>
        </is>
      </c>
    </row>
    <row r="58" spans="1:13" ht="16.5" thickTop="1" thickBot="1" x14ac:dyDescent="0.3">
      <c r="A58" s="5" t="s">
        <v>781</v>
      </c>
      <c r="B58" s="6">
        <v>91449</v>
      </c>
      <c r="C58" s="7" t="s">
        <v>23</v>
      </c>
      <c r="D58" s="39">
        <v>46230</v>
      </c>
      <c r="E58" s="39" t="inlineStr">
        <is>
          <t>Pre-Production</t>
        </is>
      </c>
      <c r="F58" s="39" t="inlineStr">
        <is>
          <t>Pre-Production</t>
        </is>
      </c>
      <c r="G58" s="9">
        <v>7224.09</v>
      </c>
      <c r="H58" s="10">
        <f t="shared" si="3"/>
        <v>7224.08</v>
      </c>
      <c r="I58" s="11">
        <v>14448.17</v>
      </c>
      <c r="J58" s="11">
        <f>VLOOKUP(B58,'Aug 26'!B:G,6,FALSE)</f>
        <v>7224.09</v>
      </c>
      <c r="K58" s="11">
        <v>0</v>
      </c>
      <c r="L58" s="11">
        <f t="shared" si="2"/>
        <v>0</v>
      </c>
      <c r="M58" s="5" t="inlineStr">
        <is>
          <t>Not on PM board at 9/30 (engineering/JDM) - pre-production</t>
        </is>
      </c>
    </row>
    <row r="59" spans="1:13" ht="16.5" thickTop="1" thickBot="1" x14ac:dyDescent="0.3">
      <c r="A59" s="5" t="s">
        <v>832</v>
      </c>
      <c r="B59" s="6">
        <v>91377</v>
      </c>
      <c r="C59" s="7" t="s">
        <v>21</v>
      </c>
      <c r="D59" s="39">
        <v>46265</v>
      </c>
      <c r="E59" s="39" t="inlineStr">
        <is>
          <t>Pre-Production</t>
        </is>
      </c>
      <c r="F59" s="39" t="inlineStr">
        <is>
          <t>Pre-Production</t>
        </is>
      </c>
      <c r="G59" s="9">
        <v>7479.09</v>
      </c>
      <c r="H59" s="10">
        <f t="shared" si="3"/>
        <v>7479.08</v>
      </c>
      <c r="I59" s="11">
        <v>14958.17</v>
      </c>
      <c r="J59" s="11">
        <f>VLOOKUP(B59,'Aug 26'!B:G,6,FALSE)</f>
        <v>7479.09</v>
      </c>
      <c r="K59" s="11">
        <v>0</v>
      </c>
      <c r="L59" s="11">
        <f t="shared" si="2"/>
        <v>0</v>
      </c>
      <c r="M59" s="5" t="inlineStr">
        <is>
          <t>Not on PM board at 9/30 (engineering/JDM) - pre-production</t>
        </is>
      </c>
    </row>
    <row r="60" spans="1:13" ht="16.5" thickTop="1" thickBot="1" x14ac:dyDescent="0.3">
      <c r="A60" s="5" t="s">
        <v>710</v>
      </c>
      <c r="B60" s="6">
        <v>90706</v>
      </c>
      <c r="C60" s="7" t="s">
        <v>14</v>
      </c>
      <c r="D60" s="39">
        <v>46181</v>
      </c>
      <c r="E60" s="39" t="inlineStr">
        <is>
          <t>Pre-Production</t>
        </is>
      </c>
      <c r="F60" s="39" t="inlineStr">
        <is>
          <t>Pre-Production</t>
        </is>
      </c>
      <c r="G60" s="9">
        <v>30536</v>
      </c>
      <c r="H60" s="10">
        <f t="shared" si="3"/>
        <v>30536</v>
      </c>
      <c r="I60" s="11">
        <v>61072</v>
      </c>
      <c r="J60" s="11">
        <f>VLOOKUP(B60,'Aug 26'!B:G,6,FALSE)</f>
        <v>30536</v>
      </c>
      <c r="K60" s="11">
        <v>0</v>
      </c>
      <c r="L60" s="11">
        <f t="shared" si="2"/>
        <v>0</v>
      </c>
      <c r="M60" s="5" t="inlineStr">
        <is>
          <t>PM board (90706): Sent to Engineering / Sent to Engineering</t>
        </is>
      </c>
    </row>
    <row r="61" spans="1:12" ht="16.5" thickTop="1" thickBot="1" x14ac:dyDescent="0.3">
      <c r="A61" s="5" t="s">
        <v>587</v>
      </c>
      <c r="B61" s="6">
        <v>85987</v>
      </c>
      <c r="C61" s="7" t="s">
        <v>14</v>
      </c>
      <c r="D61" s="39">
        <v>46115</v>
      </c>
      <c r="E61" s="39">
        <f>VLOOKUP(B61,[1]Production!$B:$E,4,FALSE)</f>
        <v>46177</v>
      </c>
      <c r="F61" s="39">
        <v>46290</v>
      </c>
      <c r="G61" s="45">
        <v>0</v>
      </c>
      <c r="H61" s="58">
        <v>0</v>
      </c>
      <c r="I61" s="59">
        <v>0</v>
      </c>
      <c r="J61" s="59">
        <f>VLOOKUP(B61,'Aug 26'!B:G,6,FALSE)</f>
        <v>68043</v>
      </c>
      <c r="K61" s="59">
        <f>J61-G61</f>
        <v>68043</v>
      </c>
      <c r="L61" s="59" t="s">
        <v>791</v>
      </c>
    </row>
    <row r="62" spans="1:13" ht="16.5" thickTop="1" thickBot="1" x14ac:dyDescent="0.3">
      <c r="A62" s="5" t="s">
        <v>766</v>
      </c>
      <c r="B62" s="6">
        <v>89863</v>
      </c>
      <c r="C62" s="7" t="s">
        <v>20</v>
      </c>
      <c r="D62" s="39">
        <v>46223</v>
      </c>
      <c r="E62" s="39">
        <v>46247</v>
      </c>
      <c r="F62" s="39" t="inlineStr">
        <is>
          <t>In Production</t>
        </is>
      </c>
      <c r="G62" s="9">
        <v>48111.93</v>
      </c>
      <c r="H62" s="10">
        <f t="shared" si="3"/>
        <v>48111.93</v>
      </c>
      <c r="I62" s="11">
        <v>96223.86</v>
      </c>
      <c r="J62" s="11">
        <f>VLOOKUP(B62,'Aug 26'!B:G,6,FALSE)</f>
        <v>48111.93</v>
      </c>
      <c r="K62" s="11">
        <v>0</v>
      </c>
      <c r="L62" s="11">
        <f t="shared" si="2"/>
        <v>0</v>
      </c>
      <c r="M62" s="5" t="inlineStr">
        <is>
          <t>PM board (89863): In Production / In Production; job to floor 08/13/26</t>
        </is>
      </c>
    </row>
    <row r="63" spans="1:13" ht="16.5" thickTop="1" thickBot="1" x14ac:dyDescent="0.3">
      <c r="A63" s="5" t="s">
        <v>382</v>
      </c>
      <c r="B63" s="6">
        <v>84161</v>
      </c>
      <c r="C63" s="7" t="s">
        <v>76</v>
      </c>
      <c r="D63" s="39">
        <v>46013</v>
      </c>
      <c r="E63" s="39" t="inlineStr">
        <is>
          <t>Pre-Production</t>
        </is>
      </c>
      <c r="F63" s="39" t="inlineStr">
        <is>
          <t>Pre-Production</t>
        </is>
      </c>
      <c r="G63" s="9">
        <v>176687</v>
      </c>
      <c r="H63" s="10">
        <f t="shared" si="3"/>
        <v>176686</v>
      </c>
      <c r="I63" s="11">
        <v>353373</v>
      </c>
      <c r="J63" s="11">
        <f>VLOOKUP(B63,'Aug 26'!B:G,6,FALSE)</f>
        <v>176687</v>
      </c>
      <c r="K63" s="11">
        <v>0</v>
      </c>
      <c r="L63" s="11">
        <f t="shared" si="2"/>
        <v>0</v>
      </c>
      <c r="M63" s="5" t="inlineStr">
        <is>
          <t>PM board (84161): Sent to Engineering / Sent to Engineering</t>
        </is>
      </c>
    </row>
    <row r="64" spans="1:13" ht="16.5" thickTop="1" thickBot="1" x14ac:dyDescent="0.3">
      <c r="A64" s="5" t="s">
        <v>101</v>
      </c>
      <c r="B64" s="6" t="s">
        <v>219</v>
      </c>
      <c r="C64" s="7" t="s">
        <v>76</v>
      </c>
      <c r="D64" s="39">
        <v>45868</v>
      </c>
      <c r="E64" s="39">
        <v>46276</v>
      </c>
      <c r="F64" s="39" t="inlineStr">
        <is>
          <t>In Production</t>
        </is>
      </c>
      <c r="G64" s="9">
        <v>114974</v>
      </c>
      <c r="H64" s="10">
        <f t="shared" si="3"/>
        <v>114973</v>
      </c>
      <c r="I64" s="11">
        <v>229947</v>
      </c>
      <c r="J64" s="11">
        <f>VLOOKUP(B64,'Aug 26'!B:G,6,FALSE)</f>
        <v>114974</v>
      </c>
      <c r="K64" s="11">
        <v>0</v>
      </c>
      <c r="L64" s="11">
        <f t="shared" si="2"/>
        <v>0</v>
      </c>
      <c r="M64" s="5" t="inlineStr">
        <is>
          <t>PM board (81492-PHASE1): In Production / In Production; job to floor 09/11/26</t>
        </is>
      </c>
    </row>
    <row r="65" spans="1:12" ht="16.5" thickTop="1" thickBot="1" x14ac:dyDescent="0.3">
      <c r="A65" s="5" t="s">
        <v>798</v>
      </c>
      <c r="B65" s="6">
        <v>91450</v>
      </c>
      <c r="C65" s="7" t="s">
        <v>21</v>
      </c>
      <c r="D65" s="39">
        <v>46239</v>
      </c>
      <c r="E65" s="39" t="s">
        <v>13</v>
      </c>
      <c r="F65" s="39">
        <v>46288</v>
      </c>
      <c r="G65" s="45">
        <v>0</v>
      </c>
      <c r="H65" s="58">
        <v>0</v>
      </c>
      <c r="I65" s="59">
        <v>0</v>
      </c>
      <c r="J65" s="59">
        <f>VLOOKUP(B65,'Aug 26'!B:G,6,FALSE)</f>
        <v>6012.76</v>
      </c>
      <c r="K65" s="59">
        <f>J65-G65</f>
        <v>6012.76</v>
      </c>
      <c r="L65" s="59" t="s">
        <v>791</v>
      </c>
    </row>
    <row r="66" spans="1:13" ht="16.5" thickTop="1" thickBot="1" x14ac:dyDescent="0.3">
      <c r="A66" s="5" t="s">
        <v>787</v>
      </c>
      <c r="B66" s="6">
        <v>90324</v>
      </c>
      <c r="C66" s="7" t="s">
        <v>19</v>
      </c>
      <c r="D66" s="39">
        <v>46233</v>
      </c>
      <c r="E66" s="39">
        <v>46254</v>
      </c>
      <c r="F66" s="39" t="inlineStr">
        <is>
          <t>In Production</t>
        </is>
      </c>
      <c r="G66" s="9">
        <v>11312</v>
      </c>
      <c r="H66" s="10">
        <f t="shared" si="3"/>
        <v>11311</v>
      </c>
      <c r="I66" s="11">
        <v>22623</v>
      </c>
      <c r="J66" s="11">
        <f>VLOOKUP(B66,'Aug 26'!B:G,6,FALSE)</f>
        <v>11312</v>
      </c>
      <c r="K66" s="11">
        <v>0</v>
      </c>
      <c r="L66" s="11">
        <f t="shared" si="2"/>
        <v>0</v>
      </c>
      <c r="M66" s="5" t="inlineStr">
        <is>
          <t>PM board (90324): In Production / In Production; job to floor 08/20/26</t>
        </is>
      </c>
    </row>
    <row r="67" spans="1:13" ht="16.5" thickTop="1" thickBot="1" x14ac:dyDescent="0.3">
      <c r="A67" s="5" t="s">
        <v>286</v>
      </c>
      <c r="B67" s="6">
        <v>87492</v>
      </c>
      <c r="C67" s="7" t="s">
        <v>295</v>
      </c>
      <c r="D67" s="39">
        <v>46063</v>
      </c>
      <c r="E67" s="39" t="inlineStr">
        <is>
          <t>Pre-Production</t>
        </is>
      </c>
      <c r="F67" s="39" t="inlineStr">
        <is>
          <t>Pre-Production</t>
        </is>
      </c>
      <c r="G67" s="9">
        <v>22079</v>
      </c>
      <c r="H67" s="10">
        <f t="shared" si="3"/>
        <v>22079</v>
      </c>
      <c r="I67" s="11">
        <v>44158</v>
      </c>
      <c r="J67" s="11">
        <f>VLOOKUP(B67,'Aug 26'!B:G,6,FALSE)</f>
        <v>22079</v>
      </c>
      <c r="K67" s="11">
        <v>0</v>
      </c>
      <c r="L67" s="11">
        <f t="shared" si="2"/>
        <v>0</v>
      </c>
      <c r="M67" s="5" t="inlineStr">
        <is>
          <t>PM board (87492): Sent to Engineering / Sent to Engineering</t>
        </is>
      </c>
    </row>
    <row r="68" spans="1:13" ht="16.5" thickTop="1" thickBot="1" x14ac:dyDescent="0.3">
      <c r="A68" s="5" t="s">
        <v>769</v>
      </c>
      <c r="B68" s="6">
        <v>91704</v>
      </c>
      <c r="C68" s="7" t="s">
        <v>773</v>
      </c>
      <c r="D68" s="39">
        <v>46225</v>
      </c>
      <c r="E68" s="39">
        <v>46293</v>
      </c>
      <c r="F68" s="39" t="inlineStr">
        <is>
          <t>In Production</t>
        </is>
      </c>
      <c r="G68" s="9">
        <v>43056</v>
      </c>
      <c r="H68" s="10">
        <f t="shared" si="3"/>
        <v>43055</v>
      </c>
      <c r="I68" s="11">
        <v>86111</v>
      </c>
      <c r="J68" s="11">
        <f>VLOOKUP(B68,'Aug 26'!B:G,6,FALSE)</f>
        <v>43056</v>
      </c>
      <c r="K68" s="11">
        <v>0</v>
      </c>
      <c r="L68" s="11">
        <f t="shared" si="2"/>
        <v>0</v>
      </c>
      <c r="M68" s="5" t="inlineStr">
        <is>
          <t>PM board (91704): In Production / In Production; job to floor 09/28/26</t>
        </is>
      </c>
    </row>
    <row r="69" spans="1:13" ht="16.5" thickTop="1" thickBot="1" x14ac:dyDescent="0.3">
      <c r="A69" s="5" t="s">
        <v>811</v>
      </c>
      <c r="B69" s="6">
        <v>92257</v>
      </c>
      <c r="C69" s="7" t="s">
        <v>21</v>
      </c>
      <c r="D69" s="39">
        <v>46251</v>
      </c>
      <c r="E69" s="39">
        <v>46286</v>
      </c>
      <c r="F69" s="39" t="inlineStr">
        <is>
          <t>In Production</t>
        </is>
      </c>
      <c r="G69" s="9">
        <v>45000</v>
      </c>
      <c r="H69" s="10">
        <f t="shared" si="3"/>
        <v>44215.25</v>
      </c>
      <c r="I69" s="11">
        <v>89215.25</v>
      </c>
      <c r="J69" s="11">
        <f>VLOOKUP(B69,'Aug 26'!B:G,6,FALSE)</f>
        <v>45000</v>
      </c>
      <c r="K69" s="11">
        <v>0</v>
      </c>
      <c r="L69" s="11">
        <f t="shared" si="2"/>
        <v>0</v>
      </c>
      <c r="M69" s="5" t="inlineStr">
        <is>
          <t>PM board (92257): In Production / In Production; job to floor 09/21/26</t>
        </is>
      </c>
    </row>
    <row r="70" spans="1:12" ht="16.5" thickTop="1" thickBot="1" x14ac:dyDescent="0.3">
      <c r="A70" s="5" t="s">
        <v>330</v>
      </c>
      <c r="B70" s="81">
        <v>88082</v>
      </c>
      <c r="C70" s="82" t="s">
        <v>14</v>
      </c>
      <c r="D70" s="49">
        <v>46076</v>
      </c>
      <c r="E70" s="49">
        <f>VLOOKUP(B70,[1]Production!$B:$E,4,FALSE)</f>
        <v>46204</v>
      </c>
      <c r="F70" s="49">
        <v>46281</v>
      </c>
      <c r="G70" s="45"/>
      <c r="H70" s="58"/>
      <c r="I70" s="59"/>
      <c r="J70" s="59">
        <f>VLOOKUP(B70,'Aug 26'!B:G,6,FALSE)</f>
        <v>40113</v>
      </c>
      <c r="K70" s="59">
        <f>J70-G70</f>
        <v>40113</v>
      </c>
      <c r="L70" s="59" t="s">
        <v>791</v>
      </c>
    </row>
    <row r="71" spans="1:13" ht="16.5" thickTop="1" thickBot="1" x14ac:dyDescent="0.3">
      <c r="A71" s="5" t="s">
        <v>693</v>
      </c>
      <c r="B71" s="6">
        <v>89539</v>
      </c>
      <c r="C71" s="7" t="s">
        <v>14</v>
      </c>
      <c r="D71" s="39">
        <v>46170</v>
      </c>
      <c r="E71" s="39" t="inlineStr">
        <is>
          <t>Pre-Production</t>
        </is>
      </c>
      <c r="F71" s="39" t="inlineStr">
        <is>
          <t>Pre-Production</t>
        </is>
      </c>
      <c r="G71" s="9">
        <v>32606</v>
      </c>
      <c r="H71" s="10">
        <f t="shared" si="3"/>
        <v>32606</v>
      </c>
      <c r="I71" s="11">
        <v>65212</v>
      </c>
      <c r="J71" s="11">
        <f>VLOOKUP(B71,'Aug 26'!B:G,6,FALSE)</f>
        <v>32606</v>
      </c>
      <c r="K71" s="11"/>
      <c r="L71" s="11">
        <f t="shared" si="2"/>
        <v>0</v>
      </c>
      <c r="M71" s="5" t="inlineStr">
        <is>
          <t>PM board (89539): Pending Deposit in Invoicing / Pending Deposit</t>
        </is>
      </c>
    </row>
    <row r="72" spans="1:13" ht="16.5" thickTop="1" thickBot="1" x14ac:dyDescent="0.3">
      <c r="A72" s="5" t="s">
        <v>363</v>
      </c>
      <c r="B72" s="6">
        <v>88012</v>
      </c>
      <c r="C72" s="7" t="s">
        <v>17</v>
      </c>
      <c r="D72" s="39">
        <v>46086</v>
      </c>
      <c r="E72" s="39" t="inlineStr">
        <is>
          <t>Pre-Production</t>
        </is>
      </c>
      <c r="F72" s="39" t="inlineStr">
        <is>
          <t>Pre-Production</t>
        </is>
      </c>
      <c r="G72" s="9">
        <v>25461</v>
      </c>
      <c r="H72" s="10">
        <f t="shared" si="3"/>
        <v>26476</v>
      </c>
      <c r="I72" s="11">
        <v>51937</v>
      </c>
      <c r="J72" s="11">
        <f>VLOOKUP(B72,'Aug 26'!B:G,6,FALSE)</f>
        <v>25461</v>
      </c>
      <c r="K72" s="11">
        <v>0</v>
      </c>
      <c r="L72" s="11">
        <f t="shared" si="2"/>
        <v>0</v>
      </c>
      <c r="M72" s="5" t="inlineStr">
        <is>
          <t>PM board (88012): Pending Deposit in Invoicing / Pending Deposit</t>
        </is>
      </c>
    </row>
    <row r="73" spans="1:12" ht="16.5" thickTop="1" thickBot="1" x14ac:dyDescent="0.3">
      <c r="A73" s="95" t="s">
        <v>652</v>
      </c>
      <c r="B73" s="81">
        <v>88675</v>
      </c>
      <c r="C73" s="82" t="s">
        <v>21</v>
      </c>
      <c r="D73" s="49">
        <v>46149</v>
      </c>
      <c r="E73" s="49">
        <v>46231</v>
      </c>
      <c r="F73" s="49" t="s">
        <v>834</v>
      </c>
      <c r="G73" s="45">
        <v>0</v>
      </c>
      <c r="H73" s="58">
        <v>0</v>
      </c>
      <c r="I73" s="59">
        <v>0</v>
      </c>
      <c r="J73" s="59">
        <f>VLOOKUP(B73,'Aug 26'!B:G,6,FALSE)</f>
        <v>51194.18</v>
      </c>
      <c r="K73" s="59">
        <f>J73-G73</f>
        <v>51194.18</v>
      </c>
      <c r="L73" s="59" t="s">
        <v>791</v>
      </c>
    </row>
    <row r="74" spans="1:12" ht="16.5" thickTop="1" thickBot="1" x14ac:dyDescent="0.3">
      <c r="A74" s="5" t="s">
        <v>764</v>
      </c>
      <c r="B74" s="81">
        <v>91743</v>
      </c>
      <c r="C74" s="82" t="s">
        <v>40</v>
      </c>
      <c r="D74" s="49">
        <v>46220</v>
      </c>
      <c r="E74" s="49" t="str">
        <f>VLOOKUP(B74,'[1]Pre Production'!$B:$E,4,FALSE)</f>
        <v>Pre-Production</v>
      </c>
      <c r="F74" s="49">
        <v>46280</v>
      </c>
      <c r="G74" s="45"/>
      <c r="H74" s="58"/>
      <c r="I74" s="59"/>
      <c r="J74" s="59">
        <f>VLOOKUP(B74,'Aug 26'!B:G,6,FALSE)</f>
        <v>21442.81</v>
      </c>
      <c r="K74" s="59">
        <f t="shared" ref="K74:K75" si="6">J74-G74</f>
        <v>21442.81</v>
      </c>
      <c r="L74" s="59" t="s">
        <v>791</v>
      </c>
    </row>
    <row r="75" spans="1:12" ht="16.5" thickTop="1" thickBot="1" x14ac:dyDescent="0.3">
      <c r="A75" s="5" t="s">
        <v>678</v>
      </c>
      <c r="B75" s="81">
        <v>90930</v>
      </c>
      <c r="C75" s="82" t="s">
        <v>40</v>
      </c>
      <c r="D75" s="49">
        <v>46163</v>
      </c>
      <c r="E75" s="49" t="str">
        <f>VLOOKUP(B75,'[1]Pre Production'!$B:$E,4,FALSE)</f>
        <v>Pre-Production</v>
      </c>
      <c r="F75" s="49">
        <v>46280</v>
      </c>
      <c r="G75" s="45"/>
      <c r="H75" s="58"/>
      <c r="I75" s="59"/>
      <c r="J75" s="59">
        <f>VLOOKUP(B75,'Aug 26'!B:G,6,FALSE)</f>
        <v>28888.91</v>
      </c>
      <c r="K75" s="59">
        <f t="shared" si="6"/>
        <v>28888.91</v>
      </c>
      <c r="L75" s="59" t="s">
        <v>791</v>
      </c>
    </row>
    <row r="76" spans="1:12" ht="16.5" thickTop="1" thickBot="1" x14ac:dyDescent="0.3">
      <c r="A76" s="5" t="s">
        <v>590</v>
      </c>
      <c r="B76" s="81">
        <v>89287</v>
      </c>
      <c r="C76" s="82" t="s">
        <v>62</v>
      </c>
      <c r="D76" s="49">
        <v>46113</v>
      </c>
      <c r="E76" s="49" t="str">
        <f>VLOOKUP(B76,'[1]Pre Production'!$B:$E,4,FALSE)</f>
        <v>Pre-Production</v>
      </c>
      <c r="F76" s="49">
        <v>46274</v>
      </c>
      <c r="G76" s="45"/>
      <c r="H76" s="58"/>
      <c r="I76" s="59"/>
      <c r="J76" s="59">
        <f>VLOOKUP(B76,'Aug 26'!B:G,6,FALSE)</f>
        <v>89586</v>
      </c>
      <c r="K76" s="59">
        <f>J76-G76</f>
        <v>89586</v>
      </c>
      <c r="L76" s="59" t="s">
        <v>791</v>
      </c>
    </row>
    <row r="77" spans="1:13" ht="16.5" thickTop="1" thickBot="1" x14ac:dyDescent="0.3">
      <c r="A77" s="5" t="s">
        <v>719</v>
      </c>
      <c r="B77" s="6">
        <v>89541</v>
      </c>
      <c r="C77" s="7" t="s">
        <v>38</v>
      </c>
      <c r="D77" s="39">
        <v>46185</v>
      </c>
      <c r="E77" s="39" t="inlineStr">
        <is>
          <t>Pre-Production</t>
        </is>
      </c>
      <c r="F77" s="39" t="inlineStr">
        <is>
          <t>Pre-Production</t>
        </is>
      </c>
      <c r="G77" s="9">
        <v>9278.2800000000007</v>
      </c>
      <c r="H77" s="10">
        <f t="shared" ref="H77:H89" si="7">I77-G77</f>
        <v>7903.7199999999993</v>
      </c>
      <c r="I77" s="11">
        <v>17182</v>
      </c>
      <c r="J77" s="11">
        <f>VLOOKUP(B77,'Aug 26'!B:G,6,FALSE)</f>
        <v>9278.2800000000007</v>
      </c>
      <c r="K77" s="11">
        <v>0</v>
      </c>
      <c r="L77" s="11">
        <f t="shared" ref="L77:L89" si="8">G77-J77</f>
        <v>0</v>
      </c>
      <c r="M77" s="5" t="inlineStr">
        <is>
          <t>PM board (89541): Pending Deposit in Invoicing / Pending Deposit</t>
        </is>
      </c>
    </row>
    <row r="78" spans="1:13" ht="16.5" thickTop="1" thickBot="1" x14ac:dyDescent="0.3">
      <c r="A78" s="12" t="s">
        <v>593</v>
      </c>
      <c r="B78" s="13">
        <v>89412</v>
      </c>
      <c r="C78" s="14" t="s">
        <v>23</v>
      </c>
      <c r="D78" s="40">
        <v>46126</v>
      </c>
      <c r="E78" s="40">
        <v>46191</v>
      </c>
      <c r="F78" s="39" t="inlineStr">
        <is>
          <t>In Production</t>
        </is>
      </c>
      <c r="G78" s="16">
        <v>20897</v>
      </c>
      <c r="H78" s="17">
        <f t="shared" si="7"/>
        <v>9706</v>
      </c>
      <c r="I78" s="18">
        <v>30603</v>
      </c>
      <c r="J78" s="18">
        <f>VLOOKUP(B78,'Aug 26'!B:G,6,FALSE)</f>
        <v>20897</v>
      </c>
      <c r="K78" s="18">
        <v>0</v>
      </c>
      <c r="L78" s="18">
        <f t="shared" si="8"/>
        <v>0</v>
      </c>
      <c r="M78" s="5" t="inlineStr">
        <is>
          <t>PM board (89412): In Production / In Production; job to floor 06/18/26</t>
        </is>
      </c>
    </row>
    <row r="79" spans="1:13" ht="16.5" thickTop="1" thickBot="1" x14ac:dyDescent="0.3">
      <c r="A79" s="12" t="s">
        <v>594</v>
      </c>
      <c r="B79" s="13">
        <v>89867</v>
      </c>
      <c r="C79" s="14" t="s">
        <v>23</v>
      </c>
      <c r="D79" s="40">
        <v>46126</v>
      </c>
      <c r="E79" s="40">
        <v>46192</v>
      </c>
      <c r="F79" s="39" t="inlineStr">
        <is>
          <t>In Production</t>
        </is>
      </c>
      <c r="G79" s="16">
        <v>14271.62</v>
      </c>
      <c r="H79" s="17">
        <f t="shared" si="7"/>
        <v>7648.6299999999992</v>
      </c>
      <c r="I79" s="18">
        <v>21920.25</v>
      </c>
      <c r="J79" s="18">
        <f>VLOOKUP(B79,'Aug 26'!B:G,6,FALSE)</f>
        <v>14271.62</v>
      </c>
      <c r="K79" s="18">
        <v>0</v>
      </c>
      <c r="L79" s="18">
        <f t="shared" si="8"/>
        <v>0</v>
      </c>
      <c r="M79" s="5" t="inlineStr">
        <is>
          <t>PM board (89867): In Production / In Production; job to floor 06/19/26</t>
        </is>
      </c>
    </row>
    <row r="80" spans="1:13" ht="16.5" thickTop="1" thickBot="1" x14ac:dyDescent="0.3">
      <c r="A80" s="5" t="s">
        <v>686</v>
      </c>
      <c r="B80" s="6">
        <v>87391</v>
      </c>
      <c r="C80" s="7" t="s">
        <v>19</v>
      </c>
      <c r="D80" s="39">
        <v>46168</v>
      </c>
      <c r="E80" s="39">
        <v>46252</v>
      </c>
      <c r="F80" s="39" t="inlineStr">
        <is>
          <t>In Production</t>
        </is>
      </c>
      <c r="G80" s="9">
        <v>60000</v>
      </c>
      <c r="H80" s="10">
        <f t="shared" si="7"/>
        <v>42519</v>
      </c>
      <c r="I80" s="11">
        <v>102519</v>
      </c>
      <c r="J80" s="11">
        <f>VLOOKUP(B80,'Aug 26'!B:G,6,FALSE)</f>
        <v>60000</v>
      </c>
      <c r="K80" s="11"/>
      <c r="L80" s="11">
        <f t="shared" si="8"/>
        <v>0</v>
      </c>
      <c r="M80" s="5" t="inlineStr">
        <is>
          <t>PM board (87391): In Production / In Production; job to floor 08/18/26</t>
        </is>
      </c>
    </row>
    <row r="81" spans="1:13" ht="16.5" thickTop="1" thickBot="1" x14ac:dyDescent="0.3">
      <c r="A81" s="5" t="s">
        <v>103</v>
      </c>
      <c r="B81" s="6">
        <v>84210</v>
      </c>
      <c r="C81" s="7" t="s">
        <v>44</v>
      </c>
      <c r="D81" s="39">
        <v>45876</v>
      </c>
      <c r="E81" s="39">
        <v>46164</v>
      </c>
      <c r="F81" s="39" t="inlineStr">
        <is>
          <t>In Production</t>
        </is>
      </c>
      <c r="G81" s="9">
        <v>31567</v>
      </c>
      <c r="H81" s="10">
        <f t="shared" si="7"/>
        <v>46437</v>
      </c>
      <c r="I81" s="11">
        <v>78004</v>
      </c>
      <c r="J81" s="11">
        <f>VLOOKUP(B81,'Aug 26'!B:G,6,FALSE)</f>
        <v>31567</v>
      </c>
      <c r="K81" s="11">
        <v>0</v>
      </c>
      <c r="L81" s="11">
        <f t="shared" si="8"/>
        <v>0</v>
      </c>
      <c r="M81" s="5" t="inlineStr">
        <is>
          <t>PM board (84210): In Production / In Production; job to floor 05/22/26</t>
        </is>
      </c>
    </row>
    <row r="82" spans="1:12" ht="16.5" thickTop="1" thickBot="1" x14ac:dyDescent="0.3">
      <c r="A82" s="5" t="s">
        <v>203</v>
      </c>
      <c r="B82" s="6">
        <v>87488</v>
      </c>
      <c r="C82" s="7" t="s">
        <v>14</v>
      </c>
      <c r="D82" s="39">
        <v>46007</v>
      </c>
      <c r="E82" s="39">
        <f>VLOOKUP(B82,[1]Production!$B:$E,4,FALSE)</f>
        <v>46195</v>
      </c>
      <c r="F82" s="39">
        <v>46288</v>
      </c>
      <c r="G82" s="45">
        <v>0</v>
      </c>
      <c r="H82" s="58">
        <v>0</v>
      </c>
      <c r="I82" s="59">
        <v>0</v>
      </c>
      <c r="J82" s="59">
        <f>VLOOKUP(B82,'Aug 26'!B:G,6,FALSE)</f>
        <v>17613</v>
      </c>
      <c r="K82" s="59">
        <f t="shared" ref="K82:K83" si="9">J82-G82</f>
        <v>17613</v>
      </c>
      <c r="L82" s="59" t="s">
        <v>791</v>
      </c>
    </row>
    <row r="83" spans="1:12" ht="16.5" thickTop="1" thickBot="1" x14ac:dyDescent="0.3">
      <c r="A83" s="5" t="s">
        <v>510</v>
      </c>
      <c r="B83" s="6">
        <v>89316</v>
      </c>
      <c r="C83" s="7" t="s">
        <v>511</v>
      </c>
      <c r="D83" s="39">
        <v>46100</v>
      </c>
      <c r="E83" s="39">
        <f>VLOOKUP(B83,[1]Production!$B:$E,4,FALSE)</f>
        <v>46174</v>
      </c>
      <c r="F83" s="39">
        <v>46290</v>
      </c>
      <c r="G83" s="45">
        <v>0</v>
      </c>
      <c r="H83" s="58">
        <v>0</v>
      </c>
      <c r="I83" s="59">
        <v>0</v>
      </c>
      <c r="J83" s="59">
        <f>VLOOKUP(B83,'Aug 26'!B:G,6,FALSE)</f>
        <v>56063</v>
      </c>
      <c r="K83" s="59">
        <f t="shared" si="9"/>
        <v>56063</v>
      </c>
      <c r="L83" s="59" t="s">
        <v>791</v>
      </c>
    </row>
    <row r="84" spans="1:13" ht="16.5" thickTop="1" thickBot="1" x14ac:dyDescent="0.3">
      <c r="A84" s="5" t="s">
        <v>723</v>
      </c>
      <c r="B84" s="6">
        <v>86579</v>
      </c>
      <c r="C84" s="7" t="s">
        <v>23</v>
      </c>
      <c r="D84" s="39">
        <v>46188</v>
      </c>
      <c r="E84" s="39" t="inlineStr">
        <is>
          <t>Pre-Production</t>
        </is>
      </c>
      <c r="F84" s="39" t="inlineStr">
        <is>
          <t>Pre-Production</t>
        </is>
      </c>
      <c r="G84" s="9">
        <v>69123</v>
      </c>
      <c r="H84" s="10">
        <f t="shared" si="7"/>
        <v>66195</v>
      </c>
      <c r="I84" s="11">
        <v>135318</v>
      </c>
      <c r="J84" s="11">
        <f>VLOOKUP(B84,'Aug 26'!B:G,6,FALSE)</f>
        <v>69123</v>
      </c>
      <c r="K84" s="11">
        <v>0</v>
      </c>
      <c r="L84" s="11">
        <f t="shared" si="8"/>
        <v>0</v>
      </c>
      <c r="M84" s="5" t="inlineStr">
        <is>
          <t>PM board (86579): Sent to Engineering / Sent to Engineering</t>
        </is>
      </c>
    </row>
    <row r="85" spans="1:13" ht="16.5" thickTop="1" thickBot="1" x14ac:dyDescent="0.3">
      <c r="A85" s="5" t="s">
        <v>627</v>
      </c>
      <c r="B85" s="6">
        <v>89168</v>
      </c>
      <c r="C85" s="7" t="s">
        <v>23</v>
      </c>
      <c r="D85" s="39">
        <v>46136</v>
      </c>
      <c r="E85" s="39" t="inlineStr">
        <is>
          <t>Pre-Production</t>
        </is>
      </c>
      <c r="F85" s="39" t="inlineStr">
        <is>
          <t>Pre-Production</t>
        </is>
      </c>
      <c r="G85" s="9">
        <v>30691</v>
      </c>
      <c r="H85" s="10">
        <f t="shared" si="7"/>
        <v>30691</v>
      </c>
      <c r="I85" s="11">
        <v>61382</v>
      </c>
      <c r="J85" s="11">
        <f>VLOOKUP(B85,'Aug 26'!B:G,6,FALSE)</f>
        <v>30691</v>
      </c>
      <c r="K85" s="11">
        <f>IF(G85=0,J85-G85,0)</f>
        <v>0</v>
      </c>
      <c r="L85" s="11">
        <f t="shared" si="8"/>
        <v>0</v>
      </c>
      <c r="M85" s="5" t="inlineStr">
        <is>
          <t>PM board (89168): Sent to Engineering / Sent to Engineering</t>
        </is>
      </c>
    </row>
    <row r="86" spans="1:13" ht="16.5" thickTop="1" thickBot="1" x14ac:dyDescent="0.3">
      <c r="A86" s="5" t="s">
        <v>828</v>
      </c>
      <c r="B86" s="6">
        <v>92326</v>
      </c>
      <c r="C86" s="7" t="s">
        <v>14</v>
      </c>
      <c r="D86" s="39">
        <v>46261</v>
      </c>
      <c r="E86" s="39">
        <v>46280</v>
      </c>
      <c r="F86" s="39" t="inlineStr">
        <is>
          <t>In Production</t>
        </is>
      </c>
      <c r="G86" s="9">
        <v>47956.69</v>
      </c>
      <c r="H86" s="10">
        <f t="shared" si="7"/>
        <v>24476.699999999997</v>
      </c>
      <c r="I86" s="11">
        <v>72433.39</v>
      </c>
      <c r="J86" s="11">
        <f>VLOOKUP(B86,'Aug 26'!B:G,6,FALSE)</f>
        <v>47956.69</v>
      </c>
      <c r="K86" s="11">
        <v>0</v>
      </c>
      <c r="L86" s="11">
        <f t="shared" si="8"/>
        <v>0</v>
      </c>
      <c r="M86" s="5" t="inlineStr">
        <is>
          <t>PM board (92326): In Production / In Production; job to floor 09/15/26</t>
        </is>
      </c>
    </row>
    <row r="87" spans="1:13" ht="16.5" thickTop="1" thickBot="1" x14ac:dyDescent="0.3">
      <c r="A87" s="5" t="s">
        <v>771</v>
      </c>
      <c r="B87" s="6">
        <v>91192</v>
      </c>
      <c r="C87" s="7" t="s">
        <v>775</v>
      </c>
      <c r="D87" s="39">
        <v>46226</v>
      </c>
      <c r="E87" s="39">
        <v>46279</v>
      </c>
      <c r="F87" s="39" t="inlineStr">
        <is>
          <t>In Production</t>
        </is>
      </c>
      <c r="G87" s="9">
        <v>36332.46</v>
      </c>
      <c r="H87" s="10">
        <f t="shared" si="7"/>
        <v>36332.46</v>
      </c>
      <c r="I87" s="11">
        <v>72664.92</v>
      </c>
      <c r="J87" s="11">
        <f>VLOOKUP(B87,'Aug 26'!B:G,6,FALSE)</f>
        <v>36332.46</v>
      </c>
      <c r="K87" s="11">
        <v>0</v>
      </c>
      <c r="L87" s="11">
        <f t="shared" si="8"/>
        <v>0</v>
      </c>
      <c r="M87" s="5" t="inlineStr">
        <is>
          <t>PM board (91192): In Production / In Production; job to floor 09/14/26</t>
        </is>
      </c>
    </row>
    <row r="88" spans="1:13" ht="16.5" thickTop="1" thickBot="1" x14ac:dyDescent="0.3">
      <c r="A88" s="5" t="s">
        <v>595</v>
      </c>
      <c r="B88" s="6">
        <v>89722</v>
      </c>
      <c r="C88" s="7" t="s">
        <v>39</v>
      </c>
      <c r="D88" s="39">
        <v>46120</v>
      </c>
      <c r="E88" s="39" t="inlineStr">
        <is>
          <t>Pre-Production</t>
        </is>
      </c>
      <c r="F88" s="39" t="inlineStr">
        <is>
          <t>Pre-Production</t>
        </is>
      </c>
      <c r="G88" s="9">
        <v>3826</v>
      </c>
      <c r="H88" s="10">
        <f t="shared" si="7"/>
        <v>3826.5600000000004</v>
      </c>
      <c r="I88" s="11">
        <v>7652.56</v>
      </c>
      <c r="J88" s="11">
        <f>VLOOKUP(B88,'Aug 26'!B:G,6,FALSE)</f>
        <v>3826</v>
      </c>
      <c r="K88" s="11">
        <v>0</v>
      </c>
      <c r="L88" s="11">
        <f t="shared" si="8"/>
        <v>0</v>
      </c>
      <c r="M88" s="5" t="inlineStr">
        <is>
          <t>PM board (89722): PM Review Documents / PM Review</t>
        </is>
      </c>
    </row>
    <row r="89" spans="1:13" ht="16.5" thickTop="1" thickBot="1" x14ac:dyDescent="0.3">
      <c r="A89" s="5" t="s">
        <v>596</v>
      </c>
      <c r="B89" s="6">
        <v>86092</v>
      </c>
      <c r="C89" s="7" t="s">
        <v>23</v>
      </c>
      <c r="D89" s="39">
        <v>46120</v>
      </c>
      <c r="E89" s="39" t="inlineStr">
        <is>
          <t>Pre-Production</t>
        </is>
      </c>
      <c r="F89" s="39" t="inlineStr">
        <is>
          <t>Pre-Production</t>
        </is>
      </c>
      <c r="G89" s="9">
        <v>9201</v>
      </c>
      <c r="H89" s="10">
        <f t="shared" si="7"/>
        <v>9201.52</v>
      </c>
      <c r="I89" s="11">
        <v>18402.52</v>
      </c>
      <c r="J89" s="11">
        <f>VLOOKUP(B89,'Aug 26'!B:G,6,FALSE)</f>
        <v>9201</v>
      </c>
      <c r="K89" s="11">
        <v>0</v>
      </c>
      <c r="L89" s="11">
        <f t="shared" si="8"/>
        <v>0</v>
      </c>
      <c r="M89" s="5" t="inlineStr">
        <is>
          <t>PM board (86092): Sent to Engineering / Sent to Engineering</t>
        </is>
      </c>
    </row>
    <row r="90" spans="1:12" ht="16.5" thickTop="1" thickBot="1" x14ac:dyDescent="0.3">
      <c r="A90" s="95" t="s">
        <v>732</v>
      </c>
      <c r="B90" s="81">
        <v>91288</v>
      </c>
      <c r="C90" s="82" t="s">
        <v>23</v>
      </c>
      <c r="D90" s="49">
        <v>46198</v>
      </c>
      <c r="E90" s="49">
        <f>VLOOKUP(B90,[1]Production!$B:$E,4,FALSE)</f>
        <v>46230</v>
      </c>
      <c r="F90" s="49">
        <v>46269</v>
      </c>
      <c r="G90" s="45">
        <v>0</v>
      </c>
      <c r="H90" s="58">
        <v>0</v>
      </c>
      <c r="I90" s="59">
        <v>0</v>
      </c>
      <c r="J90" s="59">
        <f>VLOOKUP(B90,'Aug 26'!B:G,6,FALSE)</f>
        <v>12700</v>
      </c>
      <c r="K90" s="59">
        <f>J90-G90</f>
        <v>12700</v>
      </c>
      <c r="L90" s="59" t="s">
        <v>791</v>
      </c>
    </row>
    <row r="91" spans="1:13" ht="16.5" thickTop="1" thickBot="1" x14ac:dyDescent="0.3">
      <c r="A91" s="5" t="s">
        <v>722</v>
      </c>
      <c r="B91" s="6">
        <v>88266</v>
      </c>
      <c r="C91" s="7" t="s">
        <v>31</v>
      </c>
      <c r="D91" s="39">
        <v>46188</v>
      </c>
      <c r="E91" s="39">
        <v>46267</v>
      </c>
      <c r="F91" s="39" t="inlineStr">
        <is>
          <t>In Production</t>
        </is>
      </c>
      <c r="G91" s="9">
        <v>40071</v>
      </c>
      <c r="H91" s="10">
        <f t="shared" ref="H91:H127" si="10">I91-G91</f>
        <v>40071</v>
      </c>
      <c r="I91" s="11">
        <v>80142</v>
      </c>
      <c r="J91" s="11">
        <f>VLOOKUP(B91,'Aug 26'!B:G,6,FALSE)</f>
        <v>40071</v>
      </c>
      <c r="K91" s="11">
        <v>0</v>
      </c>
      <c r="L91" s="11">
        <f t="shared" ref="L91:L127" si="11">G91-J91</f>
        <v>0</v>
      </c>
      <c r="M91" s="5" t="inlineStr">
        <is>
          <t>PM board (88266): In Production / In Production; job to floor 09/02/26</t>
        </is>
      </c>
    </row>
    <row r="92" spans="1:13" ht="16.5" thickTop="1" thickBot="1" x14ac:dyDescent="0.3">
      <c r="A92" s="5" t="s">
        <v>93</v>
      </c>
      <c r="B92" s="6">
        <v>78503</v>
      </c>
      <c r="C92" s="7" t="s">
        <v>28</v>
      </c>
      <c r="D92" s="39">
        <v>45825</v>
      </c>
      <c r="E92" s="39" t="inlineStr">
        <is>
          <t>Pre-Production</t>
        </is>
      </c>
      <c r="F92" s="39" t="inlineStr">
        <is>
          <t>Pre-Production</t>
        </is>
      </c>
      <c r="G92" s="9">
        <v>15815</v>
      </c>
      <c r="H92" s="10">
        <f t="shared" si="10"/>
        <v>15814</v>
      </c>
      <c r="I92" s="11">
        <v>31629</v>
      </c>
      <c r="J92" s="11">
        <f>VLOOKUP(B92,'Aug 26'!B:G,6,FALSE)</f>
        <v>15815</v>
      </c>
      <c r="K92" s="11">
        <v>0</v>
      </c>
      <c r="L92" s="11">
        <f t="shared" si="11"/>
        <v>0</v>
      </c>
      <c r="M92" s="5" t="inlineStr">
        <is>
          <t>PM board (78503): Sent to Engineering / Sent to Engineering</t>
        </is>
      </c>
    </row>
    <row r="93" spans="1:13" ht="16.5" thickTop="1" thickBot="1" x14ac:dyDescent="0.3">
      <c r="A93" s="5" t="s">
        <v>747</v>
      </c>
      <c r="B93" s="6">
        <v>90719</v>
      </c>
      <c r="C93" s="7" t="s">
        <v>62</v>
      </c>
      <c r="D93" s="39">
        <v>46206</v>
      </c>
      <c r="E93" s="39">
        <v>46282</v>
      </c>
      <c r="F93" s="39" t="inlineStr">
        <is>
          <t>In Production</t>
        </is>
      </c>
      <c r="G93" s="9">
        <v>7000</v>
      </c>
      <c r="H93" s="10">
        <f t="shared" si="10"/>
        <v>6841.93</v>
      </c>
      <c r="I93" s="11">
        <v>13841.93</v>
      </c>
      <c r="J93" s="11">
        <f>VLOOKUP(B93,'Aug 26'!B:G,6,FALSE)</f>
        <v>7000</v>
      </c>
      <c r="K93" s="11">
        <v>0</v>
      </c>
      <c r="L93" s="11">
        <f t="shared" si="11"/>
        <v>0</v>
      </c>
      <c r="M93" s="5" t="inlineStr">
        <is>
          <t>PM board (90719): In Production / In Production; job to floor 09/17/26</t>
        </is>
      </c>
    </row>
    <row r="94" spans="1:13" ht="16.5" thickTop="1" thickBot="1" x14ac:dyDescent="0.3">
      <c r="A94" s="5" t="s">
        <v>653</v>
      </c>
      <c r="B94" s="6">
        <v>90032</v>
      </c>
      <c r="C94" s="7" t="s">
        <v>655</v>
      </c>
      <c r="D94" s="39">
        <v>46150</v>
      </c>
      <c r="E94" s="39">
        <v>46252</v>
      </c>
      <c r="F94" s="39" t="inlineStr">
        <is>
          <t>In Production</t>
        </is>
      </c>
      <c r="G94" s="9">
        <v>9955</v>
      </c>
      <c r="H94" s="10">
        <f t="shared" si="10"/>
        <v>11160</v>
      </c>
      <c r="I94" s="11">
        <v>21115</v>
      </c>
      <c r="J94" s="11">
        <f>VLOOKUP(B94,'Aug 26'!B:G,6,FALSE)</f>
        <v>9955</v>
      </c>
      <c r="K94" s="11">
        <v>0</v>
      </c>
      <c r="L94" s="11">
        <f t="shared" si="11"/>
        <v>0</v>
      </c>
      <c r="M94" s="5" t="inlineStr">
        <is>
          <t>PM board (90032): In Production / In Production; job to floor 08/18/26</t>
        </is>
      </c>
    </row>
    <row r="95" spans="1:13" ht="16.5" thickTop="1" thickBot="1" x14ac:dyDescent="0.3">
      <c r="A95" s="5" t="s">
        <v>712</v>
      </c>
      <c r="B95" s="6">
        <v>90364</v>
      </c>
      <c r="C95" s="7" t="s">
        <v>20</v>
      </c>
      <c r="D95" s="39">
        <v>46181</v>
      </c>
      <c r="E95" s="39">
        <v>46258</v>
      </c>
      <c r="F95" s="39" t="inlineStr">
        <is>
          <t>In Production</t>
        </is>
      </c>
      <c r="G95" s="9">
        <v>11314.88</v>
      </c>
      <c r="H95" s="10">
        <f t="shared" si="10"/>
        <v>11314.87</v>
      </c>
      <c r="I95" s="11">
        <v>22629.75</v>
      </c>
      <c r="J95" s="11">
        <f>VLOOKUP(B95,'Aug 26'!B:G,6,FALSE)</f>
        <v>11314.88</v>
      </c>
      <c r="K95" s="11">
        <v>0</v>
      </c>
      <c r="L95" s="11">
        <f t="shared" si="11"/>
        <v>0</v>
      </c>
      <c r="M95" s="5" t="inlineStr">
        <is>
          <t>PM board (90364): In Production / In Production; job to floor 08/24/26</t>
        </is>
      </c>
    </row>
    <row r="96" spans="1:13" ht="16.5" thickTop="1" thickBot="1" x14ac:dyDescent="0.3">
      <c r="A96" s="5" t="s">
        <v>740</v>
      </c>
      <c r="B96" s="6">
        <v>88971</v>
      </c>
      <c r="C96" s="7" t="s">
        <v>33</v>
      </c>
      <c r="D96" s="39">
        <v>46202</v>
      </c>
      <c r="E96" s="39" t="inlineStr">
        <is>
          <t>Pre-Production</t>
        </is>
      </c>
      <c r="F96" s="39" t="inlineStr">
        <is>
          <t>Pre-Production</t>
        </is>
      </c>
      <c r="G96" s="9">
        <f>9297.77+9297.76</f>
        <v>18595.53</v>
      </c>
      <c r="H96" s="10">
        <f t="shared" si="10"/>
        <v>0</v>
      </c>
      <c r="I96" s="11">
        <v>18595.53</v>
      </c>
      <c r="J96" s="11">
        <f>VLOOKUP(B96,'Aug 26'!B:G,6,FALSE)</f>
        <v>18595.53</v>
      </c>
      <c r="K96" s="11">
        <v>0</v>
      </c>
      <c r="L96" s="11">
        <f t="shared" si="11"/>
        <v>0</v>
      </c>
      <c r="M96" s="5" t="inlineStr">
        <is>
          <t>Not on PM board at 9/30 (engineering/JDM) - pre-production</t>
        </is>
      </c>
    </row>
    <row r="97" spans="1:13" ht="16.5" thickTop="1" thickBot="1" x14ac:dyDescent="0.3">
      <c r="A97" s="5" t="s">
        <v>820</v>
      </c>
      <c r="B97" s="6">
        <v>90043</v>
      </c>
      <c r="C97" s="7" t="s">
        <v>822</v>
      </c>
      <c r="D97" s="39">
        <v>46255</v>
      </c>
      <c r="E97" s="39" t="inlineStr">
        <is>
          <t>Pre-Production</t>
        </is>
      </c>
      <c r="F97" s="39" t="inlineStr">
        <is>
          <t>Pre-Production</t>
        </is>
      </c>
      <c r="G97" s="9">
        <v>10982.91</v>
      </c>
      <c r="H97" s="10">
        <f t="shared" si="10"/>
        <v>10982.900000000001</v>
      </c>
      <c r="I97" s="11">
        <v>21965.81</v>
      </c>
      <c r="J97" s="11">
        <f>VLOOKUP(B97,'Aug 26'!B:G,6,FALSE)</f>
        <v>10982.91</v>
      </c>
      <c r="K97" s="11">
        <v>0</v>
      </c>
      <c r="L97" s="11">
        <f t="shared" si="11"/>
        <v>0</v>
      </c>
      <c r="M97" s="5" t="inlineStr">
        <is>
          <t>Not on PM board at 9/30 (engineering/JDM) - pre-production</t>
        </is>
      </c>
    </row>
    <row r="98" spans="1:13" ht="16.5" thickTop="1" thickBot="1" x14ac:dyDescent="0.3">
      <c r="A98" s="5" t="s">
        <v>725</v>
      </c>
      <c r="B98" s="6">
        <v>88804</v>
      </c>
      <c r="C98" s="7" t="s">
        <v>23</v>
      </c>
      <c r="D98" s="39">
        <v>46189</v>
      </c>
      <c r="E98" s="39">
        <v>46283</v>
      </c>
      <c r="F98" s="39" t="inlineStr">
        <is>
          <t>In Production</t>
        </is>
      </c>
      <c r="G98" s="19">
        <v>19363.689999999999</v>
      </c>
      <c r="H98" s="10">
        <f t="shared" si="10"/>
        <v>0</v>
      </c>
      <c r="I98" s="11">
        <v>19363.689999999999</v>
      </c>
      <c r="J98" s="11">
        <f>VLOOKUP(B98,'Aug 26'!B:G,6,FALSE)</f>
        <v>19363.689999999999</v>
      </c>
      <c r="K98" s="11">
        <v>0</v>
      </c>
      <c r="L98" s="11">
        <f t="shared" si="11"/>
        <v>0</v>
      </c>
      <c r="M98" s="5" t="inlineStr">
        <is>
          <t>PM board (88804): In Production / In Production; job to floor 09/18/26</t>
        </is>
      </c>
    </row>
    <row r="99" spans="1:13" ht="16.5" thickTop="1" thickBot="1" x14ac:dyDescent="0.3">
      <c r="A99" s="5" t="s">
        <v>793</v>
      </c>
      <c r="B99" s="6">
        <v>91310</v>
      </c>
      <c r="C99" s="7" t="s">
        <v>23</v>
      </c>
      <c r="D99" s="39">
        <v>46237</v>
      </c>
      <c r="E99" s="39">
        <v>46276</v>
      </c>
      <c r="F99" s="39" t="inlineStr">
        <is>
          <t>In Production</t>
        </is>
      </c>
      <c r="G99" s="9">
        <v>57000</v>
      </c>
      <c r="H99" s="10">
        <f t="shared" si="10"/>
        <v>44719.91</v>
      </c>
      <c r="I99" s="11">
        <v>101719.91</v>
      </c>
      <c r="J99" s="11">
        <f>VLOOKUP(B99,'Aug 26'!B:G,6,FALSE)</f>
        <v>57000</v>
      </c>
      <c r="K99" s="11">
        <v>0</v>
      </c>
      <c r="L99" s="11">
        <f t="shared" si="11"/>
        <v>0</v>
      </c>
      <c r="M99" s="5" t="inlineStr">
        <is>
          <t>PM board (91310): In Production / In Production; job to floor 09/11/26</t>
        </is>
      </c>
    </row>
    <row r="100" spans="1:13" ht="16.5" thickTop="1" thickBot="1" x14ac:dyDescent="0.3">
      <c r="A100" s="5" t="s">
        <v>779</v>
      </c>
      <c r="B100" s="6">
        <v>90333</v>
      </c>
      <c r="C100" s="7" t="s">
        <v>737</v>
      </c>
      <c r="D100" s="39">
        <v>46230</v>
      </c>
      <c r="E100" s="39" t="inlineStr">
        <is>
          <t>Pre-Production</t>
        </is>
      </c>
      <c r="F100" s="39" t="inlineStr">
        <is>
          <t>Pre-Production</t>
        </is>
      </c>
      <c r="G100" s="9">
        <v>8649.91</v>
      </c>
      <c r="H100" s="10">
        <f t="shared" si="10"/>
        <v>8649.9000000000015</v>
      </c>
      <c r="I100" s="11">
        <v>17299.810000000001</v>
      </c>
      <c r="J100" s="11">
        <f>VLOOKUP(B100,'Aug 26'!B:G,6,FALSE)</f>
        <v>8649.91</v>
      </c>
      <c r="K100" s="11">
        <v>0</v>
      </c>
      <c r="L100" s="11">
        <f t="shared" si="11"/>
        <v>0</v>
      </c>
      <c r="M100" s="5" t="inlineStr">
        <is>
          <t>Not on PM board at 9/30 (engineering/JDM) - pre-production</t>
        </is>
      </c>
    </row>
    <row r="101" spans="1:13" ht="16.5" thickTop="1" thickBot="1" x14ac:dyDescent="0.3">
      <c r="A101" s="5" t="s">
        <v>803</v>
      </c>
      <c r="B101" s="6">
        <v>89690</v>
      </c>
      <c r="C101" s="7" t="s">
        <v>14</v>
      </c>
      <c r="D101" s="39">
        <v>46245</v>
      </c>
      <c r="E101" s="39" t="inlineStr">
        <is>
          <t>Pre-Production</t>
        </is>
      </c>
      <c r="F101" s="39" t="inlineStr">
        <is>
          <t>Pre-Production</t>
        </is>
      </c>
      <c r="G101" s="9">
        <v>13551.62</v>
      </c>
      <c r="H101" s="10">
        <f t="shared" si="10"/>
        <v>13551.62</v>
      </c>
      <c r="I101" s="11">
        <v>27103.24</v>
      </c>
      <c r="J101" s="11">
        <f>VLOOKUP(B101,'Aug 26'!B:G,6,FALSE)</f>
        <v>13551.62</v>
      </c>
      <c r="K101" s="11">
        <v>0</v>
      </c>
      <c r="L101" s="11">
        <f t="shared" si="11"/>
        <v>0</v>
      </c>
      <c r="M101" s="5" t="inlineStr">
        <is>
          <t>Not on PM board at 9/30 (engineering/JDM) - pre-production</t>
        </is>
      </c>
    </row>
    <row r="102" spans="1:13" ht="16.5" thickTop="1" thickBot="1" x14ac:dyDescent="0.3">
      <c r="A102" s="5" t="s">
        <v>716</v>
      </c>
      <c r="B102" s="6">
        <v>91004</v>
      </c>
      <c r="C102" s="7" t="s">
        <v>14</v>
      </c>
      <c r="D102" s="39">
        <v>46182</v>
      </c>
      <c r="E102" s="39" t="inlineStr">
        <is>
          <t>Pre-Production</t>
        </is>
      </c>
      <c r="F102" s="39" t="inlineStr">
        <is>
          <t>Pre-Production</t>
        </is>
      </c>
      <c r="G102" s="9">
        <v>13225.66</v>
      </c>
      <c r="H102" s="10">
        <f t="shared" si="10"/>
        <v>13225.66</v>
      </c>
      <c r="I102" s="11">
        <v>26451.32</v>
      </c>
      <c r="J102" s="11">
        <f>VLOOKUP(B102,'Aug 26'!B:G,6,FALSE)</f>
        <v>13225.66</v>
      </c>
      <c r="K102" s="11">
        <v>0</v>
      </c>
      <c r="L102" s="11">
        <f t="shared" si="11"/>
        <v>0</v>
      </c>
      <c r="M102" s="5" t="inlineStr">
        <is>
          <t>PM board (91004 / 2209): Pending Deposit in Invoicing / Pending Deposit</t>
        </is>
      </c>
    </row>
    <row r="103" spans="1:13" ht="16.5" thickTop="1" thickBot="1" x14ac:dyDescent="0.3">
      <c r="A103" s="5" t="s">
        <v>782</v>
      </c>
      <c r="B103" s="6">
        <v>91495</v>
      </c>
      <c r="C103" s="7" t="s">
        <v>18</v>
      </c>
      <c r="D103" s="39">
        <v>46231</v>
      </c>
      <c r="E103" s="39">
        <v>46266</v>
      </c>
      <c r="F103" s="39" t="inlineStr">
        <is>
          <t>In Production</t>
        </is>
      </c>
      <c r="G103" s="9">
        <v>12762.73</v>
      </c>
      <c r="H103" s="10">
        <f t="shared" si="10"/>
        <v>11555.619999999999</v>
      </c>
      <c r="I103" s="11">
        <v>24318.35</v>
      </c>
      <c r="J103" s="11">
        <f>VLOOKUP(B103,'Aug 26'!B:G,6,FALSE)</f>
        <v>12762.73</v>
      </c>
      <c r="K103" s="11">
        <v>0</v>
      </c>
      <c r="L103" s="11">
        <f t="shared" si="11"/>
        <v>0</v>
      </c>
      <c r="M103" s="5" t="inlineStr">
        <is>
          <t>PM board (91495): In Production / In Production; job to floor 09/01/26</t>
        </is>
      </c>
    </row>
    <row r="104" spans="1:13" ht="16.5" thickTop="1" thickBot="1" x14ac:dyDescent="0.3">
      <c r="A104" s="5" t="s">
        <v>750</v>
      </c>
      <c r="B104" s="6">
        <v>89522</v>
      </c>
      <c r="C104" s="7" t="s">
        <v>14</v>
      </c>
      <c r="D104" s="39">
        <v>46210</v>
      </c>
      <c r="E104" s="39" t="inlineStr">
        <is>
          <t>Pre-Production</t>
        </is>
      </c>
      <c r="F104" s="39" t="inlineStr">
        <is>
          <t>Pre-Production</t>
        </is>
      </c>
      <c r="G104" s="9">
        <v>8200</v>
      </c>
      <c r="H104" s="10">
        <f t="shared" si="10"/>
        <v>8199</v>
      </c>
      <c r="I104" s="11">
        <v>16399</v>
      </c>
      <c r="J104" s="11">
        <f>VLOOKUP(B104,'Aug 26'!B:G,6,FALSE)</f>
        <v>8200</v>
      </c>
      <c r="K104" s="11">
        <v>0</v>
      </c>
      <c r="L104" s="11">
        <f t="shared" si="11"/>
        <v>0</v>
      </c>
      <c r="M104" s="5" t="inlineStr">
        <is>
          <t>Not on PM board at 9/30 (engineering/JDM) - pre-production</t>
        </is>
      </c>
    </row>
    <row r="105" spans="1:13" ht="16.5" thickTop="1" thickBot="1" x14ac:dyDescent="0.3">
      <c r="A105" s="5" t="s">
        <v>106</v>
      </c>
      <c r="B105" s="6">
        <v>85604</v>
      </c>
      <c r="C105" s="7" t="s">
        <v>17</v>
      </c>
      <c r="D105" s="39">
        <v>45881</v>
      </c>
      <c r="E105" s="39">
        <v>46156</v>
      </c>
      <c r="F105" s="39" t="inlineStr">
        <is>
          <t>In Production</t>
        </is>
      </c>
      <c r="G105" s="19">
        <v>80676.28</v>
      </c>
      <c r="H105" s="10">
        <f t="shared" si="10"/>
        <v>17689.72</v>
      </c>
      <c r="I105" s="11">
        <v>98366</v>
      </c>
      <c r="J105" s="11">
        <f>VLOOKUP(B105,'Aug 26'!B:G,6,FALSE)</f>
        <v>80676.28</v>
      </c>
      <c r="K105" s="11">
        <v>0</v>
      </c>
      <c r="L105" s="11">
        <f t="shared" si="11"/>
        <v>0</v>
      </c>
      <c r="M105" s="5" t="inlineStr">
        <is>
          <t>PM board (85604): In Production / In Production; job to floor 05/14/26</t>
        </is>
      </c>
    </row>
    <row r="106" spans="1:13" ht="16.5" thickTop="1" thickBot="1" x14ac:dyDescent="0.3">
      <c r="A106" s="5" t="s">
        <v>43</v>
      </c>
      <c r="B106" s="6">
        <v>80858</v>
      </c>
      <c r="C106" s="7" t="s">
        <v>44</v>
      </c>
      <c r="D106" s="39">
        <v>45987</v>
      </c>
      <c r="E106" s="39" t="inlineStr">
        <is>
          <t>Pre-Production</t>
        </is>
      </c>
      <c r="F106" s="39" t="inlineStr">
        <is>
          <t>Pre-Production</t>
        </is>
      </c>
      <c r="G106" s="9">
        <v>6843</v>
      </c>
      <c r="H106" s="10">
        <f t="shared" si="10"/>
        <v>6843</v>
      </c>
      <c r="I106" s="11">
        <v>13686</v>
      </c>
      <c r="J106" s="11">
        <f>VLOOKUP(B106,'Aug 26'!B:G,6,FALSE)</f>
        <v>6843</v>
      </c>
      <c r="K106" s="11">
        <v>0</v>
      </c>
      <c r="L106" s="11">
        <f t="shared" si="11"/>
        <v>0</v>
      </c>
      <c r="M106" s="5" t="inlineStr">
        <is>
          <t>PM board (80858): Sent to Engineering / Sent to Engineering</t>
        </is>
      </c>
    </row>
    <row r="107" spans="1:13" ht="16.5" thickTop="1" thickBot="1" x14ac:dyDescent="0.3">
      <c r="A107" s="5" t="s">
        <v>794</v>
      </c>
      <c r="B107" s="6">
        <v>91108</v>
      </c>
      <c r="C107" s="7" t="s">
        <v>31</v>
      </c>
      <c r="D107" s="39">
        <v>46238</v>
      </c>
      <c r="E107" s="39" t="inlineStr">
        <is>
          <t>Pre-Production</t>
        </is>
      </c>
      <c r="F107" s="39" t="inlineStr">
        <is>
          <t>Pre-Production</t>
        </is>
      </c>
      <c r="G107" s="9">
        <v>5016.6099999999997</v>
      </c>
      <c r="H107" s="10">
        <f t="shared" si="10"/>
        <v>5016.5999999999995</v>
      </c>
      <c r="I107" s="11">
        <v>10033.209999999999</v>
      </c>
      <c r="J107" s="11">
        <f>VLOOKUP(B107,'Aug 26'!B:G,6,FALSE)</f>
        <v>5016.6099999999997</v>
      </c>
      <c r="K107" s="11">
        <v>0</v>
      </c>
      <c r="L107" s="11">
        <f t="shared" si="11"/>
        <v>0</v>
      </c>
      <c r="M107" s="5" t="inlineStr">
        <is>
          <t>PM board (91108 / 2343): Pending Deposit in Invoicing / Pending Deposit</t>
        </is>
      </c>
    </row>
    <row r="108" spans="1:13" ht="16.5" thickTop="1" thickBot="1" x14ac:dyDescent="0.3">
      <c r="A108" s="5" t="s">
        <v>662</v>
      </c>
      <c r="B108" s="6">
        <v>90183</v>
      </c>
      <c r="C108" s="7" t="s">
        <v>78</v>
      </c>
      <c r="D108" s="39" t="s">
        <v>670</v>
      </c>
      <c r="E108" s="39">
        <v>46184</v>
      </c>
      <c r="F108" s="39" t="inlineStr">
        <is>
          <t>In Production</t>
        </is>
      </c>
      <c r="G108" s="9">
        <v>18889</v>
      </c>
      <c r="H108" s="10">
        <f t="shared" si="10"/>
        <v>18889</v>
      </c>
      <c r="I108" s="11">
        <v>37778</v>
      </c>
      <c r="J108" s="11">
        <f>VLOOKUP(B108,'Aug 26'!B:G,6,FALSE)</f>
        <v>18889</v>
      </c>
      <c r="K108" s="11">
        <v>0</v>
      </c>
      <c r="L108" s="11">
        <f t="shared" si="11"/>
        <v>0</v>
      </c>
      <c r="M108" s="5" t="inlineStr">
        <is>
          <t>PM board (90183): In Production / Receive Signed  Drawings; job to floor 06/11/26</t>
        </is>
      </c>
    </row>
    <row r="109" spans="1:13" ht="16.5" thickTop="1" thickBot="1" x14ac:dyDescent="0.3">
      <c r="A109" s="5" t="s">
        <v>736</v>
      </c>
      <c r="B109" s="6">
        <v>90746</v>
      </c>
      <c r="C109" s="7" t="s">
        <v>40</v>
      </c>
      <c r="D109" s="39">
        <v>46199</v>
      </c>
      <c r="E109" s="39">
        <v>46225</v>
      </c>
      <c r="F109" s="39" t="inlineStr">
        <is>
          <t>In Production</t>
        </is>
      </c>
      <c r="G109" s="9">
        <v>13469.26</v>
      </c>
      <c r="H109" s="10">
        <f t="shared" si="10"/>
        <v>13557.699999999999</v>
      </c>
      <c r="I109" s="11">
        <v>27026.959999999999</v>
      </c>
      <c r="J109" s="11">
        <f>VLOOKUP(B109,'Aug 26'!B:G,6,FALSE)</f>
        <v>13469.26</v>
      </c>
      <c r="K109" s="11">
        <v>0</v>
      </c>
      <c r="L109" s="11">
        <f t="shared" si="11"/>
        <v>0</v>
      </c>
      <c r="M109" s="5" t="inlineStr">
        <is>
          <t>PM board (90746): In Production / In Production; job to floor 07/22/26</t>
        </is>
      </c>
    </row>
    <row r="110" spans="1:13" ht="16.5" thickTop="1" thickBot="1" x14ac:dyDescent="0.3">
      <c r="A110" s="5" t="s">
        <v>618</v>
      </c>
      <c r="B110" s="6">
        <v>90089</v>
      </c>
      <c r="C110" s="7" t="s">
        <v>619</v>
      </c>
      <c r="D110" s="39">
        <v>46133</v>
      </c>
      <c r="E110" s="39">
        <v>46225</v>
      </c>
      <c r="F110" s="39" t="inlineStr">
        <is>
          <t>Fabrication Complete</t>
        </is>
      </c>
      <c r="G110" s="19">
        <v>36368.01</v>
      </c>
      <c r="H110" s="10">
        <f t="shared" si="10"/>
        <v>0</v>
      </c>
      <c r="I110" s="11">
        <v>36368.01</v>
      </c>
      <c r="J110" s="11">
        <f>VLOOKUP(B110,'Aug 26'!B:G,6,FALSE)</f>
        <v>36368.01</v>
      </c>
      <c r="K110" s="11">
        <f>IF(G110=0,J110-G110,0)</f>
        <v>0</v>
      </c>
      <c r="L110" s="11">
        <f t="shared" si="11"/>
        <v>0</v>
      </c>
      <c r="M110" s="5" t="inlineStr">
        <is>
          <t>PM board (90089): Crating / Packaging/Crating; job to floor 07/22/26; production completed 09/30/26</t>
        </is>
      </c>
    </row>
    <row r="111" spans="1:13" ht="16.5" thickTop="1" thickBot="1" x14ac:dyDescent="0.3">
      <c r="A111" s="5" t="s">
        <v>784</v>
      </c>
      <c r="B111" s="6">
        <v>85687</v>
      </c>
      <c r="C111" s="7" t="s">
        <v>20</v>
      </c>
      <c r="D111" s="39">
        <v>46231</v>
      </c>
      <c r="E111" s="39" t="inlineStr">
        <is>
          <t>Pre-Production</t>
        </is>
      </c>
      <c r="F111" s="39" t="inlineStr">
        <is>
          <t>Pre-Production</t>
        </is>
      </c>
      <c r="G111" s="9">
        <v>13294</v>
      </c>
      <c r="H111" s="10">
        <f t="shared" si="10"/>
        <v>13293</v>
      </c>
      <c r="I111" s="11">
        <v>26587</v>
      </c>
      <c r="J111" s="11">
        <f>VLOOKUP(B111,'Aug 26'!B:G,6,FALSE)</f>
        <v>13294</v>
      </c>
      <c r="K111" s="11">
        <v>0</v>
      </c>
      <c r="L111" s="11">
        <f t="shared" si="11"/>
        <v>0</v>
      </c>
      <c r="M111" s="5" t="inlineStr">
        <is>
          <t>Not on PM board at 9/30 (engineering/JDM) - pre-production</t>
        </is>
      </c>
    </row>
    <row r="112" spans="1:13" ht="16.5" thickTop="1" thickBot="1" x14ac:dyDescent="0.3">
      <c r="A112" s="5" t="s">
        <v>761</v>
      </c>
      <c r="B112" s="6">
        <v>88593</v>
      </c>
      <c r="C112" s="7" t="s">
        <v>33</v>
      </c>
      <c r="D112" s="39">
        <v>46218</v>
      </c>
      <c r="E112" s="39">
        <v>46267</v>
      </c>
      <c r="F112" s="39" t="inlineStr">
        <is>
          <t>In Production</t>
        </is>
      </c>
      <c r="G112" s="9">
        <v>70606.89</v>
      </c>
      <c r="H112" s="10">
        <f t="shared" si="10"/>
        <v>71797.62000000001</v>
      </c>
      <c r="I112" s="11">
        <v>142404.51</v>
      </c>
      <c r="J112" s="11">
        <f>VLOOKUP(B112,'Aug 26'!B:G,6,FALSE)</f>
        <v>70606.89</v>
      </c>
      <c r="K112" s="11">
        <v>0</v>
      </c>
      <c r="L112" s="11">
        <f t="shared" si="11"/>
        <v>0</v>
      </c>
      <c r="M112" s="5" t="inlineStr">
        <is>
          <t>PM board (88593): In Production / In Production; job to floor 09/02/26</t>
        </is>
      </c>
    </row>
    <row r="113" spans="1:12" ht="16.5" thickTop="1" thickBot="1" x14ac:dyDescent="0.3">
      <c r="A113" s="5" t="s">
        <v>799</v>
      </c>
      <c r="B113" s="6">
        <v>91695</v>
      </c>
      <c r="C113" s="7" t="s">
        <v>21</v>
      </c>
      <c r="D113" s="39">
        <v>46239</v>
      </c>
      <c r="E113" s="39" t="s">
        <v>13</v>
      </c>
      <c r="F113" s="39">
        <v>46288</v>
      </c>
      <c r="G113" s="45">
        <v>0</v>
      </c>
      <c r="H113" s="58">
        <v>0</v>
      </c>
      <c r="I113" s="59">
        <v>0</v>
      </c>
      <c r="J113" s="59">
        <f>VLOOKUP(B113,'Aug 26'!B:G,6,FALSE)</f>
        <v>6413.27</v>
      </c>
      <c r="K113" s="59">
        <f>J113-G113</f>
        <v>6413.27</v>
      </c>
      <c r="L113" s="59" t="s">
        <v>791</v>
      </c>
    </row>
    <row r="114" spans="1:12" ht="16.5" thickTop="1" thickBot="1" x14ac:dyDescent="0.3">
      <c r="A114" s="5" t="s">
        <v>741</v>
      </c>
      <c r="B114" s="81">
        <v>89558</v>
      </c>
      <c r="C114" s="82" t="s">
        <v>19</v>
      </c>
      <c r="D114" s="49">
        <v>46203</v>
      </c>
      <c r="E114" s="49" t="str">
        <f>VLOOKUP(B114,'[1]Pre Production'!$B:$E,4,FALSE)</f>
        <v>Pre-Production</v>
      </c>
      <c r="F114" s="49">
        <v>46280</v>
      </c>
      <c r="G114" s="45"/>
      <c r="H114" s="58"/>
      <c r="I114" s="59"/>
      <c r="J114" s="59">
        <f>VLOOKUP(B114,'Aug 26'!B:G,6,FALSE)</f>
        <v>14801</v>
      </c>
      <c r="K114" s="59">
        <f>J114-G114</f>
        <v>14801</v>
      </c>
      <c r="L114" s="59" t="s">
        <v>791</v>
      </c>
    </row>
    <row r="115" spans="1:13" ht="16.5" thickTop="1" thickBot="1" x14ac:dyDescent="0.3">
      <c r="A115" s="5" t="s">
        <v>645</v>
      </c>
      <c r="B115" s="6">
        <v>86208</v>
      </c>
      <c r="C115" s="7" t="s">
        <v>38</v>
      </c>
      <c r="D115" s="39">
        <v>46143</v>
      </c>
      <c r="E115" s="39" t="inlineStr">
        <is>
          <t>Pre-Production</t>
        </is>
      </c>
      <c r="F115" s="39" t="inlineStr">
        <is>
          <t>Pre-Production</t>
        </is>
      </c>
      <c r="G115" s="9">
        <v>22287</v>
      </c>
      <c r="H115" s="10">
        <f t="shared" si="10"/>
        <v>22286</v>
      </c>
      <c r="I115" s="11">
        <v>44573</v>
      </c>
      <c r="J115" s="11">
        <f>VLOOKUP(B115,'Aug 26'!B:G,6,FALSE)</f>
        <v>22287</v>
      </c>
      <c r="K115" s="11">
        <v>0</v>
      </c>
      <c r="L115" s="11">
        <f t="shared" si="11"/>
        <v>0</v>
      </c>
      <c r="M115" s="5" t="inlineStr">
        <is>
          <t>PM board (86208): Sent to Engineering / Sent to Engineering</t>
        </is>
      </c>
    </row>
    <row r="116" spans="1:13" ht="16.5" thickTop="1" thickBot="1" x14ac:dyDescent="0.3">
      <c r="A116" s="5" t="s">
        <v>600</v>
      </c>
      <c r="B116" s="6">
        <v>89295</v>
      </c>
      <c r="C116" s="7" t="s">
        <v>21</v>
      </c>
      <c r="D116" s="39">
        <v>46127</v>
      </c>
      <c r="E116" s="39">
        <v>46259</v>
      </c>
      <c r="F116" s="39" t="inlineStr">
        <is>
          <t>In Production</t>
        </is>
      </c>
      <c r="G116" s="9">
        <v>26512</v>
      </c>
      <c r="H116" s="10">
        <f t="shared" si="10"/>
        <v>26512</v>
      </c>
      <c r="I116" s="11">
        <v>53024</v>
      </c>
      <c r="J116" s="11">
        <f>VLOOKUP(B116,'Aug 26'!B:G,6,FALSE)</f>
        <v>26512</v>
      </c>
      <c r="K116" s="11">
        <v>0</v>
      </c>
      <c r="L116" s="11">
        <f t="shared" si="11"/>
        <v>0</v>
      </c>
      <c r="M116" s="5" t="inlineStr">
        <is>
          <t>PM board (89295): In Production / In Production; job to floor 08/25/26</t>
        </is>
      </c>
    </row>
    <row r="117" spans="1:13" ht="16.5" thickTop="1" thickBot="1" x14ac:dyDescent="0.3">
      <c r="A117" s="5" t="s">
        <v>817</v>
      </c>
      <c r="B117" s="6">
        <v>91457</v>
      </c>
      <c r="C117" s="7" t="s">
        <v>21</v>
      </c>
      <c r="D117" s="39">
        <v>46254</v>
      </c>
      <c r="E117" s="39">
        <v>46288</v>
      </c>
      <c r="F117" s="39" t="inlineStr">
        <is>
          <t>In Production</t>
        </is>
      </c>
      <c r="G117" s="9">
        <v>14380</v>
      </c>
      <c r="H117" s="10">
        <f t="shared" si="10"/>
        <v>14490.8</v>
      </c>
      <c r="I117" s="11">
        <v>28870.799999999999</v>
      </c>
      <c r="J117" s="11">
        <f>VLOOKUP(B117,'Aug 26'!B:G,6,FALSE)</f>
        <v>14380</v>
      </c>
      <c r="K117" s="11">
        <v>0</v>
      </c>
      <c r="L117" s="11">
        <f t="shared" si="11"/>
        <v>0</v>
      </c>
      <c r="M117" s="5" t="inlineStr">
        <is>
          <t>PM board (91457): In Production / In Production; job to floor 09/23/26</t>
        </is>
      </c>
    </row>
    <row r="118" spans="1:13" ht="16.5" thickTop="1" thickBot="1" x14ac:dyDescent="0.3">
      <c r="A118" s="5" t="s">
        <v>830</v>
      </c>
      <c r="B118" s="6">
        <v>92060</v>
      </c>
      <c r="C118" s="7" t="s">
        <v>23</v>
      </c>
      <c r="D118" s="39">
        <v>46265</v>
      </c>
      <c r="E118" s="39" t="inlineStr">
        <is>
          <t>Pre-Production</t>
        </is>
      </c>
      <c r="F118" s="39" t="inlineStr">
        <is>
          <t>Pre-Production</t>
        </is>
      </c>
      <c r="G118" s="9">
        <v>3607.38</v>
      </c>
      <c r="H118" s="10">
        <f t="shared" si="10"/>
        <v>0</v>
      </c>
      <c r="I118" s="11">
        <v>3607.38</v>
      </c>
      <c r="J118" s="11">
        <f>VLOOKUP(B118,'Aug 26'!B:G,6,FALSE)</f>
        <v>3607.38</v>
      </c>
      <c r="K118" s="11">
        <v>0</v>
      </c>
      <c r="L118" s="11">
        <f t="shared" si="11"/>
        <v>0</v>
      </c>
      <c r="M118" s="5" t="inlineStr">
        <is>
          <t>PM board (92060): PM Review Documents / PM Review</t>
        </is>
      </c>
    </row>
    <row r="119" spans="1:13" ht="16.5" thickTop="1" thickBot="1" x14ac:dyDescent="0.3">
      <c r="A119" s="5" t="s">
        <v>606</v>
      </c>
      <c r="B119" s="6">
        <v>88850</v>
      </c>
      <c r="C119" s="7" t="s">
        <v>14</v>
      </c>
      <c r="D119" s="39">
        <v>46115</v>
      </c>
      <c r="E119" s="39">
        <v>46248</v>
      </c>
      <c r="F119" s="39" t="inlineStr">
        <is>
          <t>In Production</t>
        </is>
      </c>
      <c r="G119" s="9">
        <v>49392</v>
      </c>
      <c r="H119" s="10">
        <f t="shared" si="10"/>
        <v>49391</v>
      </c>
      <c r="I119" s="11">
        <v>98783</v>
      </c>
      <c r="J119" s="11">
        <f>VLOOKUP(B119,'Aug 26'!B:G,6,FALSE)</f>
        <v>49392</v>
      </c>
      <c r="K119" s="11">
        <v>0</v>
      </c>
      <c r="L119" s="11">
        <f t="shared" si="11"/>
        <v>0</v>
      </c>
      <c r="M119" s="5" t="inlineStr">
        <is>
          <t>PM board (88850): In Production / In Production; job to floor 08/14/26</t>
        </is>
      </c>
    </row>
    <row r="120" spans="1:12" ht="16.5" thickTop="1" thickBot="1" x14ac:dyDescent="0.3">
      <c r="A120" s="5" t="s">
        <v>739</v>
      </c>
      <c r="B120" s="81">
        <v>89066</v>
      </c>
      <c r="C120" s="82" t="s">
        <v>20</v>
      </c>
      <c r="D120" s="49">
        <v>46202</v>
      </c>
      <c r="E120" s="49">
        <f>VLOOKUP(B120,[1]Production!$B:$E,4,FALSE)</f>
        <v>46233</v>
      </c>
      <c r="F120" s="49">
        <v>46279</v>
      </c>
      <c r="G120" s="45"/>
      <c r="H120" s="58"/>
      <c r="I120" s="59"/>
      <c r="J120" s="59">
        <f>VLOOKUP(B120,'Aug 26'!B:G,6,FALSE)</f>
        <v>13039.91</v>
      </c>
      <c r="K120" s="59">
        <f>J120-G120</f>
        <v>13039.91</v>
      </c>
      <c r="L120" s="59" t="s">
        <v>791</v>
      </c>
    </row>
    <row r="121" spans="1:13" ht="16.5" thickTop="1" thickBot="1" x14ac:dyDescent="0.3">
      <c r="A121" s="5" t="s">
        <v>795</v>
      </c>
      <c r="B121" s="6">
        <v>90778</v>
      </c>
      <c r="C121" s="7" t="s">
        <v>572</v>
      </c>
      <c r="D121" s="39">
        <v>46238</v>
      </c>
      <c r="E121" s="39" t="inlineStr">
        <is>
          <t>Pre-Production</t>
        </is>
      </c>
      <c r="F121" s="39" t="inlineStr">
        <is>
          <t>Pre-Production</t>
        </is>
      </c>
      <c r="G121" s="9">
        <v>7737.76</v>
      </c>
      <c r="H121" s="10">
        <f t="shared" si="10"/>
        <v>7737.9499999999989</v>
      </c>
      <c r="I121" s="11">
        <v>15475.71</v>
      </c>
      <c r="J121" s="11">
        <f>VLOOKUP(B121,'Aug 26'!B:G,6,FALSE)</f>
        <v>7737.76</v>
      </c>
      <c r="K121" s="11">
        <v>0</v>
      </c>
      <c r="L121" s="11">
        <f t="shared" si="11"/>
        <v>0</v>
      </c>
      <c r="M121" s="5" t="inlineStr">
        <is>
          <t>Not on PM board at 9/30 (engineering/JDM) - pre-production</t>
        </is>
      </c>
    </row>
    <row r="122" spans="1:13" ht="16.5" thickTop="1" thickBot="1" x14ac:dyDescent="0.3">
      <c r="A122" s="5" t="s">
        <v>625</v>
      </c>
      <c r="B122" s="6">
        <v>85309</v>
      </c>
      <c r="C122" s="7" t="s">
        <v>634</v>
      </c>
      <c r="D122" s="39">
        <v>46135</v>
      </c>
      <c r="E122" s="39">
        <v>46189</v>
      </c>
      <c r="F122" s="39" t="inlineStr">
        <is>
          <t>In Production</t>
        </is>
      </c>
      <c r="G122" s="9">
        <v>14942</v>
      </c>
      <c r="H122" s="10">
        <f t="shared" si="10"/>
        <v>14942</v>
      </c>
      <c r="I122" s="11">
        <v>29884</v>
      </c>
      <c r="J122" s="11">
        <f>VLOOKUP(B122,'Aug 26'!B:G,6,FALSE)</f>
        <v>14942</v>
      </c>
      <c r="K122" s="11">
        <f>IF(G122=0,J122-G122,0)</f>
        <v>0</v>
      </c>
      <c r="L122" s="11">
        <f t="shared" si="11"/>
        <v>0</v>
      </c>
      <c r="M122" s="5" t="inlineStr">
        <is>
          <t>PM board (85309): Need to Request Final Invoice / Request Final Invoice; job to floor 06/16/26; production completed 10/01/26 (after month end); final invoice requested 10/01/26</t>
        </is>
      </c>
    </row>
    <row r="123" spans="1:13" ht="2.25" customHeight="1" thickTop="1" thickBot="1" x14ac:dyDescent="0.3">
      <c r="A123" s="5" t="s">
        <v>727</v>
      </c>
      <c r="B123" s="6">
        <v>87536</v>
      </c>
      <c r="C123" s="7" t="s">
        <v>737</v>
      </c>
      <c r="D123" s="39">
        <v>46190</v>
      </c>
      <c r="E123" s="39">
        <v>46247</v>
      </c>
      <c r="F123" s="39" t="inlineStr">
        <is>
          <t>In Production</t>
        </is>
      </c>
      <c r="G123" s="9">
        <v>17907.14</v>
      </c>
      <c r="H123" s="10">
        <f t="shared" si="10"/>
        <v>17907.14</v>
      </c>
      <c r="I123" s="11">
        <v>35814.28</v>
      </c>
      <c r="J123" s="11">
        <f>VLOOKUP(B123,'Aug 26'!B:G,6,FALSE)</f>
        <v>17907.14</v>
      </c>
      <c r="K123" s="11">
        <v>0</v>
      </c>
      <c r="L123" s="11">
        <f t="shared" si="11"/>
        <v>0</v>
      </c>
      <c r="M123" s="5" t="inlineStr">
        <is>
          <t>PM board (87536): In Production / In Production; job to floor 08/13/26</t>
        </is>
      </c>
    </row>
    <row r="124" spans="1:13" ht="16.5" thickTop="1" thickBot="1" x14ac:dyDescent="0.3">
      <c r="A124" s="5" t="s">
        <v>702</v>
      </c>
      <c r="B124" s="6">
        <v>90985</v>
      </c>
      <c r="C124" s="7" t="s">
        <v>14</v>
      </c>
      <c r="D124" s="39">
        <v>46177</v>
      </c>
      <c r="E124" s="39">
        <v>46258</v>
      </c>
      <c r="F124" s="39" t="inlineStr">
        <is>
          <t>In Production</t>
        </is>
      </c>
      <c r="G124" s="9">
        <v>26358</v>
      </c>
      <c r="H124" s="10">
        <f t="shared" si="10"/>
        <v>27764</v>
      </c>
      <c r="I124" s="11">
        <v>54122</v>
      </c>
      <c r="J124" s="11">
        <f>VLOOKUP(B124,'Aug 26'!B:G,6,FALSE)</f>
        <v>26358</v>
      </c>
      <c r="K124" s="11">
        <v>0</v>
      </c>
      <c r="L124" s="11">
        <f t="shared" si="11"/>
        <v>0</v>
      </c>
      <c r="M124" s="5" t="inlineStr">
        <is>
          <t>PM board (90985): In Production / In Production; job to floor 08/24/26</t>
        </is>
      </c>
    </row>
    <row r="125" spans="1:13" ht="16.5" thickTop="1" thickBot="1" x14ac:dyDescent="0.3">
      <c r="A125" s="5" t="s">
        <v>809</v>
      </c>
      <c r="B125" s="6">
        <v>91342</v>
      </c>
      <c r="C125" s="7" t="s">
        <v>40</v>
      </c>
      <c r="D125" s="39">
        <v>46251</v>
      </c>
      <c r="E125" s="39">
        <v>46279</v>
      </c>
      <c r="F125" s="39" t="inlineStr">
        <is>
          <t>In Production</t>
        </is>
      </c>
      <c r="G125" s="9">
        <v>8404.57</v>
      </c>
      <c r="H125" s="10">
        <f t="shared" si="10"/>
        <v>8404.5600000000013</v>
      </c>
      <c r="I125" s="11">
        <v>16809.13</v>
      </c>
      <c r="J125" s="11">
        <f>VLOOKUP(B125,'Aug 26'!B:G,6,FALSE)</f>
        <v>8404.57</v>
      </c>
      <c r="K125" s="11">
        <v>0</v>
      </c>
      <c r="L125" s="11">
        <f t="shared" si="11"/>
        <v>0</v>
      </c>
      <c r="M125" s="5" t="inlineStr">
        <is>
          <t>PM board (91342): In Production / In Production; job to floor 09/14/26</t>
        </is>
      </c>
    </row>
    <row r="126" spans="1:13" ht="16.5" thickTop="1" thickBot="1" x14ac:dyDescent="0.3">
      <c r="A126" s="5" t="s">
        <v>752</v>
      </c>
      <c r="B126" s="6">
        <v>91029</v>
      </c>
      <c r="C126" s="7" t="s">
        <v>40</v>
      </c>
      <c r="D126" s="39">
        <v>46210</v>
      </c>
      <c r="E126" s="39">
        <v>46262</v>
      </c>
      <c r="F126" s="39" t="inlineStr">
        <is>
          <t>In Production</t>
        </is>
      </c>
      <c r="G126" s="9">
        <f>10526.14+2668.92</f>
        <v>13195.06</v>
      </c>
      <c r="H126" s="10">
        <f t="shared" si="10"/>
        <v>13195.050000000001</v>
      </c>
      <c r="I126" s="11">
        <v>26390.11</v>
      </c>
      <c r="J126" s="11">
        <f>VLOOKUP(B126,'Aug 26'!B:G,6,FALSE)</f>
        <v>13195.06</v>
      </c>
      <c r="K126" s="11">
        <v>0</v>
      </c>
      <c r="L126" s="11">
        <f t="shared" si="11"/>
        <v>0</v>
      </c>
      <c r="M126" s="5" t="inlineStr">
        <is>
          <t>PM board (91029): In Production / In Production; job to floor 08/28/26</t>
        </is>
      </c>
    </row>
    <row r="127" spans="1:13" ht="16.5" thickTop="1" thickBot="1" x14ac:dyDescent="0.3">
      <c r="A127" s="5" t="s">
        <v>735</v>
      </c>
      <c r="B127" s="6">
        <v>89071</v>
      </c>
      <c r="C127" s="7" t="s">
        <v>654</v>
      </c>
      <c r="D127" s="39">
        <v>46199</v>
      </c>
      <c r="E127" s="39">
        <v>46237</v>
      </c>
      <c r="F127" s="39" t="inlineStr">
        <is>
          <t>In Production</t>
        </is>
      </c>
      <c r="G127" s="9">
        <v>44750.18</v>
      </c>
      <c r="H127" s="10">
        <f t="shared" si="10"/>
        <v>44750.18</v>
      </c>
      <c r="I127" s="11">
        <v>89500.36</v>
      </c>
      <c r="J127" s="11">
        <f>VLOOKUP(B127,'Aug 26'!B:G,6,FALSE)</f>
        <v>44750.18</v>
      </c>
      <c r="K127" s="11">
        <v>0</v>
      </c>
      <c r="L127" s="11">
        <f t="shared" si="11"/>
        <v>0</v>
      </c>
      <c r="M127" s="5" t="inlineStr">
        <is>
          <t>PM board (89071): In Production / In Production; job to floor 08/03/26</t>
        </is>
      </c>
    </row>
    <row r="128" spans="1:12" ht="16.5" thickTop="1" thickBot="1" x14ac:dyDescent="0.3">
      <c r="A128" s="95" t="s">
        <v>758</v>
      </c>
      <c r="B128" s="81">
        <v>91555</v>
      </c>
      <c r="C128" s="82" t="s">
        <v>23</v>
      </c>
      <c r="D128" s="49">
        <v>46217</v>
      </c>
      <c r="E128" s="49">
        <f>VLOOKUP(B128,[1]Production!$B:$E,4,FALSE)</f>
        <v>46225</v>
      </c>
      <c r="F128" s="49">
        <v>46273</v>
      </c>
      <c r="G128" s="45"/>
      <c r="H128" s="58"/>
      <c r="I128" s="59"/>
      <c r="J128" s="59">
        <f>VLOOKUP(B128,'Aug 26'!B:G,6,FALSE)</f>
        <v>7670.31</v>
      </c>
      <c r="K128" s="59">
        <f>J128-G128</f>
        <v>7670.31</v>
      </c>
      <c r="L128" s="59" t="s">
        <v>791</v>
      </c>
    </row>
    <row r="129" spans="1:12" ht="16.5" thickTop="1" thickBot="1" x14ac:dyDescent="0.3">
      <c r="A129" s="95" t="s">
        <v>707</v>
      </c>
      <c r="B129" s="81">
        <v>90614</v>
      </c>
      <c r="C129" s="82" t="s">
        <v>21</v>
      </c>
      <c r="D129" s="49">
        <v>46181</v>
      </c>
      <c r="E129" s="49">
        <f>VLOOKUP(B129,[1]Production!$B:$E,4,FALSE)</f>
        <v>46216</v>
      </c>
      <c r="F129" s="49">
        <v>46266</v>
      </c>
      <c r="G129" s="45">
        <v>0</v>
      </c>
      <c r="H129" s="58">
        <v>0</v>
      </c>
      <c r="I129" s="59">
        <v>0</v>
      </c>
      <c r="J129" s="59">
        <f>VLOOKUP(B129,'Aug 26'!B:G,6,FALSE)</f>
        <v>25740.36</v>
      </c>
      <c r="K129" s="59">
        <f>J129-G129</f>
        <v>25740.36</v>
      </c>
      <c r="L129" s="59" t="s">
        <v>791</v>
      </c>
    </row>
    <row r="130" spans="1:12" ht="16.5" thickTop="1" thickBot="1" x14ac:dyDescent="0.3">
      <c r="A130" s="95" t="s">
        <v>757</v>
      </c>
      <c r="B130" s="81">
        <v>90916</v>
      </c>
      <c r="C130" s="82" t="s">
        <v>14</v>
      </c>
      <c r="D130" s="49">
        <v>46216</v>
      </c>
      <c r="E130" s="49" t="str">
        <f>VLOOKUP(B130,'[1]Pre Production'!$B:$E,4,FALSE)</f>
        <v>Pre-Production</v>
      </c>
      <c r="F130" s="49">
        <v>46275</v>
      </c>
      <c r="G130" s="45"/>
      <c r="H130" s="58"/>
      <c r="I130" s="59"/>
      <c r="J130" s="59">
        <f>VLOOKUP(B130,'Aug 26'!B:G,6,FALSE)</f>
        <v>17820.54</v>
      </c>
      <c r="K130" s="59">
        <v>38987.620000000003</v>
      </c>
      <c r="L130" s="59">
        <v>21167.08</v>
      </c>
    </row>
    <row r="131" spans="1:13" ht="16.5" thickTop="1" thickBot="1" x14ac:dyDescent="0.3">
      <c r="A131" s="5" t="s">
        <v>672</v>
      </c>
      <c r="B131" s="6">
        <v>90293</v>
      </c>
      <c r="C131" s="7" t="s">
        <v>44</v>
      </c>
      <c r="D131" s="39">
        <v>46160</v>
      </c>
      <c r="E131" s="39" t="inlineStr">
        <is>
          <t>Pre-Production</t>
        </is>
      </c>
      <c r="F131" s="39" t="inlineStr">
        <is>
          <t>Pre-Production</t>
        </is>
      </c>
      <c r="G131" s="9">
        <v>17650.97</v>
      </c>
      <c r="H131" s="10">
        <f t="shared" ref="H131:H155" si="12">I131-G131</f>
        <v>17650.96</v>
      </c>
      <c r="I131" s="11">
        <v>35301.93</v>
      </c>
      <c r="J131" s="11">
        <f>VLOOKUP(B131,'Aug 26'!B:G,6,FALSE)</f>
        <v>17650.97</v>
      </c>
      <c r="K131" s="11"/>
      <c r="L131" s="11">
        <f t="shared" ref="L131:L155" si="13">G131-J131</f>
        <v>0</v>
      </c>
      <c r="M131" s="5" t="inlineStr">
        <is>
          <t>PM board (90293): Sent to Engineering / Sent to Engineering</t>
        </is>
      </c>
    </row>
    <row r="132" spans="1:13" ht="16.5" thickTop="1" thickBot="1" x14ac:dyDescent="0.3">
      <c r="A132" s="5" t="s">
        <v>792</v>
      </c>
      <c r="B132" s="6">
        <v>92121</v>
      </c>
      <c r="C132" s="7" t="s">
        <v>20</v>
      </c>
      <c r="D132" s="39">
        <v>46237</v>
      </c>
      <c r="E132" s="39">
        <v>46259</v>
      </c>
      <c r="F132" s="39" t="inlineStr">
        <is>
          <t>In Production</t>
        </is>
      </c>
      <c r="G132" s="9">
        <v>30970.43</v>
      </c>
      <c r="H132" s="10">
        <f t="shared" si="12"/>
        <v>0</v>
      </c>
      <c r="I132" s="11">
        <v>30970.43</v>
      </c>
      <c r="J132" s="11">
        <f>VLOOKUP(B132,'Aug 26'!B:G,6,FALSE)</f>
        <v>30970.43</v>
      </c>
      <c r="K132" s="11">
        <v>0</v>
      </c>
      <c r="L132" s="11">
        <f t="shared" si="13"/>
        <v>0</v>
      </c>
      <c r="M132" s="5" t="inlineStr">
        <is>
          <t>PM board (92121): In Production / In Production; job to floor 08/25/26</t>
        </is>
      </c>
    </row>
    <row r="133" spans="1:13" ht="16.5" thickTop="1" thickBot="1" x14ac:dyDescent="0.3">
      <c r="A133" s="5" t="s">
        <v>806</v>
      </c>
      <c r="B133" s="6">
        <v>92246</v>
      </c>
      <c r="C133" s="7" t="s">
        <v>57</v>
      </c>
      <c r="D133" s="39">
        <v>46247</v>
      </c>
      <c r="E133" s="39" t="inlineStr">
        <is>
          <t>Pre-Production</t>
        </is>
      </c>
      <c r="F133" s="39" t="inlineStr">
        <is>
          <t>Pre-Production</t>
        </is>
      </c>
      <c r="G133" s="9">
        <v>10549.85</v>
      </c>
      <c r="H133" s="10">
        <f t="shared" si="12"/>
        <v>28326.989999999998</v>
      </c>
      <c r="I133" s="11">
        <v>38876.839999999997</v>
      </c>
      <c r="J133" s="11">
        <f>VLOOKUP(B133,'Aug 26'!B:G,6,FALSE)</f>
        <v>10549.85</v>
      </c>
      <c r="K133" s="11">
        <v>0</v>
      </c>
      <c r="L133" s="11">
        <f t="shared" si="13"/>
        <v>0</v>
      </c>
      <c r="M133" s="5" t="inlineStr">
        <is>
          <t>Not on PM board at 9/30 (engineering/JDM) - pre-production</t>
        </is>
      </c>
    </row>
    <row r="134" spans="1:12" ht="16.5" thickTop="1" thickBot="1" x14ac:dyDescent="0.3">
      <c r="A134" s="5" t="s">
        <v>706</v>
      </c>
      <c r="B134" s="81">
        <v>90085</v>
      </c>
      <c r="C134" s="82" t="s">
        <v>57</v>
      </c>
      <c r="D134" s="49">
        <v>46178</v>
      </c>
      <c r="E134" s="49">
        <f>VLOOKUP(B134,[1]Production!$B:$E,4,FALSE)</f>
        <v>46202</v>
      </c>
      <c r="F134" s="49">
        <v>46282</v>
      </c>
      <c r="G134" s="45"/>
      <c r="H134" s="58"/>
      <c r="I134" s="59"/>
      <c r="J134" s="59">
        <f>VLOOKUP(B134,'Aug 26'!B:G,6,FALSE)</f>
        <v>29088.5</v>
      </c>
      <c r="K134" s="59">
        <f>J134-G134</f>
        <v>29088.5</v>
      </c>
      <c r="L134" s="59" t="s">
        <v>791</v>
      </c>
    </row>
    <row r="135" spans="1:13" ht="16.5" thickTop="1" thickBot="1" x14ac:dyDescent="0.3">
      <c r="A135" s="5" t="s">
        <v>797</v>
      </c>
      <c r="B135" s="6">
        <v>90766</v>
      </c>
      <c r="C135" s="7" t="s">
        <v>16</v>
      </c>
      <c r="D135" s="39">
        <v>46239</v>
      </c>
      <c r="E135" s="39">
        <v>46273</v>
      </c>
      <c r="F135" s="39" t="inlineStr">
        <is>
          <t>In Production</t>
        </is>
      </c>
      <c r="G135" s="9">
        <v>32000</v>
      </c>
      <c r="H135" s="10">
        <f t="shared" si="12"/>
        <v>26724.79</v>
      </c>
      <c r="I135" s="11">
        <v>58724.79</v>
      </c>
      <c r="J135" s="11">
        <f>VLOOKUP(B135,'Aug 26'!B:G,6,FALSE)</f>
        <v>32000</v>
      </c>
      <c r="K135" s="11">
        <v>0</v>
      </c>
      <c r="L135" s="11">
        <f t="shared" si="13"/>
        <v>0</v>
      </c>
      <c r="M135" s="5" t="inlineStr">
        <is>
          <t>PM board (90766): In Production / In Production; job to floor 09/08/26</t>
        </is>
      </c>
    </row>
    <row r="136" spans="1:13" ht="16.5" thickTop="1" thickBot="1" x14ac:dyDescent="0.3">
      <c r="A136" s="5" t="s">
        <v>500</v>
      </c>
      <c r="B136" s="6">
        <v>88490</v>
      </c>
      <c r="C136" s="7" t="s">
        <v>19</v>
      </c>
      <c r="D136" s="39">
        <v>46099</v>
      </c>
      <c r="E136" s="39">
        <v>46169</v>
      </c>
      <c r="F136" s="39">
        <v>46295</v>
      </c>
      <c r="G136" s="9">
        <v>0</v>
      </c>
      <c r="H136" s="10">
        <v>0</v>
      </c>
      <c r="I136" s="11">
        <v>0</v>
      </c>
      <c r="J136" s="11">
        <f>VLOOKUP(B136,'Aug 26'!B:G,6,FALSE)</f>
        <v>21569</v>
      </c>
      <c r="K136" s="11">
        <f>J136-G136</f>
        <v>21569</v>
      </c>
      <c r="L136" s="11" t="inlineStr">
        <is>
          <t>Invoiced this month</t>
        </is>
      </c>
      <c r="M136" s="5" t="inlineStr">
        <is>
          <t>Final invoice #17540 09/30/26 applied deposit - PM board (88490): Test Wall / Test Wall; job to floor 05/27/26; final invoice requested 09/30/26</t>
        </is>
      </c>
    </row>
    <row r="137" spans="1:13" ht="16.5" thickTop="1" thickBot="1" x14ac:dyDescent="0.3">
      <c r="A137" s="5" t="s">
        <v>149</v>
      </c>
      <c r="B137" s="6">
        <v>87713</v>
      </c>
      <c r="C137" s="7" t="s">
        <v>31</v>
      </c>
      <c r="D137" s="39">
        <v>45960</v>
      </c>
      <c r="E137" s="39">
        <v>46168</v>
      </c>
      <c r="F137" s="39" t="inlineStr">
        <is>
          <t>In Production</t>
        </is>
      </c>
      <c r="G137" s="9">
        <v>192821</v>
      </c>
      <c r="H137" s="10">
        <f t="shared" si="12"/>
        <v>189018</v>
      </c>
      <c r="I137" s="11">
        <v>381839</v>
      </c>
      <c r="J137" s="11">
        <f>VLOOKUP(B137,'Aug 26'!B:G,6,FALSE)</f>
        <v>192821</v>
      </c>
      <c r="K137" s="11">
        <v>0</v>
      </c>
      <c r="L137" s="11">
        <f t="shared" si="13"/>
        <v>0</v>
      </c>
      <c r="M137" s="5" t="inlineStr">
        <is>
          <t>PM board (87713): In Production / In Production; job to floor 05/26/26</t>
        </is>
      </c>
    </row>
    <row r="138" spans="1:13" ht="16.5" thickTop="1" thickBot="1" x14ac:dyDescent="0.3">
      <c r="A138" s="5" t="s">
        <v>150</v>
      </c>
      <c r="B138" s="6">
        <v>87716</v>
      </c>
      <c r="C138" s="7" t="s">
        <v>31</v>
      </c>
      <c r="D138" s="39">
        <v>45960</v>
      </c>
      <c r="E138" s="39">
        <v>46177</v>
      </c>
      <c r="F138" s="39" t="inlineStr">
        <is>
          <t>In Production</t>
        </is>
      </c>
      <c r="G138" s="9">
        <v>94522</v>
      </c>
      <c r="H138" s="10">
        <f t="shared" si="12"/>
        <v>82015</v>
      </c>
      <c r="I138" s="11">
        <v>176537</v>
      </c>
      <c r="J138" s="11">
        <f>VLOOKUP(B138,'Aug 26'!B:G,6,FALSE)</f>
        <v>94522</v>
      </c>
      <c r="K138" s="11">
        <v>0</v>
      </c>
      <c r="L138" s="11">
        <f t="shared" si="13"/>
        <v>0</v>
      </c>
      <c r="M138" s="5" t="inlineStr">
        <is>
          <t>PM board (87716): In Production / In Production; job to floor 06/04/26</t>
        </is>
      </c>
    </row>
    <row r="139" spans="1:12" ht="16.5" thickTop="1" thickBot="1" x14ac:dyDescent="0.3">
      <c r="A139" s="5" t="s">
        <v>753</v>
      </c>
      <c r="B139" s="81">
        <v>91599</v>
      </c>
      <c r="C139" s="82" t="s">
        <v>23</v>
      </c>
      <c r="D139" s="49">
        <v>46213</v>
      </c>
      <c r="E139" s="49" t="str">
        <f>VLOOKUP(B139,'[1]Pre Production'!$B:$E,4,FALSE)</f>
        <v>Pre-Production</v>
      </c>
      <c r="F139" s="49">
        <v>46280</v>
      </c>
      <c r="G139" s="45"/>
      <c r="H139" s="58"/>
      <c r="I139" s="59"/>
      <c r="J139" s="59">
        <f>VLOOKUP(B139,'Aug 26'!B:G,6,FALSE)</f>
        <v>20654.009999999998</v>
      </c>
      <c r="K139" s="59">
        <f>J139-G139</f>
        <v>20654.009999999998</v>
      </c>
      <c r="L139" s="59" t="s">
        <v>791</v>
      </c>
    </row>
    <row r="140" spans="1:13" ht="16.5" thickTop="1" thickBot="1" x14ac:dyDescent="0.3">
      <c r="A140" s="5" t="s">
        <v>728</v>
      </c>
      <c r="B140" s="6" t="s">
        <v>738</v>
      </c>
      <c r="C140" s="7" t="s">
        <v>11</v>
      </c>
      <c r="D140" s="39">
        <v>46195</v>
      </c>
      <c r="E140" s="39">
        <v>46233</v>
      </c>
      <c r="F140" s="39" t="inlineStr">
        <is>
          <t>In Production</t>
        </is>
      </c>
      <c r="G140" s="9">
        <v>25293.599999999999</v>
      </c>
      <c r="H140" s="10">
        <f t="shared" si="12"/>
        <v>25804.58</v>
      </c>
      <c r="I140" s="11">
        <v>51098.18</v>
      </c>
      <c r="J140" s="11">
        <f>VLOOKUP(B140,'Aug 26'!B:G,6,FALSE)</f>
        <v>25293.599999999999</v>
      </c>
      <c r="K140" s="11">
        <v>0</v>
      </c>
      <c r="L140" s="11">
        <f t="shared" si="13"/>
        <v>0</v>
      </c>
      <c r="M140" s="5" t="inlineStr">
        <is>
          <t>PM board (90500.1): In Production / In Production; job to floor 07/30/26</t>
        </is>
      </c>
    </row>
    <row r="141" spans="1:13" ht="16.5" thickTop="1" thickBot="1" x14ac:dyDescent="0.3">
      <c r="A141" s="5" t="s">
        <v>357</v>
      </c>
      <c r="B141" s="6">
        <v>88948</v>
      </c>
      <c r="C141" s="7" t="s">
        <v>23</v>
      </c>
      <c r="D141" s="39">
        <v>46084</v>
      </c>
      <c r="E141" s="39">
        <v>46164</v>
      </c>
      <c r="F141" s="39" t="inlineStr">
        <is>
          <t>In Production</t>
        </is>
      </c>
      <c r="G141" s="9">
        <v>55860.75</v>
      </c>
      <c r="H141" s="10">
        <f t="shared" si="12"/>
        <v>58090.25</v>
      </c>
      <c r="I141" s="11">
        <v>113951</v>
      </c>
      <c r="J141" s="11">
        <f>VLOOKUP(B141,'Aug 26'!B:G,6,FALSE)</f>
        <v>55860.75</v>
      </c>
      <c r="K141" s="11">
        <v>0</v>
      </c>
      <c r="L141" s="11">
        <f t="shared" si="13"/>
        <v>0</v>
      </c>
      <c r="M141" s="5" t="inlineStr">
        <is>
          <t>PM board (88948-R2): In Production / In Production; job to floor 05/22/26</t>
        </is>
      </c>
    </row>
    <row r="142" spans="1:13" ht="16.5" thickTop="1" thickBot="1" x14ac:dyDescent="0.3">
      <c r="A142" s="5" t="s">
        <v>689</v>
      </c>
      <c r="B142" s="6">
        <v>88063</v>
      </c>
      <c r="C142" s="7" t="s">
        <v>23</v>
      </c>
      <c r="D142" s="39">
        <v>46169</v>
      </c>
      <c r="E142" s="39">
        <v>46225</v>
      </c>
      <c r="F142" s="39" t="inlineStr">
        <is>
          <t>In Production</t>
        </is>
      </c>
      <c r="G142" s="9">
        <v>11338.47</v>
      </c>
      <c r="H142" s="10">
        <f t="shared" si="12"/>
        <v>11567.53</v>
      </c>
      <c r="I142" s="11">
        <v>22906</v>
      </c>
      <c r="J142" s="11">
        <f>VLOOKUP(B142,'Aug 26'!B:G,6,FALSE)</f>
        <v>11338.47</v>
      </c>
      <c r="K142" s="11"/>
      <c r="L142" s="11">
        <f t="shared" si="13"/>
        <v>0</v>
      </c>
      <c r="M142" s="5" t="inlineStr">
        <is>
          <t>PM board (88063): In Production / In Production; job to floor 07/22/26</t>
        </is>
      </c>
    </row>
    <row r="143" spans="1:13" ht="16.5" thickTop="1" thickBot="1" x14ac:dyDescent="0.3">
      <c r="A143" s="5" t="s">
        <v>788</v>
      </c>
      <c r="B143" s="6">
        <v>91860</v>
      </c>
      <c r="C143" s="7" t="s">
        <v>21</v>
      </c>
      <c r="D143" s="39">
        <v>46233</v>
      </c>
      <c r="E143" s="39">
        <v>46262</v>
      </c>
      <c r="F143" s="39" t="inlineStr">
        <is>
          <t>In Production</t>
        </is>
      </c>
      <c r="G143" s="9">
        <f>7621.98-76.22</f>
        <v>7545.7599999999993</v>
      </c>
      <c r="H143" s="10">
        <f t="shared" si="12"/>
        <v>7698.1900000000014</v>
      </c>
      <c r="I143" s="11">
        <v>15243.95</v>
      </c>
      <c r="J143" s="11">
        <f>VLOOKUP(B143,'Aug 26'!B:G,6,FALSE)</f>
        <v>7545.7599999999993</v>
      </c>
      <c r="K143" s="11">
        <v>0</v>
      </c>
      <c r="L143" s="11">
        <f t="shared" si="13"/>
        <v>0</v>
      </c>
      <c r="M143" s="5" t="inlineStr">
        <is>
          <t>PM board (91860): In Production / In Production; job to floor 08/28/26</t>
        </is>
      </c>
    </row>
    <row r="144" spans="1:13" ht="16.5" thickTop="1" thickBot="1" x14ac:dyDescent="0.3">
      <c r="A144" s="5" t="s">
        <v>731</v>
      </c>
      <c r="B144" s="6">
        <v>90567</v>
      </c>
      <c r="C144" s="7" t="s">
        <v>23</v>
      </c>
      <c r="D144" s="39">
        <v>46198</v>
      </c>
      <c r="E144" s="39">
        <v>46240</v>
      </c>
      <c r="F144" s="39" t="inlineStr">
        <is>
          <t>Fabrication Complete</t>
        </is>
      </c>
      <c r="G144" s="9">
        <f>7410.8-74.11</f>
        <v>7336.6900000000005</v>
      </c>
      <c r="H144" s="10">
        <f t="shared" si="12"/>
        <v>7484.91</v>
      </c>
      <c r="I144" s="11">
        <v>14821.6</v>
      </c>
      <c r="J144" s="11">
        <f>VLOOKUP(B144,'Aug 26'!B:G,6,FALSE)</f>
        <v>7336.6900000000005</v>
      </c>
      <c r="K144" s="11">
        <v>0</v>
      </c>
      <c r="L144" s="11">
        <f t="shared" si="13"/>
        <v>0</v>
      </c>
      <c r="M144" s="5" t="inlineStr">
        <is>
          <t>PM board (90567): Awaiting Signed BOL/Pick Up Ticket/ Close Out / Awaiting Signed BOL; job to floor 08/06/26; production completed 09/22/26; final invoice requested 09/21/26</t>
        </is>
      </c>
    </row>
    <row r="145" spans="1:13" ht="16.5" thickTop="1" thickBot="1" x14ac:dyDescent="0.3">
      <c r="A145" s="5" t="s">
        <v>768</v>
      </c>
      <c r="B145" s="6">
        <v>91679</v>
      </c>
      <c r="C145" s="7" t="s">
        <v>23</v>
      </c>
      <c r="D145" s="39">
        <v>46224</v>
      </c>
      <c r="E145" s="39">
        <v>46266</v>
      </c>
      <c r="F145" s="39" t="inlineStr">
        <is>
          <t>In Production</t>
        </is>
      </c>
      <c r="G145" s="9">
        <v>17700.54</v>
      </c>
      <c r="H145" s="10">
        <f t="shared" si="12"/>
        <v>18058.11</v>
      </c>
      <c r="I145" s="11">
        <v>35758.65</v>
      </c>
      <c r="J145" s="11">
        <f>VLOOKUP(B145,'Aug 26'!B:G,6,FALSE)</f>
        <v>17700.54</v>
      </c>
      <c r="K145" s="11">
        <v>0</v>
      </c>
      <c r="L145" s="11">
        <f t="shared" si="13"/>
        <v>0</v>
      </c>
      <c r="M145" s="5" t="inlineStr">
        <is>
          <t>PM board (91679 / 2649): In Production / In Production; job to floor 09/01/26</t>
        </is>
      </c>
    </row>
    <row r="146" spans="1:13" ht="16.5" thickTop="1" thickBot="1" x14ac:dyDescent="0.3">
      <c r="A146" s="5" t="s">
        <v>815</v>
      </c>
      <c r="B146" s="6">
        <v>92250</v>
      </c>
      <c r="C146" s="7" t="s">
        <v>23</v>
      </c>
      <c r="D146" s="39">
        <v>46253</v>
      </c>
      <c r="E146" s="39">
        <v>46295</v>
      </c>
      <c r="F146" s="39" t="inlineStr">
        <is>
          <t>In Production</t>
        </is>
      </c>
      <c r="G146" s="9">
        <f>3977.37-39.77</f>
        <v>3937.6</v>
      </c>
      <c r="H146" s="10">
        <f t="shared" si="12"/>
        <v>4017.14</v>
      </c>
      <c r="I146" s="11">
        <v>7954.74</v>
      </c>
      <c r="J146" s="11">
        <f>VLOOKUP(B146,'Aug 26'!B:G,6,FALSE)</f>
        <v>3937.6</v>
      </c>
      <c r="K146" s="11">
        <v>0</v>
      </c>
      <c r="L146" s="11">
        <f t="shared" si="13"/>
        <v>0</v>
      </c>
      <c r="M146" s="5" t="inlineStr">
        <is>
          <t>PM board (92250): In Production / In Production; job to floor 09/30/26</t>
        </is>
      </c>
    </row>
    <row r="147" spans="1:13" ht="16.5" thickTop="1" thickBot="1" x14ac:dyDescent="0.3">
      <c r="A147" s="5" t="s">
        <v>796</v>
      </c>
      <c r="B147" s="6">
        <v>91869</v>
      </c>
      <c r="C147" s="7" t="s">
        <v>23</v>
      </c>
      <c r="D147" s="39">
        <v>46238</v>
      </c>
      <c r="E147" s="39">
        <v>46252</v>
      </c>
      <c r="F147" s="39">
        <v>46295</v>
      </c>
      <c r="G147" s="9">
        <v>0</v>
      </c>
      <c r="H147" s="10">
        <v>0</v>
      </c>
      <c r="I147" s="11">
        <v>0</v>
      </c>
      <c r="J147" s="11">
        <f>VLOOKUP(B147,'Aug 26'!B:G,6,FALSE)</f>
        <v>1273.94</v>
      </c>
      <c r="K147" s="11">
        <f>J147-G147</f>
        <v>1273.94</v>
      </c>
      <c r="L147" s="11" t="inlineStr">
        <is>
          <t>Invoiced this month</t>
        </is>
      </c>
      <c r="M147" s="5" t="inlineStr">
        <is>
          <t>Final invoice #17539 09/30/26 applied deposit - PM board (91869): Waiting For Final to be Collected / Final Invoicing; job to floor 08/18/26; final invoice requested 09/30/26</t>
        </is>
      </c>
    </row>
    <row r="148" spans="1:12" ht="16.5" thickTop="1" thickBot="1" x14ac:dyDescent="0.3">
      <c r="A148" s="5" t="s">
        <v>714</v>
      </c>
      <c r="B148" s="81">
        <v>86062</v>
      </c>
      <c r="C148" s="82" t="s">
        <v>32</v>
      </c>
      <c r="D148" s="49">
        <v>46181</v>
      </c>
      <c r="E148" s="49" t="str">
        <f>VLOOKUP(B148,'[1]Pre Production'!$B:$E,4,FALSE)</f>
        <v>Pre-Production</v>
      </c>
      <c r="F148" s="49">
        <v>46280</v>
      </c>
      <c r="G148" s="45"/>
      <c r="H148" s="58"/>
      <c r="I148" s="59"/>
      <c r="J148" s="59">
        <f>VLOOKUP(B148,'Aug 26'!B:G,6,FALSE)</f>
        <v>11413.71</v>
      </c>
      <c r="K148" s="59">
        <f>J148-G148</f>
        <v>11413.71</v>
      </c>
      <c r="L148" s="59" t="s">
        <v>791</v>
      </c>
    </row>
    <row r="149" spans="1:13" ht="16.5" thickTop="1" thickBot="1" x14ac:dyDescent="0.3">
      <c r="A149" s="5" t="s">
        <v>109</v>
      </c>
      <c r="B149" s="6">
        <v>86334</v>
      </c>
      <c r="C149" s="7" t="s">
        <v>23</v>
      </c>
      <c r="D149" s="39">
        <v>45890</v>
      </c>
      <c r="E149" s="39" t="inlineStr">
        <is>
          <t>Pre-Production</t>
        </is>
      </c>
      <c r="F149" s="39" t="inlineStr">
        <is>
          <t>Pre-Production</t>
        </is>
      </c>
      <c r="G149" s="9">
        <v>5093.55</v>
      </c>
      <c r="H149" s="10">
        <f t="shared" si="12"/>
        <v>5195.45</v>
      </c>
      <c r="I149" s="11">
        <v>10289</v>
      </c>
      <c r="J149" s="11">
        <f>VLOOKUP(B149,'Aug 26'!B:G,6,FALSE)</f>
        <v>5093.55</v>
      </c>
      <c r="K149" s="11">
        <v>0</v>
      </c>
      <c r="L149" s="11">
        <f t="shared" si="13"/>
        <v>0</v>
      </c>
      <c r="M149" s="5" t="inlineStr">
        <is>
          <t>PM board (86334): Sent to Engineering / Sent to Engineering</t>
        </is>
      </c>
    </row>
    <row r="150" spans="1:13" ht="16.5" thickTop="1" thickBot="1" x14ac:dyDescent="0.3">
      <c r="A150" s="5" t="s">
        <v>341</v>
      </c>
      <c r="B150" s="6">
        <v>87599</v>
      </c>
      <c r="C150" s="7" t="s">
        <v>27</v>
      </c>
      <c r="D150" s="39">
        <v>46080</v>
      </c>
      <c r="E150" s="39" t="inlineStr">
        <is>
          <t>Pre-Production</t>
        </is>
      </c>
      <c r="F150" s="39" t="inlineStr">
        <is>
          <t>Pre-Production</t>
        </is>
      </c>
      <c r="G150" s="9">
        <v>51424.45</v>
      </c>
      <c r="H150" s="10">
        <f t="shared" si="12"/>
        <v>73834.55</v>
      </c>
      <c r="I150" s="11">
        <v>125259</v>
      </c>
      <c r="J150" s="11">
        <f>VLOOKUP(B150,'Aug 26'!B:G,6,FALSE)</f>
        <v>51424.45</v>
      </c>
      <c r="K150" s="11">
        <v>0</v>
      </c>
      <c r="L150" s="11">
        <f t="shared" si="13"/>
        <v>0</v>
      </c>
      <c r="M150" s="5" t="inlineStr">
        <is>
          <t>PM board (87599): Pending Deposit in Invoicing / Pending Deposit</t>
        </is>
      </c>
    </row>
    <row r="151" spans="1:13" ht="16.5" thickTop="1" thickBot="1" x14ac:dyDescent="0.3">
      <c r="A151" s="5" t="s">
        <v>721</v>
      </c>
      <c r="B151" s="6">
        <v>87059</v>
      </c>
      <c r="C151" s="7" t="s">
        <v>14</v>
      </c>
      <c r="D151" s="39">
        <v>46188</v>
      </c>
      <c r="E151" s="39" t="inlineStr">
        <is>
          <t>Pre-Production</t>
        </is>
      </c>
      <c r="F151" s="39" t="inlineStr">
        <is>
          <t>Pre-Production</t>
        </is>
      </c>
      <c r="G151" s="9">
        <v>25737</v>
      </c>
      <c r="H151" s="10">
        <f t="shared" si="12"/>
        <v>25737</v>
      </c>
      <c r="I151" s="11">
        <v>51474</v>
      </c>
      <c r="J151" s="11">
        <f>VLOOKUP(B151,'Aug 26'!B:G,6,FALSE)</f>
        <v>25737</v>
      </c>
      <c r="K151" s="11">
        <v>0</v>
      </c>
      <c r="L151" s="11">
        <f t="shared" si="13"/>
        <v>0</v>
      </c>
      <c r="M151" s="5" t="inlineStr">
        <is>
          <t>PM board (87059): Sent to Engineering / Sent to Engineering</t>
        </is>
      </c>
    </row>
    <row r="152" spans="1:12" ht="16.5" thickTop="1" thickBot="1" x14ac:dyDescent="0.3">
      <c r="A152" s="5" t="s">
        <v>110</v>
      </c>
      <c r="B152" s="6">
        <v>84075</v>
      </c>
      <c r="C152" s="7" t="s">
        <v>14</v>
      </c>
      <c r="D152" s="39">
        <v>45894</v>
      </c>
      <c r="E152" s="39">
        <f>VLOOKUP(B152,[1]Production!$B:$E,4,FALSE)</f>
        <v>46154</v>
      </c>
      <c r="F152" s="39">
        <v>46288</v>
      </c>
      <c r="G152" s="45">
        <v>0</v>
      </c>
      <c r="H152" s="58">
        <v>0</v>
      </c>
      <c r="I152" s="59">
        <v>0</v>
      </c>
      <c r="J152" s="59">
        <f>VLOOKUP(B152,'Aug 26'!B:G,6,FALSE)</f>
        <v>13567</v>
      </c>
      <c r="K152" s="59">
        <f>J152-G152</f>
        <v>13567</v>
      </c>
      <c r="L152" s="59" t="s">
        <v>791</v>
      </c>
    </row>
    <row r="153" spans="1:13" ht="16.5" thickTop="1" thickBot="1" x14ac:dyDescent="0.3">
      <c r="A153" s="5" t="s">
        <v>97</v>
      </c>
      <c r="B153" s="6">
        <v>84726</v>
      </c>
      <c r="C153" s="7" t="s">
        <v>14</v>
      </c>
      <c r="D153" s="39">
        <v>45845</v>
      </c>
      <c r="E153" s="39">
        <v>46141</v>
      </c>
      <c r="F153" s="39" t="inlineStr">
        <is>
          <t>In Production</t>
        </is>
      </c>
      <c r="G153" s="9">
        <v>231351</v>
      </c>
      <c r="H153" s="10">
        <f t="shared" si="12"/>
        <v>231350</v>
      </c>
      <c r="I153" s="11">
        <v>462701</v>
      </c>
      <c r="J153" s="11">
        <f>VLOOKUP(B153,'Aug 26'!B:G,6,FALSE)</f>
        <v>231351</v>
      </c>
      <c r="K153" s="11">
        <v>0</v>
      </c>
      <c r="L153" s="11">
        <f t="shared" si="13"/>
        <v>0</v>
      </c>
      <c r="M153" s="5" t="inlineStr">
        <is>
          <t>PM board (84726): In Production / In Production; job to floor 04/29/26</t>
        </is>
      </c>
    </row>
    <row r="154" spans="1:13" ht="16.5" thickTop="1" thickBot="1" x14ac:dyDescent="0.3">
      <c r="A154" s="5" t="s">
        <v>96</v>
      </c>
      <c r="B154" s="6">
        <v>84719</v>
      </c>
      <c r="C154" s="7" t="s">
        <v>14</v>
      </c>
      <c r="D154" s="39">
        <v>45845</v>
      </c>
      <c r="E154" s="39">
        <v>46134</v>
      </c>
      <c r="F154" s="39" t="inlineStr">
        <is>
          <t>In Production</t>
        </is>
      </c>
      <c r="G154" s="9">
        <v>416603</v>
      </c>
      <c r="H154" s="10">
        <f t="shared" si="12"/>
        <v>416602</v>
      </c>
      <c r="I154" s="11">
        <v>833205</v>
      </c>
      <c r="J154" s="11">
        <f>VLOOKUP(B154,'Aug 26'!B:G,6,FALSE)</f>
        <v>416603</v>
      </c>
      <c r="K154" s="11">
        <v>0</v>
      </c>
      <c r="L154" s="11">
        <f t="shared" si="13"/>
        <v>0</v>
      </c>
      <c r="M154" s="5" t="inlineStr">
        <is>
          <t>PM board (84719): In Production / In Production; job to floor 04/22/26</t>
        </is>
      </c>
    </row>
    <row r="155" spans="1:13" ht="16.5" thickTop="1" thickBot="1" x14ac:dyDescent="0.3">
      <c r="A155" s="5" t="s">
        <v>694</v>
      </c>
      <c r="B155" s="6">
        <v>88512</v>
      </c>
      <c r="C155" s="7" t="s">
        <v>14</v>
      </c>
      <c r="D155" s="39">
        <v>46171</v>
      </c>
      <c r="E155" s="39">
        <v>46262</v>
      </c>
      <c r="F155" s="39" t="inlineStr">
        <is>
          <t>In Production</t>
        </is>
      </c>
      <c r="G155" s="9">
        <v>33240</v>
      </c>
      <c r="H155" s="10">
        <f t="shared" si="12"/>
        <v>33240</v>
      </c>
      <c r="I155" s="11">
        <v>66480</v>
      </c>
      <c r="J155" s="11">
        <f>VLOOKUP(B155,'Aug 26'!B:G,6,FALSE)</f>
        <v>33240</v>
      </c>
      <c r="K155" s="11"/>
      <c r="L155" s="11">
        <f t="shared" si="13"/>
        <v>0</v>
      </c>
      <c r="M155" s="5" t="inlineStr">
        <is>
          <t>PM board (88512): In Production / In Production; job to floor 08/28/26</t>
        </is>
      </c>
    </row>
    <row r="156" spans="1:12" ht="16.5" thickTop="1" thickBot="1" x14ac:dyDescent="0.3">
      <c r="A156" s="95" t="s">
        <v>261</v>
      </c>
      <c r="B156" s="81">
        <v>88206</v>
      </c>
      <c r="C156" s="82" t="s">
        <v>14</v>
      </c>
      <c r="D156" s="49">
        <v>46050</v>
      </c>
      <c r="E156" s="49">
        <f>VLOOKUP(B156,[1]Production!$B:$E,4,FALSE)</f>
        <v>46182</v>
      </c>
      <c r="F156" s="49">
        <v>46269</v>
      </c>
      <c r="G156" s="45">
        <v>0</v>
      </c>
      <c r="H156" s="58">
        <v>0</v>
      </c>
      <c r="I156" s="59">
        <v>0</v>
      </c>
      <c r="J156" s="59">
        <f>VLOOKUP(B156,'Aug 26'!B:G,6,FALSE)</f>
        <v>68599.16</v>
      </c>
      <c r="K156" s="59">
        <f>J156-G156</f>
        <v>68599.16</v>
      </c>
      <c r="L156" s="59" t="s">
        <v>791</v>
      </c>
    </row>
    <row r="157" spans="1:13" ht="16.5" thickTop="1" thickBot="1" x14ac:dyDescent="0.3">
      <c r="A157" s="5" t="s">
        <v>772</v>
      </c>
      <c r="B157" s="6">
        <v>87176</v>
      </c>
      <c r="C157" s="7" t="s">
        <v>776</v>
      </c>
      <c r="D157" s="39">
        <v>46227</v>
      </c>
      <c r="E157" s="39">
        <v>46288</v>
      </c>
      <c r="F157" s="39" t="inlineStr">
        <is>
          <t>In Production</t>
        </is>
      </c>
      <c r="G157" s="9">
        <v>9608</v>
      </c>
      <c r="H157" s="10">
        <f t="shared" ref="H157:H203" si="14">I157-G157</f>
        <v>9664.18</v>
      </c>
      <c r="I157" s="11">
        <v>19272.18</v>
      </c>
      <c r="J157" s="11">
        <f>VLOOKUP(B157,'Aug 26'!B:G,6,FALSE)</f>
        <v>9608</v>
      </c>
      <c r="K157" s="11">
        <v>0</v>
      </c>
      <c r="L157" s="11">
        <f t="shared" ref="L157:L163" si="15">G157-J157</f>
        <v>0</v>
      </c>
      <c r="M157" s="5" t="inlineStr">
        <is>
          <t>PM board (87176): In Production / In Production; job to floor 09/23/26</t>
        </is>
      </c>
    </row>
    <row r="158" spans="1:13" ht="16.5" thickTop="1" thickBot="1" x14ac:dyDescent="0.3">
      <c r="A158" s="5" t="s">
        <v>826</v>
      </c>
      <c r="B158" s="6">
        <v>91551</v>
      </c>
      <c r="C158" s="7" t="s">
        <v>57</v>
      </c>
      <c r="D158" s="39">
        <v>46258</v>
      </c>
      <c r="E158" s="39">
        <v>46275</v>
      </c>
      <c r="F158" s="39" t="inlineStr">
        <is>
          <t>In Production</t>
        </is>
      </c>
      <c r="G158" s="9">
        <v>43790.559999999998</v>
      </c>
      <c r="H158" s="10">
        <f t="shared" si="14"/>
        <v>43790.559999999998</v>
      </c>
      <c r="I158" s="11">
        <v>87581.119999999995</v>
      </c>
      <c r="J158" s="11">
        <f>VLOOKUP(B158,'Aug 26'!B:G,6,FALSE)</f>
        <v>43790.559999999998</v>
      </c>
      <c r="K158" s="11">
        <v>0</v>
      </c>
      <c r="L158" s="11">
        <f t="shared" si="15"/>
        <v>0</v>
      </c>
      <c r="M158" s="5" t="inlineStr">
        <is>
          <t>PM board (91551): In Production / In Production; job to floor 09/10/26</t>
        </is>
      </c>
    </row>
    <row r="159" spans="1:13" ht="16.5" thickTop="1" thickBot="1" x14ac:dyDescent="0.3">
      <c r="A159" s="5" t="s">
        <v>513</v>
      </c>
      <c r="B159" s="6">
        <v>86157</v>
      </c>
      <c r="C159" s="7" t="s">
        <v>23</v>
      </c>
      <c r="D159" s="39">
        <v>46101</v>
      </c>
      <c r="E159" s="39" t="inlineStr">
        <is>
          <t>Pre-Production</t>
        </is>
      </c>
      <c r="F159" s="39" t="inlineStr">
        <is>
          <t>Pre-Production</t>
        </is>
      </c>
      <c r="G159" s="9">
        <v>255026</v>
      </c>
      <c r="H159" s="10">
        <f t="shared" si="14"/>
        <v>255025</v>
      </c>
      <c r="I159" s="11">
        <v>510051</v>
      </c>
      <c r="J159" s="11">
        <f>VLOOKUP(B159,'Aug 26'!B:G,6,FALSE)</f>
        <v>255026</v>
      </c>
      <c r="K159" s="11">
        <v>0</v>
      </c>
      <c r="L159" s="11">
        <f t="shared" si="15"/>
        <v>0</v>
      </c>
      <c r="M159" s="5" t="inlineStr">
        <is>
          <t>PM board (86157): Sent to Engineering / Sent to Engineering</t>
        </is>
      </c>
    </row>
    <row r="160" spans="1:13" ht="16.5" thickTop="1" thickBot="1" x14ac:dyDescent="0.3">
      <c r="A160" s="5" t="s">
        <v>233</v>
      </c>
      <c r="B160" s="6">
        <v>86089</v>
      </c>
      <c r="C160" s="7" t="s">
        <v>23</v>
      </c>
      <c r="D160" s="39">
        <v>46038</v>
      </c>
      <c r="E160" s="39" t="inlineStr">
        <is>
          <t>Pre-Production</t>
        </is>
      </c>
      <c r="F160" s="39" t="inlineStr">
        <is>
          <t>Pre-Production</t>
        </is>
      </c>
      <c r="G160" s="9">
        <v>416889.25</v>
      </c>
      <c r="H160" s="10">
        <f t="shared" si="14"/>
        <v>412013.75</v>
      </c>
      <c r="I160" s="11">
        <v>828903</v>
      </c>
      <c r="J160" s="11">
        <f>VLOOKUP(B160,'Aug 26'!B:G,6,FALSE)</f>
        <v>416889.25</v>
      </c>
      <c r="K160" s="11">
        <v>0</v>
      </c>
      <c r="L160" s="11">
        <f t="shared" si="15"/>
        <v>0</v>
      </c>
      <c r="M160" s="5" t="inlineStr">
        <is>
          <t>PM board (86089): Sent to Engineering / Sent to Engineering</t>
        </is>
      </c>
    </row>
    <row r="161" spans="1:13" ht="16.5" thickTop="1" thickBot="1" x14ac:dyDescent="0.3">
      <c r="A161" s="5" t="s">
        <v>827</v>
      </c>
      <c r="B161" s="6">
        <v>91760</v>
      </c>
      <c r="C161" s="7" t="s">
        <v>23</v>
      </c>
      <c r="D161" s="39">
        <v>46259</v>
      </c>
      <c r="E161" s="39">
        <v>46290</v>
      </c>
      <c r="F161" s="39" t="inlineStr">
        <is>
          <t>In Production</t>
        </is>
      </c>
      <c r="G161" s="9">
        <v>13000</v>
      </c>
      <c r="H161" s="10">
        <f t="shared" si="14"/>
        <v>6112.7200000000012</v>
      </c>
      <c r="I161" s="11">
        <v>19112.72</v>
      </c>
      <c r="J161" s="11">
        <f>VLOOKUP(B161,'Aug 26'!B:G,6,FALSE)</f>
        <v>13000</v>
      </c>
      <c r="K161" s="11">
        <v>0</v>
      </c>
      <c r="L161" s="11">
        <f t="shared" si="15"/>
        <v>0</v>
      </c>
      <c r="M161" s="5" t="inlineStr">
        <is>
          <t>PM board (91760): In Production / In Production; job to floor 09/25/26</t>
        </is>
      </c>
    </row>
    <row r="162" spans="1:13" ht="16.5" thickTop="1" thickBot="1" x14ac:dyDescent="0.3">
      <c r="A162" s="5" t="s">
        <v>812</v>
      </c>
      <c r="B162" s="6">
        <v>84176</v>
      </c>
      <c r="C162" s="7" t="s">
        <v>14</v>
      </c>
      <c r="D162" s="39">
        <v>46251</v>
      </c>
      <c r="E162" s="39" t="inlineStr">
        <is>
          <t>Pre-Production</t>
        </is>
      </c>
      <c r="F162" s="39" t="inlineStr">
        <is>
          <t>Pre-Production</t>
        </is>
      </c>
      <c r="G162" s="9">
        <v>39098.199999999997</v>
      </c>
      <c r="H162" s="10">
        <f t="shared" si="14"/>
        <v>39098.19</v>
      </c>
      <c r="I162" s="11">
        <v>78196.39</v>
      </c>
      <c r="J162" s="11">
        <f>VLOOKUP(B162,'Aug 26'!B:G,6,FALSE)</f>
        <v>39098.199999999997</v>
      </c>
      <c r="K162" s="11">
        <v>0</v>
      </c>
      <c r="L162" s="11">
        <f t="shared" si="15"/>
        <v>0</v>
      </c>
      <c r="M162" s="5" t="inlineStr">
        <is>
          <t>Not on PM board at 9/30 (engineering/JDM) - pre-production</t>
        </is>
      </c>
    </row>
    <row r="163" spans="1:13" ht="16.5" thickTop="1" thickBot="1" x14ac:dyDescent="0.3">
      <c r="A163" s="5" t="s">
        <v>289</v>
      </c>
      <c r="B163" s="6">
        <v>87805</v>
      </c>
      <c r="C163" s="7" t="s">
        <v>33</v>
      </c>
      <c r="D163" s="39">
        <v>46065</v>
      </c>
      <c r="E163" s="39" t="inlineStr">
        <is>
          <t>Pre-Production</t>
        </is>
      </c>
      <c r="F163" s="39" t="inlineStr">
        <is>
          <t>Pre-Production</t>
        </is>
      </c>
      <c r="G163" s="9">
        <f>3646+3646</f>
        <v>7292</v>
      </c>
      <c r="H163" s="10">
        <f t="shared" si="14"/>
        <v>9402</v>
      </c>
      <c r="I163" s="11">
        <v>16694</v>
      </c>
      <c r="J163" s="11">
        <f>VLOOKUP(B163,'Aug 26'!B:G,6,FALSE)</f>
        <v>7292</v>
      </c>
      <c r="K163" s="11">
        <v>0</v>
      </c>
      <c r="L163" s="11">
        <f t="shared" si="15"/>
        <v>0</v>
      </c>
      <c r="M163" s="5" t="inlineStr">
        <is>
          <t>PM board (87805): Sent to Engineering / Sent to Engineering</t>
        </is>
      </c>
    </row>
    <row r="164" spans="1:12" ht="16.5" thickTop="1" thickBot="1" x14ac:dyDescent="0.3">
      <c r="A164" s="5" t="s">
        <v>665</v>
      </c>
      <c r="B164" s="6">
        <v>90372</v>
      </c>
      <c r="C164" s="7" t="s">
        <v>23</v>
      </c>
      <c r="D164" s="39" t="s">
        <v>670</v>
      </c>
      <c r="E164" s="39">
        <f>VLOOKUP(B164,[1]Production!$B:$E,4,FALSE)</f>
        <v>46199</v>
      </c>
      <c r="F164" s="39">
        <v>46288</v>
      </c>
      <c r="G164" s="45">
        <v>0</v>
      </c>
      <c r="H164" s="58">
        <v>0</v>
      </c>
      <c r="I164" s="59">
        <v>0</v>
      </c>
      <c r="J164" s="59">
        <f>VLOOKUP(B164,'Aug 26'!B:G,6,FALSE)</f>
        <v>13763.57</v>
      </c>
      <c r="K164" s="59">
        <f>J164-G164</f>
        <v>13763.57</v>
      </c>
      <c r="L164" s="59" t="s">
        <v>791</v>
      </c>
    </row>
    <row r="165" spans="1:13" ht="16.5" thickTop="1" thickBot="1" x14ac:dyDescent="0.3">
      <c r="A165" s="5" t="s">
        <v>94</v>
      </c>
      <c r="B165" s="6">
        <v>85860</v>
      </c>
      <c r="C165" s="7" t="s">
        <v>38</v>
      </c>
      <c r="D165" s="39">
        <v>45826</v>
      </c>
      <c r="E165" s="39" t="inlineStr">
        <is>
          <t>Pre-Production</t>
        </is>
      </c>
      <c r="F165" s="39" t="inlineStr">
        <is>
          <t>Pre-Production</t>
        </is>
      </c>
      <c r="G165" s="9">
        <v>68221</v>
      </c>
      <c r="H165" s="10">
        <f t="shared" si="14"/>
        <v>75946</v>
      </c>
      <c r="I165" s="11">
        <v>144167</v>
      </c>
      <c r="J165" s="11">
        <f>VLOOKUP(B165,'Aug 26'!B:G,6,FALSE)</f>
        <v>68221</v>
      </c>
      <c r="K165" s="11">
        <v>0</v>
      </c>
      <c r="L165" s="11">
        <f t="shared" ref="L165:L176" si="16">G165-J165</f>
        <v>0</v>
      </c>
      <c r="M165" s="5" t="inlineStr">
        <is>
          <t>PM board (85860): Sent to Engineering / Sent to Engineering</t>
        </is>
      </c>
    </row>
    <row r="166" spans="1:12" ht="16.5" thickTop="1" thickBot="1" x14ac:dyDescent="0.3">
      <c r="A166" s="5" t="s">
        <v>785</v>
      </c>
      <c r="B166" s="81">
        <v>91560</v>
      </c>
      <c r="C166" s="82" t="s">
        <v>21</v>
      </c>
      <c r="D166" s="49">
        <v>46232</v>
      </c>
      <c r="E166" s="49" t="str">
        <f>VLOOKUP(B166,'[1]Pre Production'!$B:$E,4,FALSE)</f>
        <v>Pre-Production</v>
      </c>
      <c r="F166" s="49">
        <v>46279</v>
      </c>
      <c r="G166" s="45"/>
      <c r="H166" s="58"/>
      <c r="I166" s="59"/>
      <c r="J166" s="59">
        <f>VLOOKUP(B166,'Aug 26'!B:G,6,FALSE)</f>
        <v>8379.99</v>
      </c>
      <c r="K166" s="59">
        <f>J166-G166</f>
        <v>8379.99</v>
      </c>
      <c r="L166" s="59" t="s">
        <v>791</v>
      </c>
    </row>
    <row r="167" spans="1:13" ht="16.5" thickTop="1" thickBot="1" x14ac:dyDescent="0.3">
      <c r="A167" s="5" t="s">
        <v>786</v>
      </c>
      <c r="B167" s="13">
        <v>90548</v>
      </c>
      <c r="C167" s="14" t="s">
        <v>21</v>
      </c>
      <c r="D167" s="40">
        <v>46232</v>
      </c>
      <c r="E167" s="40">
        <v>46289</v>
      </c>
      <c r="F167" s="40" t="inlineStr">
        <is>
          <t>In Production</t>
        </is>
      </c>
      <c r="G167" s="16">
        <v>4673.7</v>
      </c>
      <c r="H167" s="17">
        <f t="shared" si="14"/>
        <v>0</v>
      </c>
      <c r="I167" s="18">
        <v>4673.7</v>
      </c>
      <c r="J167" s="18">
        <f>VLOOKUP(B167,'Aug 26'!B:G,6,FALSE)</f>
        <v>4673.7</v>
      </c>
      <c r="K167" s="18">
        <v>0</v>
      </c>
      <c r="L167" s="18">
        <f t="shared" si="16"/>
        <v>0</v>
      </c>
      <c r="M167" s="5" t="inlineStr">
        <is>
          <t>PM board (90548): In Production / In Production; job to floor 09/24/26</t>
        </is>
      </c>
    </row>
    <row r="168" spans="1:13" ht="16.5" thickTop="1" thickBot="1" x14ac:dyDescent="0.3">
      <c r="A168" s="5" t="s">
        <v>751</v>
      </c>
      <c r="B168" s="6">
        <v>91258</v>
      </c>
      <c r="C168" s="7" t="s">
        <v>21</v>
      </c>
      <c r="D168" s="39">
        <v>46210</v>
      </c>
      <c r="E168" s="39">
        <v>46241</v>
      </c>
      <c r="F168" s="39" t="inlineStr">
        <is>
          <t>In Production</t>
        </is>
      </c>
      <c r="G168" s="9">
        <v>8755.11</v>
      </c>
      <c r="H168" s="10">
        <f t="shared" si="14"/>
        <v>8755.11</v>
      </c>
      <c r="I168" s="11">
        <v>17510.22</v>
      </c>
      <c r="J168" s="11">
        <f>VLOOKUP(B168,'Aug 26'!B:G,6,FALSE)</f>
        <v>8755.11</v>
      </c>
      <c r="K168" s="11">
        <v>0</v>
      </c>
      <c r="L168" s="11">
        <f t="shared" si="16"/>
        <v>0</v>
      </c>
      <c r="M168" s="5" t="inlineStr">
        <is>
          <t>PM board (91258): In Production / In Production; job to floor 08/07/26</t>
        </is>
      </c>
    </row>
    <row r="169" spans="1:13" ht="16.5" thickTop="1" thickBot="1" x14ac:dyDescent="0.3">
      <c r="A169" s="5" t="s">
        <v>276</v>
      </c>
      <c r="B169" s="6">
        <v>88397</v>
      </c>
      <c r="C169" s="7" t="s">
        <v>19</v>
      </c>
      <c r="D169" s="39">
        <v>46062</v>
      </c>
      <c r="E169" s="39" t="inlineStr">
        <is>
          <t>Pre-Production</t>
        </is>
      </c>
      <c r="F169" s="39" t="inlineStr">
        <is>
          <t>Pre-Production</t>
        </is>
      </c>
      <c r="G169" s="9">
        <v>59154.25</v>
      </c>
      <c r="H169" s="10">
        <f t="shared" si="14"/>
        <v>181512.75</v>
      </c>
      <c r="I169" s="11">
        <v>240667</v>
      </c>
      <c r="J169" s="11">
        <f>VLOOKUP(B169,'Aug 26'!B:G,6,FALSE)</f>
        <v>59154.25</v>
      </c>
      <c r="K169" s="11">
        <v>0</v>
      </c>
      <c r="L169" s="11">
        <f t="shared" si="16"/>
        <v>0</v>
      </c>
      <c r="M169" s="5" t="inlineStr">
        <is>
          <t>PM board (88397): Sent to Engineering / Sent to Engineering</t>
        </is>
      </c>
    </row>
    <row r="170" spans="1:13" ht="16.5" thickTop="1" thickBot="1" x14ac:dyDescent="0.3">
      <c r="A170" s="5" t="s">
        <v>661</v>
      </c>
      <c r="B170" s="6">
        <v>90359</v>
      </c>
      <c r="C170" s="7" t="s">
        <v>21</v>
      </c>
      <c r="D170" s="39" t="s">
        <v>670</v>
      </c>
      <c r="E170" s="39">
        <v>46269</v>
      </c>
      <c r="F170" s="39" t="inlineStr">
        <is>
          <t>Test Wall</t>
        </is>
      </c>
      <c r="G170" s="9">
        <v>6614</v>
      </c>
      <c r="H170" s="10">
        <f t="shared" si="14"/>
        <v>6613.75</v>
      </c>
      <c r="I170" s="11">
        <v>13227.75</v>
      </c>
      <c r="J170" s="11">
        <f>VLOOKUP(B170,'Aug 26'!B:G,6,FALSE)</f>
        <v>6614</v>
      </c>
      <c r="K170" s="11">
        <v>0</v>
      </c>
      <c r="L170" s="11">
        <f t="shared" si="16"/>
        <v>0</v>
      </c>
      <c r="M170" s="5" t="inlineStr">
        <is>
          <t>PM board (90359): Test Wall / Test Wall; job to floor 09/04/26; final invoice requested 10/01/26</t>
        </is>
      </c>
    </row>
    <row r="171" spans="1:13" ht="16.5" thickTop="1" thickBot="1" x14ac:dyDescent="0.3">
      <c r="A171" s="5" t="s">
        <v>190</v>
      </c>
      <c r="B171" s="6">
        <v>84246</v>
      </c>
      <c r="C171" s="7" t="s">
        <v>21</v>
      </c>
      <c r="D171" s="39">
        <v>45995</v>
      </c>
      <c r="E171" s="39" t="inlineStr">
        <is>
          <t>Pre-Production</t>
        </is>
      </c>
      <c r="F171" s="39" t="inlineStr">
        <is>
          <t>Pre-Production</t>
        </is>
      </c>
      <c r="G171" s="9">
        <v>17115</v>
      </c>
      <c r="H171" s="10">
        <f t="shared" si="14"/>
        <v>17115</v>
      </c>
      <c r="I171" s="11">
        <v>34230</v>
      </c>
      <c r="J171" s="11">
        <f>VLOOKUP(B171,'Aug 26'!B:G,6,FALSE)</f>
        <v>17115</v>
      </c>
      <c r="K171" s="11">
        <v>0</v>
      </c>
      <c r="L171" s="11">
        <f t="shared" si="16"/>
        <v>0</v>
      </c>
      <c r="M171" s="5" t="inlineStr">
        <is>
          <t>PM board (84246): Sent to Engineering / Sent to Engineering</t>
        </is>
      </c>
    </row>
    <row r="172" spans="1:13" ht="16.5" thickTop="1" thickBot="1" x14ac:dyDescent="0.3">
      <c r="A172" s="5" t="s">
        <v>325</v>
      </c>
      <c r="B172" s="6">
        <v>87450</v>
      </c>
      <c r="C172" s="7" t="s">
        <v>327</v>
      </c>
      <c r="D172" s="39">
        <v>46073</v>
      </c>
      <c r="E172" s="39" t="inlineStr">
        <is>
          <t>Pre-Production</t>
        </is>
      </c>
      <c r="F172" s="39" t="inlineStr">
        <is>
          <t>Pre-Production</t>
        </is>
      </c>
      <c r="G172" s="9">
        <v>9898</v>
      </c>
      <c r="H172" s="10">
        <f t="shared" si="14"/>
        <v>29693</v>
      </c>
      <c r="I172" s="11">
        <v>39591</v>
      </c>
      <c r="J172" s="11">
        <f>VLOOKUP(B172,'Aug 26'!B:G,6,FALSE)</f>
        <v>9898</v>
      </c>
      <c r="K172" s="11">
        <v>0</v>
      </c>
      <c r="L172" s="11">
        <f t="shared" si="16"/>
        <v>0</v>
      </c>
      <c r="M172" s="5" t="inlineStr">
        <is>
          <t>PM board (87450): Sent to Engineering / Sent to Engineering</t>
        </is>
      </c>
    </row>
    <row r="173" spans="1:13" ht="16.5" thickTop="1" thickBot="1" x14ac:dyDescent="0.3">
      <c r="A173" s="5" t="s">
        <v>691</v>
      </c>
      <c r="B173" s="6">
        <v>90031</v>
      </c>
      <c r="C173" s="7" t="s">
        <v>14</v>
      </c>
      <c r="D173" s="39">
        <v>46170</v>
      </c>
      <c r="E173" s="39">
        <v>46218</v>
      </c>
      <c r="F173" s="39">
        <v>46294</v>
      </c>
      <c r="G173" s="9">
        <v>0</v>
      </c>
      <c r="H173" s="10">
        <v>0</v>
      </c>
      <c r="I173" s="11">
        <v>0</v>
      </c>
      <c r="J173" s="11">
        <f>VLOOKUP(B173,'Aug 26'!B:G,6,FALSE)</f>
        <v>80668</v>
      </c>
      <c r="K173" s="11">
        <f>J173-G173</f>
        <v>80668</v>
      </c>
      <c r="L173" t="inlineStr">
        <is>
          <t>Invoiced this month</t>
        </is>
      </c>
      <c r="M173" s="5" t="inlineStr">
        <is>
          <t>Final invoice #17531 09/29/26 applied deposit - PM board (90031): In Production / In Production; job to floor 07/15/26; final invoice requested 09/29/26</t>
        </is>
      </c>
    </row>
    <row r="174" spans="1:13" ht="16.5" thickTop="1" thickBot="1" x14ac:dyDescent="0.3">
      <c r="A174" s="5" t="s">
        <v>333</v>
      </c>
      <c r="B174" s="6">
        <v>86704</v>
      </c>
      <c r="C174" s="7" t="s">
        <v>33</v>
      </c>
      <c r="D174" s="39">
        <v>46076</v>
      </c>
      <c r="E174" s="39" t="inlineStr">
        <is>
          <t>Pre-Production</t>
        </is>
      </c>
      <c r="F174" s="39" t="inlineStr">
        <is>
          <t>Pre-Production</t>
        </is>
      </c>
      <c r="G174" s="9">
        <v>90025</v>
      </c>
      <c r="H174" s="10">
        <f t="shared" si="14"/>
        <v>90024</v>
      </c>
      <c r="I174" s="11">
        <v>180049</v>
      </c>
      <c r="J174" s="11">
        <f>VLOOKUP(B174,'Aug 26'!B:G,6,FALSE)</f>
        <v>90025</v>
      </c>
      <c r="K174" s="11">
        <v>0</v>
      </c>
      <c r="L174" s="11">
        <f t="shared" si="16"/>
        <v>0</v>
      </c>
      <c r="M174" s="5" t="inlineStr">
        <is>
          <t>PM board (86704): Sent to Engineering / Sent to Engineering</t>
        </is>
      </c>
    </row>
    <row r="175" spans="1:13" ht="16.5" thickTop="1" thickBot="1" x14ac:dyDescent="0.3">
      <c r="A175" s="5" t="s">
        <v>715</v>
      </c>
      <c r="B175" s="6">
        <v>87035</v>
      </c>
      <c r="C175" s="7" t="s">
        <v>14</v>
      </c>
      <c r="D175" s="39">
        <v>46182</v>
      </c>
      <c r="E175" s="39" t="inlineStr">
        <is>
          <t>Pre-Production</t>
        </is>
      </c>
      <c r="F175" s="39" t="inlineStr">
        <is>
          <t>Pre-Production</t>
        </is>
      </c>
      <c r="G175" s="9">
        <v>48949</v>
      </c>
      <c r="H175" s="10">
        <f t="shared" si="14"/>
        <v>48948</v>
      </c>
      <c r="I175" s="11">
        <v>97897</v>
      </c>
      <c r="J175" s="11">
        <f>VLOOKUP(B175,'Aug 26'!B:G,6,FALSE)</f>
        <v>48949</v>
      </c>
      <c r="K175" s="11">
        <v>0</v>
      </c>
      <c r="L175" s="11">
        <f t="shared" si="16"/>
        <v>0</v>
      </c>
      <c r="M175" s="5" t="inlineStr">
        <is>
          <t>PM board (87035): Sent to Engineering / Sent to Engineering</t>
        </is>
      </c>
    </row>
    <row r="176" spans="1:13" ht="16.5" thickTop="1" thickBot="1" x14ac:dyDescent="0.3">
      <c r="A176" s="5" t="s">
        <v>783</v>
      </c>
      <c r="B176" s="6">
        <v>91683</v>
      </c>
      <c r="C176" s="7" t="s">
        <v>23</v>
      </c>
      <c r="D176" s="39">
        <v>46231</v>
      </c>
      <c r="E176" s="39">
        <v>46252</v>
      </c>
      <c r="F176" s="39" t="inlineStr">
        <is>
          <t>In Production</t>
        </is>
      </c>
      <c r="G176" s="9">
        <v>20825</v>
      </c>
      <c r="H176" s="10">
        <f t="shared" si="14"/>
        <v>20824.43</v>
      </c>
      <c r="I176" s="11">
        <v>41649.43</v>
      </c>
      <c r="J176" s="11">
        <f>VLOOKUP(B176,'Aug 26'!B:G,6,FALSE)</f>
        <v>20825</v>
      </c>
      <c r="K176" s="11">
        <v>0</v>
      </c>
      <c r="L176" s="11">
        <f t="shared" si="16"/>
        <v>0</v>
      </c>
      <c r="M176" s="5" t="inlineStr">
        <is>
          <t>PM board (91683): In Production / In Production; job to floor 08/18/26</t>
        </is>
      </c>
    </row>
    <row r="177" spans="1:13" ht="16.5" thickTop="1" thickBot="1" x14ac:dyDescent="0.3">
      <c r="A177" s="5" t="s">
        <v>835</v>
      </c>
      <c r="B177" s="6">
        <v>89465</v>
      </c>
      <c r="C177" s="7" t="s">
        <v>21</v>
      </c>
      <c r="D177" s="39">
        <v>46267</v>
      </c>
      <c r="E177" s="39" t="inlineStr">
        <is>
          <t>Pre-Production</t>
        </is>
      </c>
      <c r="F177" s="39" t="inlineStr">
        <is>
          <t>Pre-Production</t>
        </is>
      </c>
      <c r="G177" s="9">
        <v>31000</v>
      </c>
      <c r="H177" s="10">
        <f t="shared" si="14"/>
        <v>36767.789999999994</v>
      </c>
      <c r="I177" s="11">
        <v>67767.789999999994</v>
      </c>
      <c r="J177" s="11">
        <v>0</v>
      </c>
      <c r="K177" s="11">
        <v>0</v>
      </c>
      <c r="L177" s="11">
        <f t="shared" ref="L177:L181" si="17">G177-J177</f>
        <v>31000</v>
      </c>
      <c r="M177" s="5" t="inlineStr">
        <is>
          <t>PM board (89465): PM Review Documents / PM Review</t>
        </is>
      </c>
    </row>
    <row r="178" spans="1:13" ht="16.5" thickTop="1" thickBot="1" x14ac:dyDescent="0.3">
      <c r="A178" s="5" t="s">
        <v>836</v>
      </c>
      <c r="B178" s="6">
        <v>87189</v>
      </c>
      <c r="C178" s="7" t="s">
        <v>15</v>
      </c>
      <c r="D178" s="39">
        <v>46267</v>
      </c>
      <c r="E178" s="39" t="inlineStr">
        <is>
          <t>Pre-Production</t>
        </is>
      </c>
      <c r="F178" s="39" t="inlineStr">
        <is>
          <t>Pre-Production</t>
        </is>
      </c>
      <c r="G178" s="9">
        <v>221827.85</v>
      </c>
      <c r="H178" s="10">
        <f t="shared" si="14"/>
        <v>221827.85</v>
      </c>
      <c r="I178" s="11">
        <v>443655.7</v>
      </c>
      <c r="J178" s="11">
        <v>0</v>
      </c>
      <c r="K178" s="11">
        <v>0</v>
      </c>
      <c r="L178" s="11">
        <f t="shared" si="17"/>
        <v>221827.85</v>
      </c>
      <c r="M178" s="5" t="inlineStr">
        <is>
          <t>Not on PM board at 9/30 (engineering/JDM) - pre-production</t>
        </is>
      </c>
    </row>
    <row r="179" spans="1:13" ht="16.5" thickTop="1" thickBot="1" x14ac:dyDescent="0.3">
      <c r="A179" s="5" t="s">
        <v>837</v>
      </c>
      <c r="B179" s="6">
        <v>82453</v>
      </c>
      <c r="C179" s="7" t="s">
        <v>281</v>
      </c>
      <c r="D179" s="39">
        <v>46268</v>
      </c>
      <c r="E179" s="39">
        <v>46279</v>
      </c>
      <c r="F179" s="39" t="inlineStr">
        <is>
          <t>In Production</t>
        </is>
      </c>
      <c r="G179" s="9">
        <v>9644.07</v>
      </c>
      <c r="H179" s="10">
        <f t="shared" si="14"/>
        <v>9644.07</v>
      </c>
      <c r="I179" s="11">
        <v>19288.14</v>
      </c>
      <c r="J179" s="11">
        <v>0</v>
      </c>
      <c r="K179" s="11">
        <v>0</v>
      </c>
      <c r="L179" s="11">
        <f t="shared" si="17"/>
        <v>9644.07</v>
      </c>
      <c r="M179" s="5" t="inlineStr">
        <is>
          <t>PM board (82453): In Production / In Production; job to floor 09/14/26</t>
        </is>
      </c>
    </row>
    <row r="180" spans="1:13" ht="16.5" thickTop="1" thickBot="1" x14ac:dyDescent="0.3">
      <c r="A180" s="5" t="s">
        <v>838</v>
      </c>
      <c r="B180" s="6">
        <v>90886</v>
      </c>
      <c r="C180" s="7" t="s">
        <v>21</v>
      </c>
      <c r="D180" s="39">
        <v>46269</v>
      </c>
      <c r="E180" s="39" t="inlineStr">
        <is>
          <t>Pre-Production</t>
        </is>
      </c>
      <c r="F180" s="39" t="inlineStr">
        <is>
          <t>Pre-Production</t>
        </is>
      </c>
      <c r="G180" s="9">
        <v>3386</v>
      </c>
      <c r="H180" s="10">
        <f t="shared" si="14"/>
        <v>2493.8900000000003</v>
      </c>
      <c r="I180" s="11">
        <v>5879.89</v>
      </c>
      <c r="J180" s="11">
        <v>0</v>
      </c>
      <c r="K180" s="11">
        <v>0</v>
      </c>
      <c r="L180" s="11">
        <f t="shared" si="17"/>
        <v>3386</v>
      </c>
      <c r="M180" s="5" t="inlineStr">
        <is>
          <t>PM board (90886/2086): PM Review Documents / PM Review</t>
        </is>
      </c>
    </row>
    <row r="181" spans="1:13" ht="16.5" thickTop="1" thickBot="1" x14ac:dyDescent="0.3">
      <c r="A181" s="5" t="s">
        <v>839</v>
      </c>
      <c r="B181" s="6">
        <v>91787</v>
      </c>
      <c r="C181" s="7" t="s">
        <v>23</v>
      </c>
      <c r="D181" s="39">
        <v>46269</v>
      </c>
      <c r="E181" s="39" t="inlineStr">
        <is>
          <t>Pre-Production</t>
        </is>
      </c>
      <c r="F181" s="39" t="inlineStr">
        <is>
          <t>Pre-Production</t>
        </is>
      </c>
      <c r="G181" s="9">
        <v>29319.06</v>
      </c>
      <c r="H181" s="10">
        <f t="shared" si="14"/>
        <v>29319.06</v>
      </c>
      <c r="I181" s="11">
        <v>58638.12</v>
      </c>
      <c r="J181" s="11">
        <v>0</v>
      </c>
      <c r="K181" s="11">
        <v>0</v>
      </c>
      <c r="L181" s="11">
        <f t="shared" si="17"/>
        <v>29319.06</v>
      </c>
      <c r="M181" s="5" t="inlineStr">
        <is>
          <t>Not on PM board at 9/30 (engineering/JDM) - pre-production</t>
        </is>
      </c>
    </row>
    <row r="182" spans="1:13" ht="16.5" thickTop="1" thickBot="1" x14ac:dyDescent="0.3">
      <c r="A182" s="5" t="s">
        <v>840</v>
      </c>
      <c r="B182" s="6">
        <v>91556</v>
      </c>
      <c r="C182" s="7" t="s">
        <v>21</v>
      </c>
      <c r="D182" s="39">
        <v>46273</v>
      </c>
      <c r="E182" s="39" t="inlineStr">
        <is>
          <t>Pre-Production</t>
        </is>
      </c>
      <c r="F182" s="39" t="inlineStr">
        <is>
          <t>Pre-Production</t>
        </is>
      </c>
      <c r="G182" s="9">
        <v>18997.099999999999</v>
      </c>
      <c r="H182" s="10">
        <f t="shared" si="14"/>
        <v>18997.090000000004</v>
      </c>
      <c r="I182" s="11">
        <v>37994.19</v>
      </c>
      <c r="J182" s="11">
        <v>0</v>
      </c>
      <c r="K182" s="11">
        <v>0</v>
      </c>
      <c r="L182" s="11">
        <f t="shared" ref="L182:L187" si="18">G182-J182</f>
        <v>18997.099999999999</v>
      </c>
      <c r="M182" s="5" t="inlineStr">
        <is>
          <t>Not on PM board at 9/30 (engineering/JDM) - pre-production</t>
        </is>
      </c>
    </row>
    <row r="183" spans="1:13" ht="16.5" thickTop="1" thickBot="1" x14ac:dyDescent="0.3">
      <c r="A183" s="5" t="s">
        <v>841</v>
      </c>
      <c r="B183" s="6">
        <v>91176</v>
      </c>
      <c r="C183" s="7" t="s">
        <v>38</v>
      </c>
      <c r="D183" s="39">
        <v>46274</v>
      </c>
      <c r="E183" s="39" t="inlineStr">
        <is>
          <t>Pre-Production</t>
        </is>
      </c>
      <c r="F183" s="39" t="inlineStr">
        <is>
          <t>Pre-Production</t>
        </is>
      </c>
      <c r="G183" s="9">
        <v>17692.43</v>
      </c>
      <c r="H183" s="10">
        <f t="shared" si="14"/>
        <v>17692.43</v>
      </c>
      <c r="I183" s="11">
        <v>35384.86</v>
      </c>
      <c r="J183" s="11">
        <v>0</v>
      </c>
      <c r="K183" s="11">
        <v>0</v>
      </c>
      <c r="L183" s="11">
        <f t="shared" si="18"/>
        <v>17692.43</v>
      </c>
      <c r="M183" s="5" t="inlineStr">
        <is>
          <t>Not on PM board at 9/30 (engineering/JDM) - pre-production</t>
        </is>
      </c>
    </row>
    <row r="184" spans="1:13" ht="16.5" thickTop="1" thickBot="1" x14ac:dyDescent="0.3">
      <c r="A184" s="5" t="s">
        <v>842</v>
      </c>
      <c r="B184" s="6">
        <v>89724</v>
      </c>
      <c r="C184" s="7" t="s">
        <v>31</v>
      </c>
      <c r="D184" s="39">
        <v>46275</v>
      </c>
      <c r="E184" s="39" t="inlineStr">
        <is>
          <t>Pre-Production</t>
        </is>
      </c>
      <c r="F184" s="39" t="inlineStr">
        <is>
          <t>Pre-Production</t>
        </is>
      </c>
      <c r="G184" s="9">
        <v>52988.75</v>
      </c>
      <c r="H184" s="10">
        <f t="shared" si="14"/>
        <v>52988.75</v>
      </c>
      <c r="I184" s="11">
        <v>105977.5</v>
      </c>
      <c r="J184" s="11">
        <v>0</v>
      </c>
      <c r="K184" s="11">
        <v>0</v>
      </c>
      <c r="L184" s="11">
        <f t="shared" si="18"/>
        <v>52988.75</v>
      </c>
      <c r="M184" s="5" t="inlineStr">
        <is>
          <t>Not on PM board at 9/30 (engineering/JDM) - pre-production</t>
        </is>
      </c>
    </row>
    <row r="185" spans="1:13" ht="16.5" thickTop="1" thickBot="1" x14ac:dyDescent="0.3">
      <c r="A185" s="5" t="s">
        <v>843</v>
      </c>
      <c r="B185" s="6">
        <v>91748</v>
      </c>
      <c r="C185" s="7" t="s">
        <v>21</v>
      </c>
      <c r="D185" s="39">
        <v>46275</v>
      </c>
      <c r="E185" s="39" t="inlineStr">
        <is>
          <t>Pre-Production</t>
        </is>
      </c>
      <c r="F185" s="39" t="inlineStr">
        <is>
          <t>Pre-Production</t>
        </is>
      </c>
      <c r="G185" s="9">
        <v>65804.86</v>
      </c>
      <c r="H185" s="10">
        <f t="shared" si="14"/>
        <v>65804.840000000011</v>
      </c>
      <c r="I185" s="11">
        <v>131609.70000000001</v>
      </c>
      <c r="J185" s="11">
        <v>0</v>
      </c>
      <c r="K185" s="11">
        <v>0</v>
      </c>
      <c r="L185" s="11">
        <f t="shared" si="18"/>
        <v>65804.86</v>
      </c>
      <c r="M185" s="5" t="inlineStr">
        <is>
          <t>Not on PM board at 9/30 (engineering/JDM) - pre-production</t>
        </is>
      </c>
    </row>
    <row r="186" spans="1:13" ht="16.5" thickTop="1" thickBot="1" x14ac:dyDescent="0.3">
      <c r="A186" s="5" t="s">
        <v>844</v>
      </c>
      <c r="B186" s="6">
        <v>91739</v>
      </c>
      <c r="C186" s="7" t="s">
        <v>21</v>
      </c>
      <c r="D186" s="39">
        <v>46275</v>
      </c>
      <c r="E186" s="39" t="inlineStr">
        <is>
          <t>Pre-Production</t>
        </is>
      </c>
      <c r="F186" s="39" t="inlineStr">
        <is>
          <t>Pre-Production</t>
        </is>
      </c>
      <c r="G186" s="9">
        <v>5991.14</v>
      </c>
      <c r="H186" s="10">
        <f t="shared" si="14"/>
        <v>5994.8399999999992</v>
      </c>
      <c r="I186" s="11">
        <v>11985.98</v>
      </c>
      <c r="J186" s="11">
        <v>0</v>
      </c>
      <c r="K186" s="11">
        <v>0</v>
      </c>
      <c r="L186" s="11">
        <f t="shared" si="18"/>
        <v>5991.14</v>
      </c>
      <c r="M186" s="5" t="inlineStr">
        <is>
          <t>Not on PM board at 9/30 (engineering/JDM) - pre-production</t>
        </is>
      </c>
    </row>
    <row r="187" spans="1:13" ht="16.5" thickTop="1" thickBot="1" x14ac:dyDescent="0.3">
      <c r="A187" s="5" t="s">
        <v>845</v>
      </c>
      <c r="B187" s="6">
        <v>87948</v>
      </c>
      <c r="C187" s="7" t="s">
        <v>27</v>
      </c>
      <c r="D187" s="39">
        <v>46276</v>
      </c>
      <c r="E187" s="39" t="inlineStr">
        <is>
          <t>Pre-Production</t>
        </is>
      </c>
      <c r="F187" s="39" t="inlineStr">
        <is>
          <t>Pre-Production</t>
        </is>
      </c>
      <c r="G187" s="9">
        <v>66134.47</v>
      </c>
      <c r="H187" s="10">
        <f t="shared" si="14"/>
        <v>66134.47</v>
      </c>
      <c r="I187" s="11">
        <v>132268.94</v>
      </c>
      <c r="J187" s="11">
        <v>0</v>
      </c>
      <c r="K187" s="11">
        <v>0</v>
      </c>
      <c r="L187" s="11">
        <f t="shared" si="18"/>
        <v>66134.47</v>
      </c>
      <c r="M187" s="5" t="inlineStr">
        <is>
          <t>Not on PM board at 9/30 (engineering/JDM) - pre-production</t>
        </is>
      </c>
    </row>
    <row r="188" spans="1:13" ht="16.5" thickTop="1" thickBot="1" x14ac:dyDescent="0.3">
      <c r="A188" s="5" t="s">
        <v>847</v>
      </c>
      <c r="B188" s="6">
        <v>92404</v>
      </c>
      <c r="C188" s="7" t="s">
        <v>14</v>
      </c>
      <c r="D188" s="39">
        <v>46279</v>
      </c>
      <c r="E188" s="39" t="inlineStr">
        <is>
          <t>Pre-Production</t>
        </is>
      </c>
      <c r="F188" s="39" t="inlineStr">
        <is>
          <t>Pre-Production</t>
        </is>
      </c>
      <c r="G188" s="9">
        <v>16888.09</v>
      </c>
      <c r="H188" s="10">
        <f t="shared" si="14"/>
        <v>16888.09</v>
      </c>
      <c r="I188" s="11">
        <v>33776.18</v>
      </c>
      <c r="J188" s="11">
        <v>0</v>
      </c>
      <c r="K188" s="11">
        <v>0</v>
      </c>
      <c r="L188" s="11">
        <f t="shared" ref="L188:L194" si="19">G188-J188</f>
        <v>16888.09</v>
      </c>
      <c r="M188" s="5" t="inlineStr">
        <is>
          <t>Not on PM board at 9/30 (engineering/JDM) - pre-production</t>
        </is>
      </c>
    </row>
    <row r="189" spans="1:13" ht="16.5" thickTop="1" thickBot="1" x14ac:dyDescent="0.3">
      <c r="A189" s="5" t="s">
        <v>848</v>
      </c>
      <c r="B189" s="6">
        <v>92605</v>
      </c>
      <c r="C189" s="7" t="s">
        <v>21</v>
      </c>
      <c r="D189" s="39">
        <v>46280</v>
      </c>
      <c r="E189" s="39">
        <v>46288</v>
      </c>
      <c r="F189" s="39" t="inlineStr">
        <is>
          <t>In Production</t>
        </is>
      </c>
      <c r="G189" s="9">
        <v>4787.9399999999996</v>
      </c>
      <c r="H189" s="10">
        <f t="shared" si="14"/>
        <v>4787.9300000000012</v>
      </c>
      <c r="I189" s="11">
        <v>9575.8700000000008</v>
      </c>
      <c r="J189" s="11">
        <v>0</v>
      </c>
      <c r="K189" s="11">
        <v>0</v>
      </c>
      <c r="L189" s="11">
        <f t="shared" si="19"/>
        <v>4787.9399999999996</v>
      </c>
      <c r="M189" s="5" t="inlineStr">
        <is>
          <t>PM board (92605): In Production / In Production; job to floor 09/23/26</t>
        </is>
      </c>
    </row>
    <row r="190" spans="1:13" ht="16.5" thickTop="1" thickBot="1" x14ac:dyDescent="0.3">
      <c r="A190" s="5" t="s">
        <v>849</v>
      </c>
      <c r="B190" s="6">
        <v>92369</v>
      </c>
      <c r="C190" s="7" t="s">
        <v>610</v>
      </c>
      <c r="D190" s="39">
        <v>46282</v>
      </c>
      <c r="E190" s="39" t="inlineStr">
        <is>
          <t>Pre-Production</t>
        </is>
      </c>
      <c r="F190" s="39" t="inlineStr">
        <is>
          <t>Pre-Production</t>
        </is>
      </c>
      <c r="G190" s="9">
        <v>5610.71</v>
      </c>
      <c r="H190" s="10">
        <f t="shared" si="14"/>
        <v>5610.71</v>
      </c>
      <c r="I190" s="11">
        <v>11221.42</v>
      </c>
      <c r="J190" s="11">
        <v>0</v>
      </c>
      <c r="K190" s="11">
        <v>0</v>
      </c>
      <c r="L190" s="11">
        <f t="shared" si="19"/>
        <v>5610.71</v>
      </c>
      <c r="M190" s="5" t="inlineStr">
        <is>
          <t>Not on PM board at 9/30 (engineering/JDM) - pre-production</t>
        </is>
      </c>
    </row>
    <row r="191" spans="1:13" ht="16.5" thickTop="1" thickBot="1" x14ac:dyDescent="0.3">
      <c r="A191" s="5" t="s">
        <v>850</v>
      </c>
      <c r="B191" s="6">
        <v>92172</v>
      </c>
      <c r="C191" s="7" t="s">
        <v>23</v>
      </c>
      <c r="D191" s="39">
        <v>46282</v>
      </c>
      <c r="E191" s="39" t="inlineStr">
        <is>
          <t>Pre-Production</t>
        </is>
      </c>
      <c r="F191" s="39" t="inlineStr">
        <is>
          <t>Pre-Production</t>
        </is>
      </c>
      <c r="G191" s="9">
        <v>39815.96</v>
      </c>
      <c r="H191" s="10">
        <f t="shared" si="14"/>
        <v>39815.96</v>
      </c>
      <c r="I191" s="11">
        <v>79631.92</v>
      </c>
      <c r="J191" s="11">
        <v>0</v>
      </c>
      <c r="K191" s="11">
        <v>0</v>
      </c>
      <c r="L191" s="11">
        <f t="shared" si="19"/>
        <v>39815.96</v>
      </c>
      <c r="M191" s="5" t="inlineStr">
        <is>
          <t>Not on PM board at 9/30 (engineering/JDM) - pre-production</t>
        </is>
      </c>
    </row>
    <row r="192" spans="1:13" ht="16.5" thickTop="1" thickBot="1" x14ac:dyDescent="0.3">
      <c r="A192" s="5" t="s">
        <v>851</v>
      </c>
      <c r="B192" s="6">
        <v>92068</v>
      </c>
      <c r="C192" s="7" t="s">
        <v>32</v>
      </c>
      <c r="D192" s="39">
        <v>46283</v>
      </c>
      <c r="E192" s="39">
        <v>46294</v>
      </c>
      <c r="F192" s="39" t="inlineStr">
        <is>
          <t>In Production</t>
        </is>
      </c>
      <c r="G192" s="9">
        <v>7504.65</v>
      </c>
      <c r="H192" s="10">
        <f t="shared" si="14"/>
        <v>7504.65</v>
      </c>
      <c r="I192" s="11">
        <v>15009.3</v>
      </c>
      <c r="J192" s="11">
        <v>0</v>
      </c>
      <c r="K192" s="11">
        <v>0</v>
      </c>
      <c r="L192" s="11">
        <f t="shared" si="19"/>
        <v>7504.65</v>
      </c>
      <c r="M192" s="5" t="inlineStr">
        <is>
          <t>PM board (92068): In Production / In Production; job to floor 09/29/26</t>
        </is>
      </c>
    </row>
    <row r="193" spans="1:13" ht="16.5" thickTop="1" thickBot="1" x14ac:dyDescent="0.3">
      <c r="A193" s="5" t="s">
        <v>852</v>
      </c>
      <c r="B193" s="6">
        <v>91229</v>
      </c>
      <c r="C193" s="7" t="s">
        <v>14</v>
      </c>
      <c r="D193" s="39">
        <v>46283</v>
      </c>
      <c r="E193" s="39" t="inlineStr">
        <is>
          <t>Pre-Production</t>
        </is>
      </c>
      <c r="F193" s="39" t="inlineStr">
        <is>
          <t>Pre-Production</t>
        </is>
      </c>
      <c r="G193" s="9">
        <v>49156.800000000003</v>
      </c>
      <c r="H193" s="10">
        <f t="shared" si="14"/>
        <v>49156.800000000003</v>
      </c>
      <c r="I193" s="11">
        <v>98313.600000000006</v>
      </c>
      <c r="J193" s="11">
        <v>0</v>
      </c>
      <c r="K193" s="11">
        <v>0</v>
      </c>
      <c r="L193" s="11">
        <f t="shared" si="19"/>
        <v>49156.800000000003</v>
      </c>
      <c r="M193" s="5" t="inlineStr">
        <is>
          <t>Not on PM board at 9/30 (engineering/JDM) - pre-production</t>
        </is>
      </c>
    </row>
    <row r="194" spans="1:13" ht="16.5" thickTop="1" thickBot="1" x14ac:dyDescent="0.3">
      <c r="A194" s="5" t="s">
        <v>853</v>
      </c>
      <c r="B194" s="6">
        <v>95238</v>
      </c>
      <c r="C194" s="7" t="s">
        <v>21</v>
      </c>
      <c r="D194" s="39">
        <v>46283</v>
      </c>
      <c r="E194" s="39">
        <v>46293</v>
      </c>
      <c r="F194" s="39" t="inlineStr">
        <is>
          <t>In Production</t>
        </is>
      </c>
      <c r="G194" s="9">
        <v>15928.34</v>
      </c>
      <c r="H194" s="10">
        <f t="shared" si="14"/>
        <v>15928.34</v>
      </c>
      <c r="I194" s="11">
        <v>31856.68</v>
      </c>
      <c r="J194" s="11">
        <v>0</v>
      </c>
      <c r="K194" s="11">
        <v>0</v>
      </c>
      <c r="L194" s="11">
        <f t="shared" si="19"/>
        <v>15928.34</v>
      </c>
      <c r="M194" s="5" t="inlineStr">
        <is>
          <t>PM board (95238): In Production / In Production; job to floor 09/28/26</t>
        </is>
      </c>
    </row>
    <row r="195" spans="1:13" ht="16.5" thickTop="1" thickBot="1" x14ac:dyDescent="0.3">
      <c r="A195" s="5" t="s">
        <v>854</v>
      </c>
      <c r="B195" s="6">
        <v>92755</v>
      </c>
      <c r="C195" s="7" t="s">
        <v>23</v>
      </c>
      <c r="D195" s="39">
        <v>46286</v>
      </c>
      <c r="E195" s="39" t="inlineStr">
        <is>
          <t>Pre-Production</t>
        </is>
      </c>
      <c r="F195" s="39" t="inlineStr">
        <is>
          <t>Pre-Production</t>
        </is>
      </c>
      <c r="G195" s="9">
        <v>1832.09</v>
      </c>
      <c r="H195" s="10">
        <f t="shared" si="14"/>
        <v>1832.0800000000002</v>
      </c>
      <c r="I195" s="11">
        <v>3664.17</v>
      </c>
      <c r="J195" s="11">
        <v>0</v>
      </c>
      <c r="K195" s="11">
        <v>0</v>
      </c>
      <c r="L195" s="11">
        <f t="shared" ref="L195:L203" si="20">G195-J195</f>
        <v>1832.09</v>
      </c>
      <c r="M195" s="5" t="inlineStr">
        <is>
          <t>Not on PM board at 9/30 (engineering/JDM) - pre-production</t>
        </is>
      </c>
    </row>
    <row r="196" spans="1:13" ht="16.5" thickTop="1" thickBot="1" x14ac:dyDescent="0.3">
      <c r="A196" s="5" t="s">
        <v>855</v>
      </c>
      <c r="B196" s="6">
        <v>95229</v>
      </c>
      <c r="C196" s="7" t="s">
        <v>76</v>
      </c>
      <c r="D196" s="39">
        <v>46286</v>
      </c>
      <c r="E196" s="39" t="inlineStr">
        <is>
          <t>Pre-Production</t>
        </is>
      </c>
      <c r="F196" s="39" t="inlineStr">
        <is>
          <t>Pre-Production</t>
        </is>
      </c>
      <c r="G196" s="9">
        <v>12665.05</v>
      </c>
      <c r="H196" s="10">
        <f t="shared" si="14"/>
        <v>12665.05</v>
      </c>
      <c r="I196" s="11">
        <v>25330.1</v>
      </c>
      <c r="J196" s="11">
        <v>0</v>
      </c>
      <c r="K196" s="11">
        <v>0</v>
      </c>
      <c r="L196" s="11">
        <f t="shared" si="20"/>
        <v>12665.05</v>
      </c>
      <c r="M196" s="5" t="inlineStr">
        <is>
          <t>Not on PM board at 9/30 (engineering/JDM) - pre-production</t>
        </is>
      </c>
    </row>
    <row r="197" spans="1:13" ht="16.5" thickTop="1" thickBot="1" x14ac:dyDescent="0.3">
      <c r="A197" s="5" t="s">
        <v>856</v>
      </c>
      <c r="B197" s="6">
        <v>91699</v>
      </c>
      <c r="C197" s="7" t="s">
        <v>23</v>
      </c>
      <c r="D197" s="39">
        <v>46287</v>
      </c>
      <c r="E197" s="39" t="inlineStr">
        <is>
          <t>Pre-Production</t>
        </is>
      </c>
      <c r="F197" s="39" t="inlineStr">
        <is>
          <t>Pre-Production</t>
        </is>
      </c>
      <c r="G197" s="9">
        <v>68772.350000000006</v>
      </c>
      <c r="H197" s="10">
        <f t="shared" si="14"/>
        <v>68772.329999999987</v>
      </c>
      <c r="I197" s="11">
        <v>137544.68</v>
      </c>
      <c r="J197" s="11">
        <v>0</v>
      </c>
      <c r="K197" s="11">
        <v>0</v>
      </c>
      <c r="L197" s="11">
        <f t="shared" si="20"/>
        <v>68772.350000000006</v>
      </c>
      <c r="M197" s="5" t="inlineStr">
        <is>
          <t>Not on PM board at 9/30 (engineering/JDM) - pre-production</t>
        </is>
      </c>
    </row>
    <row r="198" spans="1:13" ht="16.5" thickTop="1" thickBot="1" x14ac:dyDescent="0.3">
      <c r="A198" s="5" t="s">
        <v>857</v>
      </c>
      <c r="B198" s="6">
        <v>90513</v>
      </c>
      <c r="C198" s="6" t="s">
        <v>59</v>
      </c>
      <c r="D198" s="39">
        <v>46287</v>
      </c>
      <c r="E198" s="39" t="inlineStr">
        <is>
          <t>Pre-Production</t>
        </is>
      </c>
      <c r="F198" s="39" t="inlineStr">
        <is>
          <t>Pre-Production</t>
        </is>
      </c>
      <c r="G198" s="9">
        <v>14835.63</v>
      </c>
      <c r="H198" s="10">
        <f t="shared" si="14"/>
        <v>14835.62</v>
      </c>
      <c r="I198" s="11">
        <v>29671.25</v>
      </c>
      <c r="J198" s="11">
        <v>0</v>
      </c>
      <c r="K198" s="11">
        <v>0</v>
      </c>
      <c r="L198" s="11">
        <f t="shared" si="20"/>
        <v>14835.63</v>
      </c>
      <c r="M198" s="5" t="inlineStr">
        <is>
          <t>Not on PM board at 9/30 (engineering/JDM) - pre-production</t>
        </is>
      </c>
    </row>
    <row r="199" spans="1:13" ht="16.5" thickTop="1" thickBot="1" x14ac:dyDescent="0.3">
      <c r="A199" s="5" t="s">
        <v>858</v>
      </c>
      <c r="B199" s="6">
        <v>92799</v>
      </c>
      <c r="C199" s="6" t="s">
        <v>59</v>
      </c>
      <c r="D199" s="39">
        <v>46287</v>
      </c>
      <c r="E199" s="39" t="inlineStr">
        <is>
          <t>Pre-Production</t>
        </is>
      </c>
      <c r="F199" s="39" t="inlineStr">
        <is>
          <t>Pre-Production</t>
        </is>
      </c>
      <c r="G199" s="9">
        <v>25255.759999999998</v>
      </c>
      <c r="H199" s="10">
        <f t="shared" si="14"/>
        <v>25255.750000000004</v>
      </c>
      <c r="I199" s="11">
        <v>50511.51</v>
      </c>
      <c r="J199" s="11">
        <v>0</v>
      </c>
      <c r="K199" s="11">
        <v>0</v>
      </c>
      <c r="L199" s="11">
        <f t="shared" si="20"/>
        <v>25255.759999999998</v>
      </c>
      <c r="M199" s="5" t="inlineStr">
        <is>
          <t>Not on PM board at 9/30 (engineering/JDM) - pre-production</t>
        </is>
      </c>
    </row>
    <row r="200" spans="1:13" ht="16.5" thickTop="1" thickBot="1" x14ac:dyDescent="0.3">
      <c r="A200" s="5" t="s">
        <v>859</v>
      </c>
      <c r="B200" s="6">
        <v>95062</v>
      </c>
      <c r="C200" s="7" t="s">
        <v>32</v>
      </c>
      <c r="D200" s="39">
        <v>46288</v>
      </c>
      <c r="E200" s="39" t="inlineStr">
        <is>
          <t>Pre-Production</t>
        </is>
      </c>
      <c r="F200" s="39" t="inlineStr">
        <is>
          <t>Pre-Production</t>
        </is>
      </c>
      <c r="G200" s="9">
        <v>13039.83</v>
      </c>
      <c r="H200" s="10">
        <f t="shared" si="14"/>
        <v>13039.83</v>
      </c>
      <c r="I200" s="11">
        <v>26079.66</v>
      </c>
      <c r="J200" s="11">
        <v>0</v>
      </c>
      <c r="K200" s="11">
        <v>0</v>
      </c>
      <c r="L200" s="11">
        <f t="shared" si="20"/>
        <v>13039.83</v>
      </c>
      <c r="M200" s="5" t="inlineStr">
        <is>
          <t>Not on PM board at 9/30 (engineering/JDM) - pre-production</t>
        </is>
      </c>
    </row>
    <row r="201" spans="1:13" ht="16.5" thickTop="1" thickBot="1" x14ac:dyDescent="0.3">
      <c r="A201" s="5" t="s">
        <v>860</v>
      </c>
      <c r="B201" s="6">
        <v>95208</v>
      </c>
      <c r="C201" s="7" t="s">
        <v>23</v>
      </c>
      <c r="D201" s="39">
        <v>46289</v>
      </c>
      <c r="E201" s="39" t="inlineStr">
        <is>
          <t>Pre-Production</t>
        </is>
      </c>
      <c r="F201" s="39" t="inlineStr">
        <is>
          <t>Pre-Production</t>
        </is>
      </c>
      <c r="G201" s="9">
        <v>14983.84</v>
      </c>
      <c r="H201" s="10">
        <f t="shared" si="14"/>
        <v>14983.84</v>
      </c>
      <c r="I201" s="11">
        <v>29967.68</v>
      </c>
      <c r="J201" s="11">
        <v>0</v>
      </c>
      <c r="K201" s="11">
        <v>0</v>
      </c>
      <c r="L201" s="11">
        <f t="shared" si="20"/>
        <v>14983.84</v>
      </c>
      <c r="M201" s="5" t="inlineStr">
        <is>
          <t>PM board (95208): Pending Deposit in Invoicing / Pending Deposit</t>
        </is>
      </c>
    </row>
    <row r="202" spans="1:13" ht="16.5" thickTop="1" thickBot="1" x14ac:dyDescent="0.3">
      <c r="A202" s="5" t="s">
        <v>861</v>
      </c>
      <c r="B202" s="6">
        <v>92463</v>
      </c>
      <c r="C202" s="7" t="s">
        <v>23</v>
      </c>
      <c r="D202" s="39">
        <v>46290</v>
      </c>
      <c r="E202" s="39" t="inlineStr">
        <is>
          <t>Pre-Production</t>
        </is>
      </c>
      <c r="F202" s="39" t="inlineStr">
        <is>
          <t>Pre-Production</t>
        </is>
      </c>
      <c r="G202" s="9">
        <v>68279.14</v>
      </c>
      <c r="H202" s="10">
        <f t="shared" si="14"/>
        <v>68279.12999999999</v>
      </c>
      <c r="I202" s="11">
        <v>136558.26999999999</v>
      </c>
      <c r="J202" s="11">
        <v>0</v>
      </c>
      <c r="K202" s="11">
        <v>0</v>
      </c>
      <c r="L202" s="11">
        <f t="shared" si="20"/>
        <v>68279.14</v>
      </c>
      <c r="M202" s="5" t="inlineStr">
        <is>
          <t>Not on PM board at 9/30 (engineering/JDM) - pre-production</t>
        </is>
      </c>
    </row>
    <row r="203" spans="1:13" ht="16.5" thickTop="1" thickBot="1" x14ac:dyDescent="0.3">
      <c r="A203" s="5" t="s">
        <v>862</v>
      </c>
      <c r="B203" s="6">
        <v>95111</v>
      </c>
      <c r="C203" s="7" t="s">
        <v>23</v>
      </c>
      <c r="D203" s="39">
        <v>46290</v>
      </c>
      <c r="E203" s="39" t="inlineStr">
        <is>
          <t>Pre-Production</t>
        </is>
      </c>
      <c r="F203" s="39" t="inlineStr">
        <is>
          <t>Pre-Production</t>
        </is>
      </c>
      <c r="G203" s="9">
        <f>100000+53638.59</f>
        <v>153638.59</v>
      </c>
      <c r="H203" s="10">
        <f>I203-G203</f>
        <v>179392.25</v>
      </c>
      <c r="I203" s="11">
        <v>333030.84000000003</v>
      </c>
      <c r="J203" s="11">
        <v>0</v>
      </c>
      <c r="K203" s="11">
        <v>0</v>
      </c>
      <c r="L203" s="11">
        <f>G203-J203</f>
        <v>153638.59</v>
      </c>
      <c r="M203" s="5" t="inlineStr">
        <is>
          <t>Deposits: inv #17517 09/25/26 $100,000.00 + inv #17527 09/28/26 $53,638.59; not yet on PM board - pre-production</t>
        </is>
      </c>
    </row>
    <row r="204" spans="1:13" ht="16.5" thickTop="1" thickBot="1" x14ac:dyDescent="0.3">
      <c r="A204" s="5" t="inlineStr">
        <is>
          <t>Sierra Pacific Windows-CO:Silence Residence</t>
        </is>
      </c>
      <c r="B204" s="6">
        <v>92285</v>
      </c>
      <c r="C204" s="7" t="inlineStr">
        <is>
          <t>CO-R</t>
        </is>
      </c>
      <c r="D204" s="39">
        <v>46294</v>
      </c>
      <c r="E204" s="39" t="inlineStr">
        <is>
          <t>Pre-Production</t>
        </is>
      </c>
      <c r="F204" s="39" t="inlineStr">
        <is>
          <t>Pre-Production</t>
        </is>
      </c>
      <c r="G204" s="9">
        <v>120579.13</v>
      </c>
      <c r="H204" s="10">
        <f>I204-G204</f>
        <v>120579.12</v>
      </c>
      <c r="I204" s="11">
        <v>241158.25</v>
      </c>
      <c r="J204" s="11">
        <v>0</v>
      </c>
      <c r="K204" s="11">
        <v>0</v>
      </c>
      <c r="L204" s="11">
        <f>G204-J204</f>
        <v>120579.13</v>
      </c>
      <c r="M204" s="5" t="inlineStr">
        <is>
          <t>New deposit inv #17528 09/29/26 (50/50, total $241,158.25 per monday Invoicing board); not yet on PM board - pre-production</t>
        </is>
      </c>
    </row>
    <row r="205" spans="1:12" ht="16.5" thickTop="1" thickBot="1" x14ac:dyDescent="0.3">
      <c r="A205" s="22" t="s">
        <v>833</v>
      </c>
      <c r="B205" s="23"/>
      <c r="C205" s="24" t="s">
        <v>115</v>
      </c>
      <c r="D205" s="25" t="s">
        <v>53</v>
      </c>
      <c r="E205" s="26"/>
      <c r="F205" s="92"/>
      <c r="G205" s="92">
        <f>SUM(G1:G204)</f>
        <v>7317889.62</v>
      </c>
      <c r="H205" s="94">
        <f t="shared" ref="H205:J205" si="21">SUM(H1:H204)</f>
        <v>7214803.6</v>
      </c>
      <c r="I205" s="28">
        <f t="shared" si="21"/>
        <v>14532693.22</v>
      </c>
      <c r="J205" s="28">
        <f t="shared" si="21"/>
        <v>7236434.11</v>
      </c>
      <c r="K205" s="28">
        <f>SUM(K1:K204)</f>
        <v>1100162.2</v>
      </c>
      <c r="L205" s="28">
        <f>SUM(L1:L204)</f>
        <v>1181617.71</v>
      </c>
    </row>
    <row r="206" spans="1:12" ht="15.75" thickTop="1" x14ac:dyDescent="0.25">
      <c r="J206" s="33">
        <f>J205-'Aug 26'!G222</f>
        <v>0</v>
      </c>
      <c r="L206" s="33"/>
    </row>
    <row r="207" spans="1:12" x14ac:dyDescent="0.25">
      <c r="L207" s="33"/>
    </row>
    <row r="208" spans="1:12" x14ac:dyDescent="0.25">
      <c r="A208" t="s">
        <v>63</v>
      </c>
      <c r="D208" s="30" t="s">
        <v>63</v>
      </c>
      <c r="F208" s="35" t="s">
        <v>9</v>
      </c>
      <c r="G208" s="36">
        <f>J205</f>
        <v>7236434.11</v>
      </c>
      <c r="J208" s="33"/>
    </row>
    <row r="209" spans="1:12" x14ac:dyDescent="0.25">
      <c r="F209" s="31" t="s">
        <v>492</v>
      </c>
      <c r="G209" s="32">
        <f>G205</f>
        <v>7317889.62</v>
      </c>
      <c r="L209" s="33"/>
    </row>
    <row r="210" spans="1:12" x14ac:dyDescent="0.25">
      <c r="F210" s="31" t="s">
        <v>10</v>
      </c>
      <c r="G210" s="32">
        <f>-K205</f>
        <v>-1100162.2</v>
      </c>
      <c r="L210" s="33"/>
    </row>
    <row r="211" spans="1:12" x14ac:dyDescent="0.25">
      <c r="F211" s="35" t="s">
        <v>846</v>
      </c>
      <c r="G211" s="36">
        <f>L205</f>
        <v>1181617.71</v>
      </c>
      <c r="H211" s="33"/>
      <c r="I211" s="38">
        <f>G205</f>
        <v>7317889.62</v>
      </c>
    </row>
    <row r="212" spans="1:13" x14ac:dyDescent="0.25">
      <c r="I212" s="38">
        <v>-7317858.43</v>
      </c>
      <c r="J212" t="s">
        <v>55</v>
      </c>
      <c r="K212" s="34" t="s">
        <v>85</v>
      </c>
    </row>
    <row r="213" spans="1:12" x14ac:dyDescent="0.25">
      <c r="F213" s="31" t="s">
        <v>56</v>
      </c>
      <c r="G213" s="32">
        <f>G208+G210+G211-G209</f>
        <v>0.0</v>
      </c>
      <c r="K213"/>
    </row>
    <row r="214" spans="1:13" s="34" customFormat="1" x14ac:dyDescent="0.25">
      <c r="A214"/>
      <c r="B214" s="29"/>
      <c r="C214"/>
      <c r="D214" s="30"/>
      <c r="E214"/>
      <c r="F214" s="31"/>
      <c r="G214" s="32"/>
      <c r="H214"/>
      <c r="I214" s="37">
        <f>I211+I212</f>
        <v>31.19</v>
      </c>
      <c r="J214" t="inlineStr">
        <is>
          <t>9/30/2026 End of day</t>
        </is>
      </c>
      <c r="L214"/>
    </row>
    <row r="216" spans="1:12" x14ac:dyDescent="0.25">
      <c r="F216" s="31" t="s">
        <v>63</v>
      </c>
    </row>
  </sheetData>
  <autoFilter ref="A1:M206" xr:uid="{EA880DEE-2FDA-42F8-AA49-FF9FB96C7B45}"/>
  <conditionalFormatting sqref="A18:A64">
    <cfRule type="duplicateValues" dxfId="5" priority="301"/>
  </conditionalFormatting>
  <conditionalFormatting sqref="A207:A215">
    <cfRule type="duplicateValues" dxfId="4" priority="4"/>
  </conditionalFormatting>
  <conditionalFormatting sqref="A216:A1048576 A1:A17 A65:A206">
    <cfRule type="duplicateValues" dxfId="3" priority="302"/>
  </conditionalFormatting>
  <conditionalFormatting sqref="B1:B1048576">
    <cfRule type="duplicateValues" dxfId="2" priority="3"/>
  </conditionalFormatting>
  <conditionalFormatting sqref="C198">
    <cfRule type="duplicateValues" dxfId="1" priority="2"/>
  </conditionalFormatting>
  <conditionalFormatting sqref="C199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6179-5A0D-4EA4-8E07-ADABB7C09DD5}">
  <dimension ref="A5:N58"/>
  <sheetViews>
    <sheetView topLeftCell="A13" workbookViewId="0">
      <selection activeCell="E18" sqref="E18"/>
    </sheetView>
  </sheetViews>
  <sheetFormatPr defaultColWidth="12.85546875" defaultRowHeight="15.75" x14ac:dyDescent="0.25"/>
  <cols>
    <col min="1" max="1" width="17.42578125" style="50" customWidth="1"/>
    <col min="2" max="2" width="12.85546875" style="51"/>
    <col min="3" max="3" width="14.5703125" style="51" bestFit="1" customWidth="1"/>
    <col min="4" max="4" width="16.42578125" style="50" customWidth="1"/>
    <col min="5" max="5" width="21.28515625" style="50" customWidth="1"/>
    <col min="6" max="6" width="60.5703125" style="50" customWidth="1"/>
    <col min="7" max="7" width="48.85546875" style="50" customWidth="1"/>
    <col min="8" max="8" width="22.28515625" style="50" customWidth="1"/>
    <col min="9" max="9" width="19.42578125" style="50" customWidth="1"/>
    <col min="10" max="11" width="18.42578125" style="50" customWidth="1"/>
    <col min="12" max="12" width="10.5703125" style="50" customWidth="1"/>
    <col min="13" max="13" width="13.140625" style="50" bestFit="1" customWidth="1"/>
    <col min="14" max="16384" width="12.85546875" style="51"/>
  </cols>
  <sheetData>
    <row r="5" spans="1:14" ht="24.75" x14ac:dyDescent="0.25">
      <c r="A5" s="52" t="s">
        <v>298</v>
      </c>
      <c r="B5" s="52" t="s">
        <v>383</v>
      </c>
      <c r="C5" s="52" t="s">
        <v>384</v>
      </c>
      <c r="D5" s="52" t="s">
        <v>299</v>
      </c>
      <c r="E5" s="52" t="s">
        <v>300</v>
      </c>
      <c r="F5" s="52" t="s">
        <v>301</v>
      </c>
      <c r="G5" s="52" t="s">
        <v>302</v>
      </c>
      <c r="H5" s="52" t="s">
        <v>303</v>
      </c>
      <c r="I5" s="52" t="s">
        <v>304</v>
      </c>
      <c r="J5" s="52" t="s">
        <v>307</v>
      </c>
      <c r="K5" s="52" t="s">
        <v>308</v>
      </c>
      <c r="L5" s="52" t="s">
        <v>305</v>
      </c>
      <c r="M5" s="52" t="s">
        <v>306</v>
      </c>
    </row>
    <row r="6" spans="1:14" x14ac:dyDescent="0.25">
      <c r="A6" s="66">
        <v>46082</v>
      </c>
      <c r="B6" s="63"/>
      <c r="C6" s="63"/>
      <c r="D6" s="63"/>
      <c r="E6" s="63"/>
      <c r="F6" s="63" t="s">
        <v>309</v>
      </c>
      <c r="G6" s="63"/>
      <c r="H6" s="63"/>
      <c r="I6" s="63"/>
      <c r="J6" s="63"/>
      <c r="K6" s="63"/>
      <c r="L6" s="63"/>
      <c r="M6" s="54">
        <v>5833678.9100000001</v>
      </c>
    </row>
    <row r="7" spans="1:14" ht="23.25" x14ac:dyDescent="0.25">
      <c r="A7" s="53" t="s">
        <v>385</v>
      </c>
      <c r="B7" s="53" t="s">
        <v>390</v>
      </c>
      <c r="C7" s="53" t="s">
        <v>391</v>
      </c>
      <c r="D7" s="53" t="s">
        <v>310</v>
      </c>
      <c r="E7" s="53" t="s">
        <v>389</v>
      </c>
      <c r="F7" s="53" t="s">
        <v>356</v>
      </c>
      <c r="G7" s="53" t="s">
        <v>311</v>
      </c>
      <c r="H7" s="53" t="s">
        <v>85</v>
      </c>
      <c r="I7" s="53" t="s">
        <v>312</v>
      </c>
      <c r="J7" s="54">
        <v>8432</v>
      </c>
      <c r="K7" s="53"/>
      <c r="L7" s="54">
        <v>8432</v>
      </c>
      <c r="M7" s="54">
        <f>M6+L7</f>
        <v>5842110.9100000001</v>
      </c>
      <c r="N7" s="65">
        <f>SUMIF('Mar 26'!A:A,'CD GL'!F7,'Mar 26'!L:L)-L7</f>
        <v>0</v>
      </c>
    </row>
    <row r="8" spans="1:14" x14ac:dyDescent="0.25">
      <c r="A8" s="53" t="s">
        <v>385</v>
      </c>
      <c r="B8" s="53" t="s">
        <v>387</v>
      </c>
      <c r="C8" s="53" t="s">
        <v>388</v>
      </c>
      <c r="D8" s="53" t="s">
        <v>310</v>
      </c>
      <c r="E8" s="53" t="s">
        <v>386</v>
      </c>
      <c r="F8" s="53" t="s">
        <v>355</v>
      </c>
      <c r="G8" s="53" t="s">
        <v>311</v>
      </c>
      <c r="H8" s="53" t="s">
        <v>85</v>
      </c>
      <c r="I8" s="53" t="s">
        <v>312</v>
      </c>
      <c r="J8" s="54">
        <v>29175</v>
      </c>
      <c r="K8" s="53"/>
      <c r="L8" s="54">
        <v>29175</v>
      </c>
      <c r="M8" s="54">
        <f t="shared" ref="M8:M57" si="0">M7+L8</f>
        <v>5871285.9100000001</v>
      </c>
      <c r="N8" s="65">
        <f>SUMIF('Mar 26'!A:A,'CD GL'!F8,'Mar 26'!L:L)-L8</f>
        <v>0</v>
      </c>
    </row>
    <row r="9" spans="1:14" ht="23.25" x14ac:dyDescent="0.25">
      <c r="A9" s="53" t="s">
        <v>385</v>
      </c>
      <c r="B9" s="53" t="s">
        <v>395</v>
      </c>
      <c r="C9" s="53" t="s">
        <v>391</v>
      </c>
      <c r="D9" s="53" t="s">
        <v>313</v>
      </c>
      <c r="E9" s="53" t="s">
        <v>394</v>
      </c>
      <c r="F9" s="69" t="s">
        <v>86</v>
      </c>
      <c r="G9" s="53" t="s">
        <v>311</v>
      </c>
      <c r="H9" s="53" t="s">
        <v>85</v>
      </c>
      <c r="I9" s="53" t="s">
        <v>312</v>
      </c>
      <c r="J9" s="54">
        <v>22778</v>
      </c>
      <c r="K9" s="53"/>
      <c r="L9" s="54">
        <v>22778</v>
      </c>
      <c r="M9" s="54">
        <f t="shared" si="0"/>
        <v>5894063.9100000001</v>
      </c>
      <c r="N9" s="65">
        <f>SUMIF('Mar 26'!A:A,'CD GL'!F9,'Mar 26'!L:L)-L9</f>
        <v>0</v>
      </c>
    </row>
    <row r="10" spans="1:14" ht="23.25" x14ac:dyDescent="0.25">
      <c r="A10" s="53" t="s">
        <v>385</v>
      </c>
      <c r="B10" s="53" t="s">
        <v>393</v>
      </c>
      <c r="C10" s="53" t="s">
        <v>391</v>
      </c>
      <c r="D10" s="53" t="s">
        <v>310</v>
      </c>
      <c r="E10" s="53" t="s">
        <v>392</v>
      </c>
      <c r="F10" s="53" t="s">
        <v>260</v>
      </c>
      <c r="G10" s="53" t="s">
        <v>311</v>
      </c>
      <c r="H10" s="53" t="s">
        <v>85</v>
      </c>
      <c r="I10" s="53" t="s">
        <v>312</v>
      </c>
      <c r="J10" s="53"/>
      <c r="K10" s="67">
        <v>4060</v>
      </c>
      <c r="L10" s="54">
        <v>-4060</v>
      </c>
      <c r="M10" s="54">
        <f t="shared" si="0"/>
        <v>5890003.9100000001</v>
      </c>
    </row>
    <row r="11" spans="1:14" ht="23.25" x14ac:dyDescent="0.25">
      <c r="A11" s="53" t="s">
        <v>396</v>
      </c>
      <c r="B11" s="53" t="s">
        <v>400</v>
      </c>
      <c r="C11" s="53" t="s">
        <v>391</v>
      </c>
      <c r="D11" s="53" t="s">
        <v>310</v>
      </c>
      <c r="E11" s="53" t="s">
        <v>399</v>
      </c>
      <c r="F11" s="53" t="s">
        <v>205</v>
      </c>
      <c r="G11" s="53" t="s">
        <v>311</v>
      </c>
      <c r="H11" s="53" t="s">
        <v>85</v>
      </c>
      <c r="I11" s="53" t="s">
        <v>312</v>
      </c>
      <c r="J11" s="53"/>
      <c r="K11" s="68">
        <v>7433</v>
      </c>
      <c r="L11" s="54">
        <v>-7433</v>
      </c>
      <c r="M11" s="54">
        <f t="shared" si="0"/>
        <v>5882570.9100000001</v>
      </c>
    </row>
    <row r="12" spans="1:14" ht="23.25" x14ac:dyDescent="0.25">
      <c r="A12" s="53" t="s">
        <v>396</v>
      </c>
      <c r="B12" s="53" t="s">
        <v>402</v>
      </c>
      <c r="C12" s="53" t="s">
        <v>391</v>
      </c>
      <c r="D12" s="53" t="s">
        <v>310</v>
      </c>
      <c r="E12" s="53" t="s">
        <v>401</v>
      </c>
      <c r="F12" s="53" t="s">
        <v>358</v>
      </c>
      <c r="G12" s="53" t="s">
        <v>311</v>
      </c>
      <c r="H12" s="53" t="s">
        <v>85</v>
      </c>
      <c r="I12" s="53" t="s">
        <v>312</v>
      </c>
      <c r="J12" s="54">
        <v>94654</v>
      </c>
      <c r="K12" s="53"/>
      <c r="L12" s="54">
        <v>94654</v>
      </c>
      <c r="M12" s="54">
        <f t="shared" si="0"/>
        <v>5977224.9100000001</v>
      </c>
      <c r="N12" s="65">
        <f>SUMIF('Mar 26'!A:A,'CD GL'!F12,'Mar 26'!L:L)-L12</f>
        <v>0</v>
      </c>
    </row>
    <row r="13" spans="1:14" ht="23.25" x14ac:dyDescent="0.25">
      <c r="A13" s="53" t="s">
        <v>396</v>
      </c>
      <c r="B13" s="53" t="s">
        <v>398</v>
      </c>
      <c r="C13" s="53" t="s">
        <v>391</v>
      </c>
      <c r="D13" s="53" t="s">
        <v>310</v>
      </c>
      <c r="E13" s="53" t="s">
        <v>397</v>
      </c>
      <c r="F13" s="53" t="s">
        <v>357</v>
      </c>
      <c r="G13" s="53" t="s">
        <v>311</v>
      </c>
      <c r="H13" s="53" t="s">
        <v>85</v>
      </c>
      <c r="I13" s="53" t="s">
        <v>312</v>
      </c>
      <c r="J13" s="54">
        <v>56425</v>
      </c>
      <c r="K13" s="53"/>
      <c r="L13" s="54">
        <v>56425</v>
      </c>
      <c r="M13" s="54">
        <f t="shared" si="0"/>
        <v>6033649.9100000001</v>
      </c>
      <c r="N13" s="65">
        <v>0</v>
      </c>
    </row>
    <row r="14" spans="1:14" ht="23.25" x14ac:dyDescent="0.25">
      <c r="A14" s="53" t="s">
        <v>396</v>
      </c>
      <c r="B14" s="53" t="s">
        <v>398</v>
      </c>
      <c r="C14" s="53" t="s">
        <v>391</v>
      </c>
      <c r="D14" s="53" t="s">
        <v>310</v>
      </c>
      <c r="E14" s="53" t="s">
        <v>397</v>
      </c>
      <c r="F14" s="53" t="s">
        <v>357</v>
      </c>
      <c r="G14" s="53" t="s">
        <v>311</v>
      </c>
      <c r="H14" s="53" t="s">
        <v>85</v>
      </c>
      <c r="I14" s="53" t="s">
        <v>312</v>
      </c>
      <c r="J14" s="53">
        <v>-564.25</v>
      </c>
      <c r="K14" s="54"/>
      <c r="L14" s="54">
        <v>-564.25</v>
      </c>
      <c r="M14" s="54">
        <f t="shared" si="0"/>
        <v>6033085.6600000001</v>
      </c>
      <c r="N14" s="65">
        <v>0</v>
      </c>
    </row>
    <row r="15" spans="1:14" ht="23.25" x14ac:dyDescent="0.25">
      <c r="A15" s="53" t="s">
        <v>396</v>
      </c>
      <c r="B15" s="53" t="s">
        <v>404</v>
      </c>
      <c r="C15" s="53" t="s">
        <v>391</v>
      </c>
      <c r="D15" s="53" t="s">
        <v>310</v>
      </c>
      <c r="E15" s="53" t="s">
        <v>403</v>
      </c>
      <c r="F15" s="53" t="s">
        <v>162</v>
      </c>
      <c r="G15" s="53" t="s">
        <v>311</v>
      </c>
      <c r="H15" s="53" t="s">
        <v>85</v>
      </c>
      <c r="I15" s="53" t="s">
        <v>312</v>
      </c>
      <c r="J15" s="53"/>
      <c r="K15" s="68">
        <v>56739.87</v>
      </c>
      <c r="L15" s="54">
        <v>-56739.87</v>
      </c>
      <c r="M15" s="54">
        <f t="shared" si="0"/>
        <v>5976345.79</v>
      </c>
    </row>
    <row r="16" spans="1:14" ht="23.25" x14ac:dyDescent="0.25">
      <c r="A16" s="53" t="s">
        <v>396</v>
      </c>
      <c r="B16" s="53" t="s">
        <v>404</v>
      </c>
      <c r="C16" s="53" t="s">
        <v>391</v>
      </c>
      <c r="D16" s="53" t="s">
        <v>310</v>
      </c>
      <c r="E16" s="53" t="s">
        <v>405</v>
      </c>
      <c r="F16" s="53" t="s">
        <v>263</v>
      </c>
      <c r="G16" s="53" t="s">
        <v>311</v>
      </c>
      <c r="H16" s="53" t="s">
        <v>85</v>
      </c>
      <c r="I16" s="53" t="s">
        <v>312</v>
      </c>
      <c r="J16" s="53"/>
      <c r="K16" s="68">
        <v>1058.31</v>
      </c>
      <c r="L16" s="54">
        <v>-1058.31</v>
      </c>
      <c r="M16" s="54">
        <f t="shared" si="0"/>
        <v>5975287.4800000004</v>
      </c>
    </row>
    <row r="17" spans="1:14" ht="23.25" x14ac:dyDescent="0.25">
      <c r="A17" s="53" t="s">
        <v>406</v>
      </c>
      <c r="B17" s="53" t="s">
        <v>408</v>
      </c>
      <c r="C17" s="53" t="s">
        <v>391</v>
      </c>
      <c r="D17" s="53" t="s">
        <v>310</v>
      </c>
      <c r="E17" s="53" t="s">
        <v>407</v>
      </c>
      <c r="F17" s="53" t="s">
        <v>359</v>
      </c>
      <c r="G17" s="53" t="s">
        <v>311</v>
      </c>
      <c r="H17" s="53" t="s">
        <v>85</v>
      </c>
      <c r="I17" s="53" t="s">
        <v>312</v>
      </c>
      <c r="J17" s="54">
        <v>11224</v>
      </c>
      <c r="K17" s="53"/>
      <c r="L17" s="54">
        <v>11224</v>
      </c>
      <c r="M17" s="54">
        <f t="shared" si="0"/>
        <v>5986511.4800000004</v>
      </c>
      <c r="N17" s="65">
        <f>SUMIF('Mar 26'!A:A,'CD GL'!F17,'Mar 26'!L:L)-L17</f>
        <v>0</v>
      </c>
    </row>
    <row r="18" spans="1:14" ht="23.25" x14ac:dyDescent="0.25">
      <c r="A18" s="53" t="s">
        <v>406</v>
      </c>
      <c r="B18" s="53" t="s">
        <v>410</v>
      </c>
      <c r="C18" s="53" t="s">
        <v>391</v>
      </c>
      <c r="D18" s="53" t="s">
        <v>310</v>
      </c>
      <c r="E18" s="53" t="s">
        <v>409</v>
      </c>
      <c r="F18" s="53" t="s">
        <v>360</v>
      </c>
      <c r="G18" s="53" t="s">
        <v>311</v>
      </c>
      <c r="H18" s="53" t="s">
        <v>85</v>
      </c>
      <c r="I18" s="53" t="s">
        <v>312</v>
      </c>
      <c r="J18" s="54">
        <v>20322</v>
      </c>
      <c r="K18" s="53"/>
      <c r="L18" s="54">
        <v>20322</v>
      </c>
      <c r="M18" s="54">
        <f t="shared" si="0"/>
        <v>6006833.4800000004</v>
      </c>
      <c r="N18" s="65">
        <f>SUMIF('Mar 26'!A:A,'CD GL'!F18,'Mar 26'!L:L)-L18</f>
        <v>0</v>
      </c>
    </row>
    <row r="19" spans="1:14" ht="23.25" x14ac:dyDescent="0.25">
      <c r="A19" s="53" t="s">
        <v>406</v>
      </c>
      <c r="B19" s="53" t="s">
        <v>412</v>
      </c>
      <c r="C19" s="53" t="s">
        <v>391</v>
      </c>
      <c r="D19" s="53" t="s">
        <v>310</v>
      </c>
      <c r="E19" s="53" t="s">
        <v>411</v>
      </c>
      <c r="F19" s="53" t="s">
        <v>361</v>
      </c>
      <c r="G19" s="53" t="s">
        <v>311</v>
      </c>
      <c r="H19" s="53" t="s">
        <v>85</v>
      </c>
      <c r="I19" s="53" t="s">
        <v>312</v>
      </c>
      <c r="J19" s="54">
        <v>11754</v>
      </c>
      <c r="K19" s="53"/>
      <c r="L19" s="54">
        <v>11754</v>
      </c>
      <c r="M19" s="54">
        <f t="shared" si="0"/>
        <v>6018587.4800000004</v>
      </c>
      <c r="N19" s="65">
        <f>SUMIF('Mar 26'!A:A,'CD GL'!F19,'Mar 26'!L:L)-L19</f>
        <v>0</v>
      </c>
    </row>
    <row r="20" spans="1:14" ht="23.25" x14ac:dyDescent="0.25">
      <c r="A20" s="53" t="s">
        <v>413</v>
      </c>
      <c r="B20" s="53" t="s">
        <v>415</v>
      </c>
      <c r="C20" s="53" t="s">
        <v>391</v>
      </c>
      <c r="D20" s="53" t="s">
        <v>310</v>
      </c>
      <c r="E20" s="53" t="s">
        <v>414</v>
      </c>
      <c r="F20" s="53" t="s">
        <v>362</v>
      </c>
      <c r="G20" s="53" t="s">
        <v>311</v>
      </c>
      <c r="H20" s="53" t="s">
        <v>85</v>
      </c>
      <c r="I20" s="53" t="s">
        <v>312</v>
      </c>
      <c r="J20" s="54">
        <v>11662</v>
      </c>
      <c r="K20" s="53"/>
      <c r="L20" s="54">
        <v>11662</v>
      </c>
      <c r="M20" s="54">
        <f t="shared" si="0"/>
        <v>6030249.4800000004</v>
      </c>
      <c r="N20" s="65">
        <f>SUMIF('Mar 26'!A:A,'CD GL'!F20,'Mar 26'!L:L)-L20</f>
        <v>0</v>
      </c>
    </row>
    <row r="21" spans="1:14" ht="23.25" x14ac:dyDescent="0.25">
      <c r="A21" s="53" t="s">
        <v>416</v>
      </c>
      <c r="B21" s="53" t="s">
        <v>421</v>
      </c>
      <c r="C21" s="53" t="s">
        <v>391</v>
      </c>
      <c r="D21" s="53" t="s">
        <v>310</v>
      </c>
      <c r="E21" s="53" t="s">
        <v>420</v>
      </c>
      <c r="F21" s="53" t="s">
        <v>364</v>
      </c>
      <c r="G21" s="53" t="s">
        <v>311</v>
      </c>
      <c r="H21" s="53" t="s">
        <v>85</v>
      </c>
      <c r="I21" s="53" t="s">
        <v>312</v>
      </c>
      <c r="J21" s="54">
        <v>16906.509999999998</v>
      </c>
      <c r="K21" s="53"/>
      <c r="L21" s="54">
        <v>16906.509999999998</v>
      </c>
      <c r="M21" s="54">
        <f t="shared" si="0"/>
        <v>6047155.9900000002</v>
      </c>
      <c r="N21" s="65">
        <f>SUMIF('Mar 26'!A:A,'CD GL'!F21,'Mar 26'!L:L)-L21</f>
        <v>0</v>
      </c>
    </row>
    <row r="22" spans="1:14" ht="23.25" x14ac:dyDescent="0.25">
      <c r="A22" s="53" t="s">
        <v>416</v>
      </c>
      <c r="B22" s="53" t="s">
        <v>428</v>
      </c>
      <c r="C22" s="53" t="s">
        <v>391</v>
      </c>
      <c r="D22" s="53" t="s">
        <v>310</v>
      </c>
      <c r="E22" s="53" t="s">
        <v>427</v>
      </c>
      <c r="F22" s="53" t="s">
        <v>367</v>
      </c>
      <c r="G22" s="53" t="s">
        <v>311</v>
      </c>
      <c r="H22" s="53" t="s">
        <v>85</v>
      </c>
      <c r="I22" s="53" t="s">
        <v>312</v>
      </c>
      <c r="J22" s="54">
        <v>9792</v>
      </c>
      <c r="K22" s="53"/>
      <c r="L22" s="54">
        <v>9792</v>
      </c>
      <c r="M22" s="54">
        <f t="shared" si="0"/>
        <v>6056947.9900000002</v>
      </c>
      <c r="N22" s="65">
        <f>SUMIF('Mar 26'!A:A,'CD GL'!F22,'Mar 26'!L:L)-L22</f>
        <v>0</v>
      </c>
    </row>
    <row r="23" spans="1:14" x14ac:dyDescent="0.25">
      <c r="A23" s="53" t="s">
        <v>416</v>
      </c>
      <c r="B23" s="53" t="s">
        <v>418</v>
      </c>
      <c r="C23" s="53" t="s">
        <v>419</v>
      </c>
      <c r="D23" s="53" t="s">
        <v>310</v>
      </c>
      <c r="E23" s="53" t="s">
        <v>417</v>
      </c>
      <c r="F23" s="53" t="s">
        <v>363</v>
      </c>
      <c r="G23" s="53" t="s">
        <v>311</v>
      </c>
      <c r="H23" s="53" t="s">
        <v>85</v>
      </c>
      <c r="I23" s="53" t="s">
        <v>312</v>
      </c>
      <c r="J23" s="54">
        <v>25461</v>
      </c>
      <c r="K23" s="53"/>
      <c r="L23" s="54">
        <v>25461</v>
      </c>
      <c r="M23" s="54">
        <f t="shared" si="0"/>
        <v>6082408.9900000002</v>
      </c>
      <c r="N23" s="65">
        <f>SUMIF('Mar 26'!A:A,'CD GL'!F23,'Mar 26'!L:L)-L23</f>
        <v>0</v>
      </c>
    </row>
    <row r="24" spans="1:14" x14ac:dyDescent="0.25">
      <c r="A24" s="53" t="s">
        <v>416</v>
      </c>
      <c r="B24" s="53" t="s">
        <v>423</v>
      </c>
      <c r="C24" s="53" t="s">
        <v>388</v>
      </c>
      <c r="D24" s="53" t="s">
        <v>310</v>
      </c>
      <c r="E24" s="53" t="s">
        <v>422</v>
      </c>
      <c r="F24" s="53" t="s">
        <v>199</v>
      </c>
      <c r="G24" s="53" t="s">
        <v>311</v>
      </c>
      <c r="H24" s="53" t="s">
        <v>85</v>
      </c>
      <c r="I24" s="53" t="s">
        <v>312</v>
      </c>
      <c r="J24" s="53"/>
      <c r="K24" s="68">
        <v>7852</v>
      </c>
      <c r="L24" s="54">
        <v>-7852</v>
      </c>
      <c r="M24" s="54">
        <f t="shared" si="0"/>
        <v>6074556.9900000002</v>
      </c>
    </row>
    <row r="25" spans="1:14" ht="23.25" x14ac:dyDescent="0.25">
      <c r="A25" s="53" t="s">
        <v>416</v>
      </c>
      <c r="B25" s="53" t="s">
        <v>398</v>
      </c>
      <c r="C25" s="53" t="s">
        <v>391</v>
      </c>
      <c r="D25" s="53" t="s">
        <v>310</v>
      </c>
      <c r="E25" s="53" t="s">
        <v>424</v>
      </c>
      <c r="F25" s="53" t="s">
        <v>365</v>
      </c>
      <c r="G25" s="53" t="s">
        <v>311</v>
      </c>
      <c r="H25" s="53" t="s">
        <v>85</v>
      </c>
      <c r="I25" s="53" t="s">
        <v>312</v>
      </c>
      <c r="J25" s="54">
        <v>940</v>
      </c>
      <c r="K25" s="53"/>
      <c r="L25" s="54">
        <v>940</v>
      </c>
      <c r="M25" s="54">
        <f t="shared" si="0"/>
        <v>6075496.9900000002</v>
      </c>
      <c r="N25" s="65">
        <v>0</v>
      </c>
    </row>
    <row r="26" spans="1:14" ht="23.25" x14ac:dyDescent="0.25">
      <c r="A26" s="53" t="s">
        <v>416</v>
      </c>
      <c r="B26" s="53" t="s">
        <v>398</v>
      </c>
      <c r="C26" s="53" t="s">
        <v>391</v>
      </c>
      <c r="D26" s="53" t="s">
        <v>310</v>
      </c>
      <c r="E26" s="53" t="s">
        <v>424</v>
      </c>
      <c r="F26" s="53" t="s">
        <v>365</v>
      </c>
      <c r="G26" s="53" t="s">
        <v>311</v>
      </c>
      <c r="H26" s="53" t="s">
        <v>85</v>
      </c>
      <c r="I26" s="53" t="s">
        <v>312</v>
      </c>
      <c r="J26" s="53">
        <v>-9.4</v>
      </c>
      <c r="K26" s="54"/>
      <c r="L26" s="54">
        <v>-9.4</v>
      </c>
      <c r="M26" s="54">
        <f t="shared" si="0"/>
        <v>6075487.5899999999</v>
      </c>
      <c r="N26" s="65">
        <v>0</v>
      </c>
    </row>
    <row r="27" spans="1:14" ht="23.25" x14ac:dyDescent="0.25">
      <c r="A27" s="53" t="s">
        <v>416</v>
      </c>
      <c r="B27" s="53" t="s">
        <v>426</v>
      </c>
      <c r="C27" s="53" t="s">
        <v>391</v>
      </c>
      <c r="D27" s="53" t="s">
        <v>310</v>
      </c>
      <c r="E27" s="53" t="s">
        <v>425</v>
      </c>
      <c r="F27" s="53" t="s">
        <v>366</v>
      </c>
      <c r="G27" s="53" t="s">
        <v>311</v>
      </c>
      <c r="H27" s="53" t="s">
        <v>85</v>
      </c>
      <c r="I27" s="53" t="s">
        <v>312</v>
      </c>
      <c r="J27" s="54">
        <v>7878</v>
      </c>
      <c r="K27" s="53"/>
      <c r="L27" s="54">
        <v>7878</v>
      </c>
      <c r="M27" s="54">
        <f t="shared" si="0"/>
        <v>6083365.5899999999</v>
      </c>
      <c r="N27" s="65">
        <v>0</v>
      </c>
    </row>
    <row r="28" spans="1:14" ht="23.25" x14ac:dyDescent="0.25">
      <c r="A28" s="53" t="s">
        <v>416</v>
      </c>
      <c r="B28" s="53" t="s">
        <v>426</v>
      </c>
      <c r="C28" s="53" t="s">
        <v>391</v>
      </c>
      <c r="D28" s="53" t="s">
        <v>310</v>
      </c>
      <c r="E28" s="53" t="s">
        <v>425</v>
      </c>
      <c r="F28" s="53" t="s">
        <v>366</v>
      </c>
      <c r="G28" s="53" t="s">
        <v>311</v>
      </c>
      <c r="H28" s="53" t="s">
        <v>85</v>
      </c>
      <c r="I28" s="53" t="s">
        <v>312</v>
      </c>
      <c r="J28" s="53">
        <v>-78.78</v>
      </c>
      <c r="K28" s="54"/>
      <c r="L28" s="54">
        <v>-78.78</v>
      </c>
      <c r="M28" s="54">
        <f t="shared" si="0"/>
        <v>6083286.8099999996</v>
      </c>
      <c r="N28" s="65">
        <v>0</v>
      </c>
    </row>
    <row r="29" spans="1:14" x14ac:dyDescent="0.25">
      <c r="A29" s="53" t="s">
        <v>429</v>
      </c>
      <c r="B29" s="53" t="s">
        <v>433</v>
      </c>
      <c r="C29" s="53" t="s">
        <v>434</v>
      </c>
      <c r="D29" s="53" t="s">
        <v>310</v>
      </c>
      <c r="E29" s="53" t="s">
        <v>432</v>
      </c>
      <c r="F29" s="53" t="s">
        <v>371</v>
      </c>
      <c r="G29" s="53" t="s">
        <v>311</v>
      </c>
      <c r="H29" s="53" t="s">
        <v>85</v>
      </c>
      <c r="I29" s="53" t="s">
        <v>312</v>
      </c>
      <c r="J29" s="54">
        <v>51110.14</v>
      </c>
      <c r="K29" s="53"/>
      <c r="L29" s="54">
        <v>51110.14</v>
      </c>
      <c r="M29" s="54">
        <f t="shared" si="0"/>
        <v>6134396.9499999993</v>
      </c>
      <c r="N29" s="65">
        <f>SUMIF('Mar 26'!A:A,'CD GL'!F29,'Mar 26'!L:L)-L29</f>
        <v>0</v>
      </c>
    </row>
    <row r="30" spans="1:14" ht="23.25" x14ac:dyDescent="0.25">
      <c r="A30" s="53" t="s">
        <v>429</v>
      </c>
      <c r="B30" s="53" t="s">
        <v>431</v>
      </c>
      <c r="C30" s="53" t="s">
        <v>391</v>
      </c>
      <c r="D30" s="53" t="s">
        <v>310</v>
      </c>
      <c r="E30" s="53" t="s">
        <v>430</v>
      </c>
      <c r="F30" s="53" t="s">
        <v>369</v>
      </c>
      <c r="G30" s="53" t="s">
        <v>311</v>
      </c>
      <c r="H30" s="53" t="s">
        <v>85</v>
      </c>
      <c r="I30" s="53" t="s">
        <v>312</v>
      </c>
      <c r="J30" s="54">
        <v>4247</v>
      </c>
      <c r="K30" s="53"/>
      <c r="L30" s="54">
        <v>4247</v>
      </c>
      <c r="M30" s="54">
        <f t="shared" si="0"/>
        <v>6138643.9499999993</v>
      </c>
      <c r="N30" s="65">
        <f>SUMIF('Mar 26'!A:A,'CD GL'!F30,'Mar 26'!L:L)-L30</f>
        <v>0</v>
      </c>
    </row>
    <row r="31" spans="1:14" ht="23.25" x14ac:dyDescent="0.25">
      <c r="A31" s="53" t="s">
        <v>429</v>
      </c>
      <c r="B31" s="53" t="s">
        <v>438</v>
      </c>
      <c r="C31" s="53" t="s">
        <v>391</v>
      </c>
      <c r="D31" s="53" t="s">
        <v>310</v>
      </c>
      <c r="E31" s="53" t="s">
        <v>437</v>
      </c>
      <c r="F31" s="53" t="s">
        <v>372</v>
      </c>
      <c r="G31" s="53" t="s">
        <v>311</v>
      </c>
      <c r="H31" s="53" t="s">
        <v>85</v>
      </c>
      <c r="I31" s="53" t="s">
        <v>312</v>
      </c>
      <c r="J31" s="54">
        <v>8935.32</v>
      </c>
      <c r="K31" s="53"/>
      <c r="L31" s="54">
        <v>8935.32</v>
      </c>
      <c r="M31" s="54">
        <f t="shared" si="0"/>
        <v>6147579.2699999996</v>
      </c>
      <c r="N31" s="65">
        <f>SUMIF('Mar 26'!A:A,'CD GL'!F31,'Mar 26'!L:L)-L31</f>
        <v>0</v>
      </c>
    </row>
    <row r="32" spans="1:14" ht="23.25" x14ac:dyDescent="0.25">
      <c r="A32" s="53" t="s">
        <v>429</v>
      </c>
      <c r="B32" s="53" t="s">
        <v>436</v>
      </c>
      <c r="C32" s="53" t="s">
        <v>391</v>
      </c>
      <c r="D32" s="53" t="s">
        <v>310</v>
      </c>
      <c r="E32" s="53" t="s">
        <v>435</v>
      </c>
      <c r="F32" s="53" t="s">
        <v>207</v>
      </c>
      <c r="G32" s="53" t="s">
        <v>311</v>
      </c>
      <c r="H32" s="53" t="s">
        <v>85</v>
      </c>
      <c r="I32" s="53" t="s">
        <v>312</v>
      </c>
      <c r="J32" s="53"/>
      <c r="K32" s="68">
        <v>9886</v>
      </c>
      <c r="L32" s="54">
        <v>-9886</v>
      </c>
      <c r="M32" s="54">
        <f t="shared" si="0"/>
        <v>6137693.2699999996</v>
      </c>
    </row>
    <row r="33" spans="1:14" ht="23.25" x14ac:dyDescent="0.25">
      <c r="A33" s="53" t="s">
        <v>439</v>
      </c>
      <c r="B33" s="53" t="s">
        <v>449</v>
      </c>
      <c r="C33" s="53" t="s">
        <v>391</v>
      </c>
      <c r="D33" s="53" t="s">
        <v>310</v>
      </c>
      <c r="E33" s="53" t="s">
        <v>448</v>
      </c>
      <c r="F33" s="53" t="s">
        <v>375</v>
      </c>
      <c r="G33" s="53" t="s">
        <v>311</v>
      </c>
      <c r="H33" s="53" t="s">
        <v>85</v>
      </c>
      <c r="I33" s="53" t="s">
        <v>312</v>
      </c>
      <c r="J33" s="54">
        <v>160000</v>
      </c>
      <c r="K33" s="53"/>
      <c r="L33" s="54">
        <v>160000</v>
      </c>
      <c r="M33" s="54">
        <f t="shared" si="0"/>
        <v>6297693.2699999996</v>
      </c>
      <c r="N33" s="65">
        <f>SUMIF('Mar 26'!A:A,'CD GL'!F33,'Mar 26'!L:L)-L33</f>
        <v>0</v>
      </c>
    </row>
    <row r="34" spans="1:14" x14ac:dyDescent="0.25">
      <c r="A34" s="53" t="s">
        <v>439</v>
      </c>
      <c r="B34" s="53" t="s">
        <v>441</v>
      </c>
      <c r="C34" s="53" t="s">
        <v>442</v>
      </c>
      <c r="D34" s="53" t="s">
        <v>310</v>
      </c>
      <c r="E34" s="53" t="s">
        <v>440</v>
      </c>
      <c r="F34" s="53" t="s">
        <v>373</v>
      </c>
      <c r="G34" s="53" t="s">
        <v>311</v>
      </c>
      <c r="H34" s="53" t="s">
        <v>85</v>
      </c>
      <c r="I34" s="53" t="s">
        <v>312</v>
      </c>
      <c r="J34" s="54">
        <v>4742</v>
      </c>
      <c r="K34" s="53"/>
      <c r="L34" s="54">
        <v>4742</v>
      </c>
      <c r="M34" s="54">
        <f t="shared" si="0"/>
        <v>6302435.2699999996</v>
      </c>
      <c r="N34" s="65">
        <f>SUMIF('Mar 26'!A:A,'CD GL'!F34,'Mar 26'!L:L)-L34</f>
        <v>0</v>
      </c>
    </row>
    <row r="35" spans="1:14" x14ac:dyDescent="0.25">
      <c r="A35" s="53" t="s">
        <v>439</v>
      </c>
      <c r="B35" s="53" t="s">
        <v>445</v>
      </c>
      <c r="C35" s="53" t="s">
        <v>388</v>
      </c>
      <c r="D35" s="53" t="s">
        <v>310</v>
      </c>
      <c r="E35" s="53" t="s">
        <v>443</v>
      </c>
      <c r="F35" s="53" t="s">
        <v>41</v>
      </c>
      <c r="G35" s="53" t="s">
        <v>444</v>
      </c>
      <c r="H35" s="53" t="s">
        <v>85</v>
      </c>
      <c r="I35" s="53" t="s">
        <v>312</v>
      </c>
      <c r="J35" s="54">
        <v>43711</v>
      </c>
      <c r="K35" s="53"/>
      <c r="L35" s="54">
        <v>43711</v>
      </c>
      <c r="M35" s="54">
        <f t="shared" si="0"/>
        <v>6346146.2699999996</v>
      </c>
      <c r="N35" s="65">
        <f>SUMIF('Mar 26'!A:A,'CD GL'!F35,'Mar 26'!L:L)-L35</f>
        <v>0</v>
      </c>
    </row>
    <row r="36" spans="1:14" ht="23.25" x14ac:dyDescent="0.25">
      <c r="A36" s="53" t="s">
        <v>439</v>
      </c>
      <c r="B36" s="53" t="s">
        <v>447</v>
      </c>
      <c r="C36" s="53" t="s">
        <v>391</v>
      </c>
      <c r="D36" s="53" t="s">
        <v>310</v>
      </c>
      <c r="E36" s="53" t="s">
        <v>446</v>
      </c>
      <c r="F36" s="53" t="s">
        <v>374</v>
      </c>
      <c r="G36" s="53" t="s">
        <v>311</v>
      </c>
      <c r="H36" s="53" t="s">
        <v>85</v>
      </c>
      <c r="I36" s="53" t="s">
        <v>312</v>
      </c>
      <c r="J36" s="54">
        <v>4653</v>
      </c>
      <c r="K36" s="53"/>
      <c r="L36" s="54">
        <v>4653</v>
      </c>
      <c r="M36" s="54">
        <f t="shared" si="0"/>
        <v>6350799.2699999996</v>
      </c>
      <c r="N36" s="65">
        <f>SUMIF('Mar 26'!A:A,'CD GL'!F36,'Mar 26'!L:L)-L36</f>
        <v>0</v>
      </c>
    </row>
    <row r="37" spans="1:14" x14ac:dyDescent="0.25">
      <c r="A37" s="53" t="s">
        <v>450</v>
      </c>
      <c r="B37" s="53" t="s">
        <v>458</v>
      </c>
      <c r="C37" s="53" t="s">
        <v>388</v>
      </c>
      <c r="D37" s="53" t="s">
        <v>310</v>
      </c>
      <c r="E37" s="53" t="s">
        <v>457</v>
      </c>
      <c r="F37" s="53" t="s">
        <v>61</v>
      </c>
      <c r="G37" s="53" t="s">
        <v>311</v>
      </c>
      <c r="H37" s="53" t="s">
        <v>85</v>
      </c>
      <c r="I37" s="53" t="s">
        <v>312</v>
      </c>
      <c r="J37" s="53"/>
      <c r="K37" s="68">
        <v>91129</v>
      </c>
      <c r="L37" s="54">
        <v>-91129</v>
      </c>
      <c r="M37" s="54">
        <f t="shared" si="0"/>
        <v>6259670.2699999996</v>
      </c>
    </row>
    <row r="38" spans="1:14" x14ac:dyDescent="0.25">
      <c r="A38" s="53" t="s">
        <v>450</v>
      </c>
      <c r="B38" s="53" t="s">
        <v>458</v>
      </c>
      <c r="C38" s="53" t="s">
        <v>388</v>
      </c>
      <c r="D38" s="53" t="s">
        <v>310</v>
      </c>
      <c r="E38" s="53" t="s">
        <v>457</v>
      </c>
      <c r="F38" s="53" t="s">
        <v>61</v>
      </c>
      <c r="G38" s="53" t="s">
        <v>311</v>
      </c>
      <c r="H38" s="53" t="s">
        <v>85</v>
      </c>
      <c r="I38" s="53" t="s">
        <v>312</v>
      </c>
      <c r="J38" s="53"/>
      <c r="K38" s="68">
        <v>251494.5</v>
      </c>
      <c r="L38" s="54">
        <v>-251494.5</v>
      </c>
      <c r="M38" s="54">
        <f t="shared" si="0"/>
        <v>6008175.7699999996</v>
      </c>
    </row>
    <row r="39" spans="1:14" ht="23.25" x14ac:dyDescent="0.25">
      <c r="A39" s="53" t="s">
        <v>450</v>
      </c>
      <c r="B39" s="53" t="s">
        <v>462</v>
      </c>
      <c r="C39" s="53" t="s">
        <v>391</v>
      </c>
      <c r="D39" s="53" t="s">
        <v>310</v>
      </c>
      <c r="E39" s="53" t="s">
        <v>461</v>
      </c>
      <c r="F39" s="53" t="s">
        <v>378</v>
      </c>
      <c r="G39" s="53" t="s">
        <v>311</v>
      </c>
      <c r="H39" s="53" t="s">
        <v>85</v>
      </c>
      <c r="I39" s="53" t="s">
        <v>312</v>
      </c>
      <c r="J39" s="54">
        <v>17769</v>
      </c>
      <c r="K39" s="53"/>
      <c r="L39" s="54">
        <v>17769</v>
      </c>
      <c r="M39" s="54">
        <f t="shared" si="0"/>
        <v>6025944.7699999996</v>
      </c>
      <c r="N39" s="65">
        <f>SUMIF('Mar 26'!A:A,'CD GL'!F39,'Mar 26'!L:L)-L39</f>
        <v>0</v>
      </c>
    </row>
    <row r="40" spans="1:14" x14ac:dyDescent="0.25">
      <c r="A40" s="53" t="s">
        <v>450</v>
      </c>
      <c r="B40" s="53" t="s">
        <v>452</v>
      </c>
      <c r="C40" s="53" t="s">
        <v>434</v>
      </c>
      <c r="D40" s="53" t="s">
        <v>310</v>
      </c>
      <c r="E40" s="53" t="s">
        <v>453</v>
      </c>
      <c r="F40" s="53" t="s">
        <v>382</v>
      </c>
      <c r="G40" s="53" t="s">
        <v>311</v>
      </c>
      <c r="H40" s="53" t="s">
        <v>85</v>
      </c>
      <c r="I40" s="53" t="s">
        <v>312</v>
      </c>
      <c r="J40" s="54">
        <v>129865.08</v>
      </c>
      <c r="K40" s="53"/>
      <c r="L40" s="54">
        <v>129865.08</v>
      </c>
      <c r="M40" s="54">
        <f t="shared" si="0"/>
        <v>6155809.8499999996</v>
      </c>
      <c r="N40" s="65">
        <f>SUMIF('Mar 26'!A:A,'CD GL'!F40,'Mar 26'!L:L)-L40</f>
        <v>0</v>
      </c>
    </row>
    <row r="41" spans="1:14" x14ac:dyDescent="0.25">
      <c r="A41" s="53" t="s">
        <v>450</v>
      </c>
      <c r="B41" s="53" t="s">
        <v>452</v>
      </c>
      <c r="C41" s="53" t="s">
        <v>434</v>
      </c>
      <c r="D41" s="53" t="s">
        <v>310</v>
      </c>
      <c r="E41" s="53" t="s">
        <v>451</v>
      </c>
      <c r="F41" s="53" t="s">
        <v>101</v>
      </c>
      <c r="G41" s="53" t="s">
        <v>311</v>
      </c>
      <c r="H41" s="53" t="s">
        <v>85</v>
      </c>
      <c r="I41" s="53" t="s">
        <v>312</v>
      </c>
      <c r="J41" s="54">
        <v>57487</v>
      </c>
      <c r="K41" s="53"/>
      <c r="L41" s="54">
        <v>57487</v>
      </c>
      <c r="M41" s="54">
        <f t="shared" si="0"/>
        <v>6213296.8499999996</v>
      </c>
      <c r="N41" s="65">
        <f>SUMIF('Mar 26'!A:A,'CD GL'!F41,'Mar 26'!L:L)-L41</f>
        <v>0</v>
      </c>
    </row>
    <row r="42" spans="1:14" x14ac:dyDescent="0.25">
      <c r="A42" s="53" t="s">
        <v>450</v>
      </c>
      <c r="B42" s="53" t="s">
        <v>460</v>
      </c>
      <c r="C42" s="53" t="s">
        <v>388</v>
      </c>
      <c r="D42" s="53" t="s">
        <v>310</v>
      </c>
      <c r="E42" s="53" t="s">
        <v>459</v>
      </c>
      <c r="F42" s="53" t="s">
        <v>377</v>
      </c>
      <c r="G42" s="53" t="s">
        <v>311</v>
      </c>
      <c r="H42" s="53" t="s">
        <v>85</v>
      </c>
      <c r="I42" s="53" t="s">
        <v>312</v>
      </c>
      <c r="J42" s="54">
        <v>44798</v>
      </c>
      <c r="K42" s="53"/>
      <c r="L42" s="54">
        <v>44798</v>
      </c>
      <c r="M42" s="54">
        <f t="shared" si="0"/>
        <v>6258094.8499999996</v>
      </c>
      <c r="N42" s="65">
        <f>SUMIF('Mar 26'!A:A,'CD GL'!F42,'Mar 26'!L:L)-L42</f>
        <v>0</v>
      </c>
    </row>
    <row r="43" spans="1:14" ht="23.25" x14ac:dyDescent="0.25">
      <c r="A43" s="53" t="s">
        <v>450</v>
      </c>
      <c r="B43" s="53" t="s">
        <v>456</v>
      </c>
      <c r="C43" s="53" t="s">
        <v>391</v>
      </c>
      <c r="D43" s="53" t="s">
        <v>310</v>
      </c>
      <c r="E43" s="53" t="s">
        <v>454</v>
      </c>
      <c r="F43" s="53" t="s">
        <v>455</v>
      </c>
      <c r="G43" s="53" t="s">
        <v>311</v>
      </c>
      <c r="H43" s="53" t="s">
        <v>85</v>
      </c>
      <c r="I43" s="53" t="s">
        <v>312</v>
      </c>
      <c r="J43" s="54">
        <v>10418</v>
      </c>
      <c r="K43" s="53"/>
      <c r="L43" s="54">
        <v>10418</v>
      </c>
      <c r="M43" s="54">
        <f t="shared" si="0"/>
        <v>6268512.8499999996</v>
      </c>
      <c r="N43" s="65">
        <v>0</v>
      </c>
    </row>
    <row r="44" spans="1:14" ht="23.25" x14ac:dyDescent="0.25">
      <c r="A44" s="53" t="s">
        <v>450</v>
      </c>
      <c r="B44" s="53" t="s">
        <v>464</v>
      </c>
      <c r="C44" s="53" t="s">
        <v>391</v>
      </c>
      <c r="D44" s="53" t="s">
        <v>310</v>
      </c>
      <c r="E44" s="53" t="s">
        <v>463</v>
      </c>
      <c r="F44" s="53" t="s">
        <v>379</v>
      </c>
      <c r="G44" s="53" t="s">
        <v>311</v>
      </c>
      <c r="H44" s="53" t="s">
        <v>85</v>
      </c>
      <c r="I44" s="53" t="s">
        <v>312</v>
      </c>
      <c r="J44" s="54">
        <v>29243</v>
      </c>
      <c r="K44" s="53"/>
      <c r="L44" s="54">
        <v>29243</v>
      </c>
      <c r="M44" s="54">
        <f t="shared" si="0"/>
        <v>6297755.8499999996</v>
      </c>
      <c r="N44" s="65">
        <f>SUMIF('Mar 26'!A:A,'CD GL'!F44,'Mar 26'!L:L)-L44</f>
        <v>0</v>
      </c>
    </row>
    <row r="45" spans="1:14" x14ac:dyDescent="0.25">
      <c r="A45" s="53" t="s">
        <v>465</v>
      </c>
      <c r="B45" s="53" t="s">
        <v>467</v>
      </c>
      <c r="C45" s="53" t="s">
        <v>388</v>
      </c>
      <c r="D45" s="53" t="s">
        <v>310</v>
      </c>
      <c r="E45" s="53" t="s">
        <v>466</v>
      </c>
      <c r="F45" s="53" t="s">
        <v>79</v>
      </c>
      <c r="G45" s="53" t="s">
        <v>311</v>
      </c>
      <c r="H45" s="53" t="s">
        <v>85</v>
      </c>
      <c r="I45" s="53" t="s">
        <v>312</v>
      </c>
      <c r="J45" s="53"/>
      <c r="K45" s="68">
        <v>40842</v>
      </c>
      <c r="L45" s="54">
        <v>-40842</v>
      </c>
      <c r="M45" s="54">
        <f t="shared" si="0"/>
        <v>6256913.8499999996</v>
      </c>
    </row>
    <row r="46" spans="1:14" x14ac:dyDescent="0.25">
      <c r="A46" s="53" t="s">
        <v>465</v>
      </c>
      <c r="B46" s="53" t="s">
        <v>467</v>
      </c>
      <c r="C46" s="53" t="s">
        <v>388</v>
      </c>
      <c r="D46" s="53" t="s">
        <v>310</v>
      </c>
      <c r="E46" s="53" t="s">
        <v>466</v>
      </c>
      <c r="F46" s="53" t="s">
        <v>79</v>
      </c>
      <c r="G46" s="53" t="s">
        <v>311</v>
      </c>
      <c r="H46" s="53" t="s">
        <v>85</v>
      </c>
      <c r="I46" s="53" t="s">
        <v>312</v>
      </c>
      <c r="J46" s="53"/>
      <c r="K46" s="68">
        <v>34385</v>
      </c>
      <c r="L46" s="54">
        <v>-34385</v>
      </c>
      <c r="M46" s="54">
        <f t="shared" si="0"/>
        <v>6222528.8499999996</v>
      </c>
    </row>
    <row r="47" spans="1:14" x14ac:dyDescent="0.25">
      <c r="A47" s="53" t="s">
        <v>465</v>
      </c>
      <c r="B47" s="53" t="s">
        <v>476</v>
      </c>
      <c r="C47" s="53" t="s">
        <v>388</v>
      </c>
      <c r="D47" s="53" t="s">
        <v>310</v>
      </c>
      <c r="E47" s="53" t="s">
        <v>475</v>
      </c>
      <c r="F47" s="53" t="s">
        <v>234</v>
      </c>
      <c r="G47" s="53" t="s">
        <v>311</v>
      </c>
      <c r="H47" s="53" t="s">
        <v>85</v>
      </c>
      <c r="I47" s="53" t="s">
        <v>312</v>
      </c>
      <c r="J47" s="53"/>
      <c r="K47" s="68">
        <v>11785</v>
      </c>
      <c r="L47" s="54">
        <v>-11785</v>
      </c>
      <c r="M47" s="54">
        <f t="shared" si="0"/>
        <v>6210743.8499999996</v>
      </c>
    </row>
    <row r="48" spans="1:14" ht="23.25" x14ac:dyDescent="0.25">
      <c r="A48" s="53" t="s">
        <v>465</v>
      </c>
      <c r="B48" s="53" t="s">
        <v>472</v>
      </c>
      <c r="C48" s="53" t="s">
        <v>391</v>
      </c>
      <c r="D48" s="53" t="s">
        <v>310</v>
      </c>
      <c r="E48" s="53" t="s">
        <v>470</v>
      </c>
      <c r="F48" s="53" t="s">
        <v>471</v>
      </c>
      <c r="G48" s="53" t="s">
        <v>311</v>
      </c>
      <c r="H48" s="53" t="s">
        <v>85</v>
      </c>
      <c r="I48" s="53" t="s">
        <v>312</v>
      </c>
      <c r="J48" s="54">
        <v>15425</v>
      </c>
      <c r="K48" s="53"/>
      <c r="L48" s="54">
        <v>15425</v>
      </c>
      <c r="M48" s="54">
        <f t="shared" si="0"/>
        <v>6226168.8499999996</v>
      </c>
      <c r="N48" s="65">
        <v>0</v>
      </c>
    </row>
    <row r="49" spans="1:14" ht="23.25" x14ac:dyDescent="0.25">
      <c r="A49" s="53" t="s">
        <v>465</v>
      </c>
      <c r="B49" s="53" t="s">
        <v>398</v>
      </c>
      <c r="C49" s="53" t="s">
        <v>391</v>
      </c>
      <c r="D49" s="53" t="s">
        <v>310</v>
      </c>
      <c r="E49" s="53" t="s">
        <v>468</v>
      </c>
      <c r="F49" s="53" t="s">
        <v>469</v>
      </c>
      <c r="G49" s="53" t="s">
        <v>311</v>
      </c>
      <c r="H49" s="53" t="s">
        <v>85</v>
      </c>
      <c r="I49" s="53" t="s">
        <v>312</v>
      </c>
      <c r="J49" s="54">
        <v>1207</v>
      </c>
      <c r="K49" s="53"/>
      <c r="L49" s="54">
        <v>1207</v>
      </c>
      <c r="M49" s="54">
        <f t="shared" si="0"/>
        <v>6227375.8499999996</v>
      </c>
      <c r="N49" s="65">
        <v>0</v>
      </c>
    </row>
    <row r="50" spans="1:14" ht="23.25" x14ac:dyDescent="0.25">
      <c r="A50" s="53" t="s">
        <v>465</v>
      </c>
      <c r="B50" s="53" t="s">
        <v>456</v>
      </c>
      <c r="C50" s="53" t="s">
        <v>391</v>
      </c>
      <c r="D50" s="53" t="s">
        <v>310</v>
      </c>
      <c r="E50" s="53" t="s">
        <v>473</v>
      </c>
      <c r="F50" s="53" t="s">
        <v>474</v>
      </c>
      <c r="G50" s="53" t="s">
        <v>311</v>
      </c>
      <c r="H50" s="53" t="s">
        <v>85</v>
      </c>
      <c r="I50" s="53" t="s">
        <v>312</v>
      </c>
      <c r="J50" s="54">
        <v>6258.05</v>
      </c>
      <c r="K50" s="53"/>
      <c r="L50" s="54">
        <v>6258.05</v>
      </c>
      <c r="M50" s="54">
        <f t="shared" si="0"/>
        <v>6233633.8999999994</v>
      </c>
      <c r="N50" s="65">
        <v>0</v>
      </c>
    </row>
    <row r="51" spans="1:14" ht="23.25" x14ac:dyDescent="0.25">
      <c r="A51" s="53" t="s">
        <v>477</v>
      </c>
      <c r="B51" s="53" t="s">
        <v>480</v>
      </c>
      <c r="C51" s="53" t="s">
        <v>481</v>
      </c>
      <c r="D51" s="53" t="s">
        <v>310</v>
      </c>
      <c r="E51" s="53" t="s">
        <v>479</v>
      </c>
      <c r="F51" s="53" t="s">
        <v>88</v>
      </c>
      <c r="G51" s="53" t="s">
        <v>311</v>
      </c>
      <c r="H51" s="53" t="s">
        <v>85</v>
      </c>
      <c r="I51" s="53" t="s">
        <v>312</v>
      </c>
      <c r="J51" s="53"/>
      <c r="K51" s="68">
        <v>11673</v>
      </c>
      <c r="L51" s="54">
        <v>-11673</v>
      </c>
      <c r="M51" s="54">
        <f t="shared" si="0"/>
        <v>6221960.8999999994</v>
      </c>
    </row>
    <row r="52" spans="1:14" ht="23.25" x14ac:dyDescent="0.25">
      <c r="A52" s="53" t="s">
        <v>477</v>
      </c>
      <c r="B52" s="53" t="s">
        <v>489</v>
      </c>
      <c r="C52" s="53" t="s">
        <v>391</v>
      </c>
      <c r="D52" s="53" t="s">
        <v>310</v>
      </c>
      <c r="E52" s="53" t="s">
        <v>488</v>
      </c>
      <c r="F52" s="53" t="s">
        <v>380</v>
      </c>
      <c r="G52" s="53" t="s">
        <v>311</v>
      </c>
      <c r="H52" s="53" t="s">
        <v>85</v>
      </c>
      <c r="I52" s="53" t="s">
        <v>312</v>
      </c>
      <c r="J52" s="54">
        <v>29728</v>
      </c>
      <c r="K52" s="53"/>
      <c r="L52" s="54">
        <v>29728</v>
      </c>
      <c r="M52" s="54">
        <f t="shared" si="0"/>
        <v>6251688.8999999994</v>
      </c>
      <c r="N52" s="65">
        <f>SUMIF('Mar 26'!A:A,'CD GL'!F52,'Mar 26'!L:L)-L52</f>
        <v>0</v>
      </c>
    </row>
    <row r="53" spans="1:14" ht="23.25" x14ac:dyDescent="0.25">
      <c r="A53" s="53" t="s">
        <v>477</v>
      </c>
      <c r="B53" s="53" t="s">
        <v>390</v>
      </c>
      <c r="C53" s="53" t="s">
        <v>391</v>
      </c>
      <c r="D53" s="53" t="s">
        <v>310</v>
      </c>
      <c r="E53" s="53" t="s">
        <v>478</v>
      </c>
      <c r="F53" s="53" t="s">
        <v>214</v>
      </c>
      <c r="G53" s="53" t="s">
        <v>311</v>
      </c>
      <c r="H53" s="53" t="s">
        <v>85</v>
      </c>
      <c r="I53" s="53" t="s">
        <v>312</v>
      </c>
      <c r="J53" s="53"/>
      <c r="K53" s="68">
        <v>8674</v>
      </c>
      <c r="L53" s="54">
        <v>-8674</v>
      </c>
      <c r="M53" s="54">
        <f t="shared" si="0"/>
        <v>6243014.8999999994</v>
      </c>
    </row>
    <row r="54" spans="1:14" ht="23.25" x14ac:dyDescent="0.25">
      <c r="A54" s="53" t="s">
        <v>477</v>
      </c>
      <c r="B54" s="53" t="s">
        <v>484</v>
      </c>
      <c r="C54" s="53" t="s">
        <v>391</v>
      </c>
      <c r="D54" s="53" t="s">
        <v>310</v>
      </c>
      <c r="E54" s="53" t="s">
        <v>483</v>
      </c>
      <c r="F54" s="53" t="s">
        <v>183</v>
      </c>
      <c r="G54" s="53" t="s">
        <v>311</v>
      </c>
      <c r="H54" s="53" t="s">
        <v>85</v>
      </c>
      <c r="I54" s="53" t="s">
        <v>312</v>
      </c>
      <c r="J54" s="53"/>
      <c r="K54" s="68">
        <v>9467</v>
      </c>
      <c r="L54" s="54">
        <v>-9467</v>
      </c>
      <c r="M54" s="54">
        <f t="shared" si="0"/>
        <v>6233547.8999999994</v>
      </c>
    </row>
    <row r="55" spans="1:14" ht="23.25" x14ac:dyDescent="0.25">
      <c r="A55" s="53" t="s">
        <v>477</v>
      </c>
      <c r="B55" s="53" t="s">
        <v>491</v>
      </c>
      <c r="C55" s="53" t="s">
        <v>391</v>
      </c>
      <c r="D55" s="53" t="s">
        <v>310</v>
      </c>
      <c r="E55" s="53" t="s">
        <v>490</v>
      </c>
      <c r="F55" s="53" t="s">
        <v>381</v>
      </c>
      <c r="G55" s="53" t="s">
        <v>311</v>
      </c>
      <c r="H55" s="53" t="s">
        <v>85</v>
      </c>
      <c r="I55" s="53" t="s">
        <v>312</v>
      </c>
      <c r="J55" s="54">
        <v>3125</v>
      </c>
      <c r="K55" s="53"/>
      <c r="L55" s="54">
        <v>3125</v>
      </c>
      <c r="M55" s="54">
        <f t="shared" si="0"/>
        <v>6236672.8999999994</v>
      </c>
      <c r="N55" s="65">
        <f>SUMIF('Mar 26'!A:A,'CD GL'!F55,'Mar 26'!L:L)-L55</f>
        <v>0</v>
      </c>
    </row>
    <row r="56" spans="1:14" ht="23.25" x14ac:dyDescent="0.25">
      <c r="A56" s="53" t="s">
        <v>477</v>
      </c>
      <c r="B56" s="53" t="s">
        <v>404</v>
      </c>
      <c r="C56" s="53" t="s">
        <v>391</v>
      </c>
      <c r="D56" s="53" t="s">
        <v>310</v>
      </c>
      <c r="E56" s="53" t="s">
        <v>482</v>
      </c>
      <c r="F56" s="53" t="s">
        <v>225</v>
      </c>
      <c r="G56" s="53" t="s">
        <v>311</v>
      </c>
      <c r="H56" s="53" t="s">
        <v>85</v>
      </c>
      <c r="I56" s="53" t="s">
        <v>312</v>
      </c>
      <c r="K56" s="68">
        <v>8423</v>
      </c>
      <c r="L56" s="54">
        <v>-8423</v>
      </c>
      <c r="M56" s="54">
        <f t="shared" si="0"/>
        <v>6228249.8999999994</v>
      </c>
    </row>
    <row r="57" spans="1:14" x14ac:dyDescent="0.25">
      <c r="A57" s="53" t="s">
        <v>477</v>
      </c>
      <c r="B57" s="53" t="s">
        <v>486</v>
      </c>
      <c r="C57" s="53" t="s">
        <v>487</v>
      </c>
      <c r="D57" s="53" t="s">
        <v>310</v>
      </c>
      <c r="E57" s="53" t="s">
        <v>485</v>
      </c>
      <c r="F57" s="53" t="s">
        <v>139</v>
      </c>
      <c r="G57" s="53" t="s">
        <v>311</v>
      </c>
      <c r="H57" s="53" t="s">
        <v>85</v>
      </c>
      <c r="I57" s="53" t="s">
        <v>312</v>
      </c>
      <c r="J57" s="53"/>
      <c r="K57" s="68">
        <v>10217</v>
      </c>
      <c r="L57" s="54">
        <v>-10217</v>
      </c>
      <c r="M57" s="54">
        <f t="shared" si="0"/>
        <v>6218032.8999999994</v>
      </c>
    </row>
    <row r="58" spans="1:14" x14ac:dyDescent="0.25">
      <c r="A58" s="63"/>
      <c r="B58" s="63"/>
      <c r="C58" s="63"/>
      <c r="D58" s="63"/>
      <c r="E58" s="63"/>
      <c r="F58" s="63"/>
      <c r="G58" s="63"/>
      <c r="H58" s="63"/>
      <c r="I58" s="63"/>
      <c r="J58" s="64">
        <f>SUM(J6:J57)</f>
        <v>949472.67</v>
      </c>
      <c r="K58" s="64">
        <f>SUM(K6:K57)</f>
        <v>565118.67999999993</v>
      </c>
      <c r="L58" s="64">
        <f>SUM(L6:L57)</f>
        <v>384353.99000000005</v>
      </c>
      <c r="M58" s="63"/>
    </row>
  </sheetData>
  <autoFilter ref="A5:O58" xr:uid="{A4BB6179-5A0D-4EA4-8E07-ADABB7C09DD5}">
    <sortState xmlns:xlrd2="http://schemas.microsoft.com/office/spreadsheetml/2017/richdata2" ref="A6:O58">
      <sortCondition ref="A5"/>
    </sortState>
  </autoFilter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A5B1-C5A9-436A-ACD6-0BD8E9018F9A}">
  <dimension ref="A1:Q92"/>
  <sheetViews>
    <sheetView workbookViewId="0">
      <selection activeCell="L32" sqref="L32"/>
    </sheetView>
  </sheetViews>
  <sheetFormatPr defaultRowHeight="15" x14ac:dyDescent="0.25"/>
  <cols>
    <col min="15" max="15" width="91.42578125" bestFit="1" customWidth="1"/>
    <col min="16" max="16" width="14.85546875" style="38" bestFit="1" customWidth="1"/>
    <col min="17" max="17" width="12.28515625" bestFit="1" customWidth="1"/>
  </cols>
  <sheetData>
    <row r="1" spans="1:17" x14ac:dyDescent="0.25">
      <c r="A1" s="71" t="s">
        <v>298</v>
      </c>
      <c r="B1" s="71" t="s">
        <v>299</v>
      </c>
      <c r="C1" s="71" t="s">
        <v>300</v>
      </c>
      <c r="D1" s="71" t="s">
        <v>301</v>
      </c>
      <c r="E1" s="71" t="s">
        <v>302</v>
      </c>
      <c r="F1" s="71" t="s">
        <v>303</v>
      </c>
      <c r="G1" s="71" t="s">
        <v>304</v>
      </c>
      <c r="H1" s="71" t="s">
        <v>305</v>
      </c>
      <c r="I1" s="71" t="s">
        <v>306</v>
      </c>
    </row>
    <row r="2" spans="1:17" x14ac:dyDescent="0.25">
      <c r="A2" s="72" t="s">
        <v>309</v>
      </c>
      <c r="I2" s="73">
        <v>5833678.9100000001</v>
      </c>
      <c r="O2" s="75" t="s">
        <v>565</v>
      </c>
      <c r="P2" s="38" t="s">
        <v>567</v>
      </c>
    </row>
    <row r="3" spans="1:17" x14ac:dyDescent="0.25">
      <c r="A3" s="74">
        <v>46083</v>
      </c>
      <c r="B3" s="72" t="s">
        <v>310</v>
      </c>
      <c r="C3" s="72" t="s">
        <v>386</v>
      </c>
      <c r="D3" s="72" t="s">
        <v>355</v>
      </c>
      <c r="E3" s="72" t="s">
        <v>311</v>
      </c>
      <c r="F3" s="72" t="s">
        <v>85</v>
      </c>
      <c r="G3" s="72" t="s">
        <v>312</v>
      </c>
      <c r="H3" s="73">
        <v>29175</v>
      </c>
      <c r="I3" s="73">
        <v>5862853.9100000001</v>
      </c>
      <c r="O3" s="76" t="s">
        <v>371</v>
      </c>
      <c r="P3" s="38">
        <v>51110.14</v>
      </c>
      <c r="Q3" s="38"/>
    </row>
    <row r="4" spans="1:17" x14ac:dyDescent="0.25">
      <c r="A4" s="72" t="s">
        <v>385</v>
      </c>
      <c r="B4" s="72" t="s">
        <v>310</v>
      </c>
      <c r="C4" s="72" t="s">
        <v>389</v>
      </c>
      <c r="D4" s="72" t="s">
        <v>356</v>
      </c>
      <c r="E4" s="72" t="s">
        <v>311</v>
      </c>
      <c r="F4" s="72" t="s">
        <v>85</v>
      </c>
      <c r="G4" s="72" t="s">
        <v>312</v>
      </c>
      <c r="H4" s="73">
        <v>8432</v>
      </c>
      <c r="I4" s="73">
        <v>5871285.9100000001</v>
      </c>
      <c r="O4" s="76" t="s">
        <v>362</v>
      </c>
      <c r="P4" s="38">
        <v>11662</v>
      </c>
      <c r="Q4" s="38">
        <f>IF(P4&gt;0,(SUMIF('Mar 26'!A:A,O4,'Mar 26'!L:L)-P4),(SUMIF('Mar 26'!A:A,O4,'Mar 26'!K:K)-P4))</f>
        <v>0</v>
      </c>
    </row>
    <row r="5" spans="1:17" x14ac:dyDescent="0.25">
      <c r="A5" s="72" t="s">
        <v>385</v>
      </c>
      <c r="B5" s="72" t="s">
        <v>310</v>
      </c>
      <c r="C5" s="72" t="s">
        <v>392</v>
      </c>
      <c r="D5" s="72" t="s">
        <v>260</v>
      </c>
      <c r="E5" s="72" t="s">
        <v>311</v>
      </c>
      <c r="F5" s="72" t="s">
        <v>85</v>
      </c>
      <c r="G5" s="72" t="s">
        <v>312</v>
      </c>
      <c r="H5" s="73">
        <v>-4060</v>
      </c>
      <c r="I5" s="73">
        <v>5867225.9100000001</v>
      </c>
      <c r="O5" s="76" t="s">
        <v>515</v>
      </c>
      <c r="P5" s="38">
        <v>9796.19</v>
      </c>
      <c r="Q5" s="38">
        <f>IF(P5&gt;0,(SUMIF('Mar 26'!A:A,O5,'Mar 26'!L:L)-P5),(SUMIF('Mar 26'!A:A,O5,'Mar 26'!K:K)-P5))</f>
        <v>0</v>
      </c>
    </row>
    <row r="6" spans="1:17" x14ac:dyDescent="0.25">
      <c r="A6" s="72" t="s">
        <v>385</v>
      </c>
      <c r="B6" s="72" t="s">
        <v>313</v>
      </c>
      <c r="C6" s="72" t="s">
        <v>394</v>
      </c>
      <c r="D6" s="72" t="s">
        <v>86</v>
      </c>
      <c r="E6" s="72" t="s">
        <v>311</v>
      </c>
      <c r="F6" s="72" t="s">
        <v>85</v>
      </c>
      <c r="G6" s="72" t="s">
        <v>312</v>
      </c>
      <c r="H6" s="73">
        <v>22778</v>
      </c>
      <c r="I6" s="73">
        <v>5890003.9100000001</v>
      </c>
      <c r="O6" s="76" t="s">
        <v>61</v>
      </c>
      <c r="P6" s="38">
        <v>-342623.5</v>
      </c>
      <c r="Q6" s="38">
        <f>IF(P6&gt;0,(SUMIF('Mar 26'!A:A,O6,'Mar 26'!L:L)-P6),(SUMIF('Mar 26'!A:A,O6,'Mar 26'!K:K)-P6))</f>
        <v>685247</v>
      </c>
    </row>
    <row r="7" spans="1:17" x14ac:dyDescent="0.25">
      <c r="A7" s="72" t="s">
        <v>396</v>
      </c>
      <c r="B7" s="72" t="s">
        <v>310</v>
      </c>
      <c r="C7" s="72" t="s">
        <v>397</v>
      </c>
      <c r="D7" s="72" t="s">
        <v>357</v>
      </c>
      <c r="E7" s="72" t="s">
        <v>311</v>
      </c>
      <c r="F7" s="72" t="s">
        <v>85</v>
      </c>
      <c r="G7" s="72" t="s">
        <v>312</v>
      </c>
      <c r="H7" s="73">
        <v>56425</v>
      </c>
      <c r="I7" s="73">
        <v>5946428.9100000001</v>
      </c>
      <c r="O7" s="76" t="s">
        <v>364</v>
      </c>
      <c r="P7" s="38">
        <v>16906.509999999998</v>
      </c>
      <c r="Q7" s="38">
        <f>IF(P7&gt;0,(SUMIF('Mar 26'!A:A,O7,'Mar 26'!L:L)-P7),(SUMIF('Mar 26'!A:A,O7,'Mar 26'!K:K)-P7))</f>
        <v>0</v>
      </c>
    </row>
    <row r="8" spans="1:17" x14ac:dyDescent="0.25">
      <c r="A8" s="72" t="s">
        <v>396</v>
      </c>
      <c r="B8" s="72" t="s">
        <v>310</v>
      </c>
      <c r="C8" s="72" t="s">
        <v>397</v>
      </c>
      <c r="D8" s="72" t="s">
        <v>357</v>
      </c>
      <c r="E8" s="72" t="s">
        <v>311</v>
      </c>
      <c r="F8" s="72" t="s">
        <v>85</v>
      </c>
      <c r="G8" s="72" t="s">
        <v>312</v>
      </c>
      <c r="H8" s="73">
        <v>-564.25</v>
      </c>
      <c r="I8" s="73">
        <v>5945864.6600000001</v>
      </c>
      <c r="O8" s="76" t="s">
        <v>88</v>
      </c>
      <c r="P8" s="38">
        <v>-11673</v>
      </c>
      <c r="Q8" s="38">
        <f>IF(P8&gt;0,(SUMIF('Mar 26'!A:A,O8,'Mar 26'!L:L)-P8),(SUMIF('Mar 26'!A:A,O8,'Mar 26'!K:K)-P8))</f>
        <v>23346</v>
      </c>
    </row>
    <row r="9" spans="1:17" x14ac:dyDescent="0.25">
      <c r="A9" s="72" t="s">
        <v>396</v>
      </c>
      <c r="B9" s="72" t="s">
        <v>310</v>
      </c>
      <c r="C9" s="72" t="s">
        <v>399</v>
      </c>
      <c r="D9" s="72" t="s">
        <v>205</v>
      </c>
      <c r="E9" s="72" t="s">
        <v>311</v>
      </c>
      <c r="F9" s="72" t="s">
        <v>85</v>
      </c>
      <c r="G9" s="72" t="s">
        <v>312</v>
      </c>
      <c r="H9" s="73">
        <v>-7433</v>
      </c>
      <c r="I9" s="73">
        <v>5938431.6600000001</v>
      </c>
      <c r="O9" s="76" t="s">
        <v>497</v>
      </c>
      <c r="P9" s="38">
        <v>18709</v>
      </c>
      <c r="Q9" s="38">
        <f>IF(P9&gt;0,(SUMIF('Mar 26'!A:A,O9,'Mar 26'!L:L)-P9),(SUMIF('Mar 26'!A:A,O9,'Mar 26'!K:K)-P9))</f>
        <v>0</v>
      </c>
    </row>
    <row r="10" spans="1:17" x14ac:dyDescent="0.25">
      <c r="A10" s="72" t="s">
        <v>396</v>
      </c>
      <c r="B10" s="72" t="s">
        <v>310</v>
      </c>
      <c r="C10" s="72" t="s">
        <v>401</v>
      </c>
      <c r="D10" s="72" t="s">
        <v>358</v>
      </c>
      <c r="E10" s="72" t="s">
        <v>311</v>
      </c>
      <c r="F10" s="72" t="s">
        <v>85</v>
      </c>
      <c r="G10" s="72" t="s">
        <v>312</v>
      </c>
      <c r="H10" s="73">
        <v>94654</v>
      </c>
      <c r="I10" s="73">
        <v>6033085.6600000001</v>
      </c>
      <c r="O10" s="76" t="s">
        <v>518</v>
      </c>
      <c r="P10" s="38">
        <v>3227</v>
      </c>
      <c r="Q10" s="38">
        <f>IF(P10&gt;0,(SUMIF('Mar 26'!A:A,O10,'Mar 26'!L:L)-P10),(SUMIF('Mar 26'!A:A,O10,'Mar 26'!K:K)-P10))</f>
        <v>0</v>
      </c>
    </row>
    <row r="11" spans="1:17" x14ac:dyDescent="0.25">
      <c r="A11" s="72" t="s">
        <v>396</v>
      </c>
      <c r="B11" s="72" t="s">
        <v>310</v>
      </c>
      <c r="C11" s="72" t="s">
        <v>403</v>
      </c>
      <c r="D11" s="72" t="s">
        <v>162</v>
      </c>
      <c r="E11" s="72" t="s">
        <v>311</v>
      </c>
      <c r="F11" s="72" t="s">
        <v>85</v>
      </c>
      <c r="G11" s="72" t="s">
        <v>312</v>
      </c>
      <c r="H11" s="73">
        <v>-56739.87</v>
      </c>
      <c r="I11" s="73">
        <v>5976345.79</v>
      </c>
      <c r="O11" s="76" t="s">
        <v>380</v>
      </c>
      <c r="P11" s="38">
        <v>29728</v>
      </c>
      <c r="Q11" s="38">
        <f>IF(P11&gt;0,(SUMIF('Mar 26'!A:A,O11,'Mar 26'!L:L)-P11),(SUMIF('Mar 26'!A:A,O11,'Mar 26'!K:K)-P11))</f>
        <v>0</v>
      </c>
    </row>
    <row r="12" spans="1:17" x14ac:dyDescent="0.25">
      <c r="A12" s="72" t="s">
        <v>396</v>
      </c>
      <c r="B12" s="72" t="s">
        <v>310</v>
      </c>
      <c r="C12" s="72" t="s">
        <v>405</v>
      </c>
      <c r="D12" s="72" t="s">
        <v>263</v>
      </c>
      <c r="E12" s="72" t="s">
        <v>311</v>
      </c>
      <c r="F12" s="72" t="s">
        <v>85</v>
      </c>
      <c r="G12" s="72" t="s">
        <v>312</v>
      </c>
      <c r="H12" s="73">
        <v>-1058.31</v>
      </c>
      <c r="I12" s="73">
        <v>5975287.4800000004</v>
      </c>
      <c r="O12" s="76" t="s">
        <v>369</v>
      </c>
      <c r="P12" s="38">
        <v>4247</v>
      </c>
      <c r="Q12" s="38">
        <f>IF(P12&gt;0,(SUMIF('Mar 26'!A:A,O12,'Mar 26'!L:L)-P12),(SUMIF('Mar 26'!A:A,O12,'Mar 26'!K:K)-P12))</f>
        <v>0</v>
      </c>
    </row>
    <row r="13" spans="1:17" x14ac:dyDescent="0.25">
      <c r="A13" s="72" t="s">
        <v>406</v>
      </c>
      <c r="B13" s="72" t="s">
        <v>310</v>
      </c>
      <c r="C13" s="72" t="s">
        <v>407</v>
      </c>
      <c r="D13" s="72" t="s">
        <v>359</v>
      </c>
      <c r="E13" s="72" t="s">
        <v>311</v>
      </c>
      <c r="F13" s="72" t="s">
        <v>85</v>
      </c>
      <c r="G13" s="72" t="s">
        <v>312</v>
      </c>
      <c r="H13" s="73">
        <v>11224</v>
      </c>
      <c r="I13" s="73">
        <v>5986511.4800000004</v>
      </c>
      <c r="O13" s="76" t="s">
        <v>135</v>
      </c>
      <c r="P13" s="38">
        <v>-24528.82</v>
      </c>
      <c r="Q13" s="38">
        <f>IF(P13&gt;0,(SUMIF('Mar 26'!A:A,O13,'Mar 26'!L:L)-P13),(SUMIF('Mar 26'!A:A,O13,'Mar 26'!K:K)-P13))</f>
        <v>49057.64</v>
      </c>
    </row>
    <row r="14" spans="1:17" x14ac:dyDescent="0.25">
      <c r="A14" s="72" t="s">
        <v>406</v>
      </c>
      <c r="B14" s="72" t="s">
        <v>310</v>
      </c>
      <c r="C14" s="72" t="s">
        <v>409</v>
      </c>
      <c r="D14" s="72" t="s">
        <v>360</v>
      </c>
      <c r="E14" s="72" t="s">
        <v>311</v>
      </c>
      <c r="F14" s="72" t="s">
        <v>85</v>
      </c>
      <c r="G14" s="72" t="s">
        <v>312</v>
      </c>
      <c r="H14" s="73">
        <v>20322</v>
      </c>
      <c r="I14" s="73">
        <v>6006833.4800000004</v>
      </c>
      <c r="O14" s="76" t="s">
        <v>356</v>
      </c>
      <c r="P14" s="38">
        <v>8432</v>
      </c>
      <c r="Q14" s="38">
        <f>IF(P14&gt;0,(SUMIF('Mar 26'!A:A,O14,'Mar 26'!L:L)-P14),(SUMIF('Mar 26'!A:A,O14,'Mar 26'!K:K)-P14))</f>
        <v>0</v>
      </c>
    </row>
    <row r="15" spans="1:17" x14ac:dyDescent="0.25">
      <c r="A15" s="72" t="s">
        <v>406</v>
      </c>
      <c r="B15" s="72" t="s">
        <v>310</v>
      </c>
      <c r="C15" s="72" t="s">
        <v>411</v>
      </c>
      <c r="D15" s="72" t="s">
        <v>361</v>
      </c>
      <c r="E15" s="72" t="s">
        <v>311</v>
      </c>
      <c r="F15" s="72" t="s">
        <v>85</v>
      </c>
      <c r="G15" s="72" t="s">
        <v>312</v>
      </c>
      <c r="H15" s="73">
        <v>11754</v>
      </c>
      <c r="I15" s="73">
        <v>6018587.4800000004</v>
      </c>
      <c r="O15" s="76" t="s">
        <v>214</v>
      </c>
      <c r="P15" s="38">
        <v>-8674</v>
      </c>
      <c r="Q15" s="38">
        <f>IF(P15&gt;0,(SUMIF('Mar 26'!A:A,O15,'Mar 26'!L:L)-P15),(SUMIF('Mar 26'!A:A,O15,'Mar 26'!K:K)-P15))</f>
        <v>17348</v>
      </c>
    </row>
    <row r="16" spans="1:17" x14ac:dyDescent="0.25">
      <c r="A16" s="72" t="s">
        <v>413</v>
      </c>
      <c r="B16" s="72" t="s">
        <v>310</v>
      </c>
      <c r="C16" s="72" t="s">
        <v>414</v>
      </c>
      <c r="D16" s="72" t="s">
        <v>362</v>
      </c>
      <c r="E16" s="72" t="s">
        <v>311</v>
      </c>
      <c r="F16" s="72" t="s">
        <v>85</v>
      </c>
      <c r="G16" s="72" t="s">
        <v>312</v>
      </c>
      <c r="H16" s="73">
        <v>11662</v>
      </c>
      <c r="I16" s="73">
        <v>6030249.4800000004</v>
      </c>
      <c r="O16" s="76" t="s">
        <v>512</v>
      </c>
      <c r="P16" s="38">
        <v>17176</v>
      </c>
      <c r="Q16" s="38">
        <f>IF(P16&gt;0,(SUMIF('Mar 26'!A:A,O16,'Mar 26'!L:L)-P16),(SUMIF('Mar 26'!A:A,O16,'Mar 26'!K:K)-P16))</f>
        <v>0</v>
      </c>
    </row>
    <row r="17" spans="1:17" x14ac:dyDescent="0.25">
      <c r="A17" s="72" t="s">
        <v>416</v>
      </c>
      <c r="B17" s="72" t="s">
        <v>310</v>
      </c>
      <c r="C17" s="72" t="s">
        <v>417</v>
      </c>
      <c r="D17" s="72" t="s">
        <v>363</v>
      </c>
      <c r="E17" s="72" t="s">
        <v>311</v>
      </c>
      <c r="F17" s="72" t="s">
        <v>85</v>
      </c>
      <c r="G17" s="72" t="s">
        <v>312</v>
      </c>
      <c r="H17" s="73">
        <v>25461</v>
      </c>
      <c r="I17" s="73">
        <v>6055710.4800000004</v>
      </c>
      <c r="O17" s="76" t="s">
        <v>168</v>
      </c>
      <c r="P17" s="38">
        <v>-15439</v>
      </c>
      <c r="Q17" s="38">
        <f>IF(P17&gt;0,(SUMIF('Mar 26'!A:A,O17,'Mar 26'!L:L)-P17),(SUMIF('Mar 26'!A:A,O17,'Mar 26'!K:K)-P17))</f>
        <v>30878</v>
      </c>
    </row>
    <row r="18" spans="1:17" x14ac:dyDescent="0.25">
      <c r="A18" s="72" t="s">
        <v>416</v>
      </c>
      <c r="B18" s="72" t="s">
        <v>310</v>
      </c>
      <c r="C18" s="72" t="s">
        <v>420</v>
      </c>
      <c r="D18" s="72" t="s">
        <v>364</v>
      </c>
      <c r="E18" s="72" t="s">
        <v>311</v>
      </c>
      <c r="F18" s="72" t="s">
        <v>85</v>
      </c>
      <c r="G18" s="72" t="s">
        <v>312</v>
      </c>
      <c r="H18" s="73">
        <v>16906.509999999998</v>
      </c>
      <c r="I18" s="73">
        <v>6072616.9900000002</v>
      </c>
      <c r="O18" s="76" t="s">
        <v>502</v>
      </c>
      <c r="P18" s="38">
        <v>39804</v>
      </c>
      <c r="Q18" s="38">
        <f>IF(P18&gt;0,(SUMIF('Mar 26'!A:A,O18,'Mar 26'!L:L)-P18),(SUMIF('Mar 26'!A:A,O18,'Mar 26'!K:K)-P18))</f>
        <v>0</v>
      </c>
    </row>
    <row r="19" spans="1:17" x14ac:dyDescent="0.25">
      <c r="A19" s="72" t="s">
        <v>416</v>
      </c>
      <c r="B19" s="72" t="s">
        <v>310</v>
      </c>
      <c r="C19" s="72" t="s">
        <v>422</v>
      </c>
      <c r="D19" s="72" t="s">
        <v>199</v>
      </c>
      <c r="E19" s="72" t="s">
        <v>311</v>
      </c>
      <c r="F19" s="72" t="s">
        <v>85</v>
      </c>
      <c r="G19" s="72" t="s">
        <v>312</v>
      </c>
      <c r="H19" s="73">
        <v>-7852</v>
      </c>
      <c r="I19" s="73">
        <v>6064764.9900000002</v>
      </c>
      <c r="O19" s="76" t="s">
        <v>359</v>
      </c>
      <c r="P19" s="38">
        <v>11224</v>
      </c>
      <c r="Q19" s="38">
        <f>IF(P19&gt;0,(SUMIF('Mar 26'!A:A,O19,'Mar 26'!L:L)-P19),(SUMIF('Mar 26'!A:A,O19,'Mar 26'!K:K)-P19))</f>
        <v>0</v>
      </c>
    </row>
    <row r="20" spans="1:17" x14ac:dyDescent="0.25">
      <c r="A20" s="72" t="s">
        <v>416</v>
      </c>
      <c r="B20" s="72" t="s">
        <v>310</v>
      </c>
      <c r="C20" s="72" t="s">
        <v>424</v>
      </c>
      <c r="D20" s="72" t="s">
        <v>365</v>
      </c>
      <c r="E20" s="72" t="s">
        <v>311</v>
      </c>
      <c r="F20" s="72" t="s">
        <v>85</v>
      </c>
      <c r="G20" s="72" t="s">
        <v>312</v>
      </c>
      <c r="H20" s="73">
        <v>940</v>
      </c>
      <c r="I20" s="73">
        <v>6065704.9900000002</v>
      </c>
      <c r="O20" s="76" t="s">
        <v>367</v>
      </c>
      <c r="P20" s="38">
        <v>9792</v>
      </c>
      <c r="Q20" s="38">
        <f>IF(P20&gt;0,(SUMIF('Mar 26'!A:A,O20,'Mar 26'!L:L)-P20),(SUMIF('Mar 26'!A:A,O20,'Mar 26'!K:K)-P20))</f>
        <v>0</v>
      </c>
    </row>
    <row r="21" spans="1:17" x14ac:dyDescent="0.25">
      <c r="A21" s="72" t="s">
        <v>416</v>
      </c>
      <c r="B21" s="72" t="s">
        <v>310</v>
      </c>
      <c r="C21" s="72" t="s">
        <v>424</v>
      </c>
      <c r="D21" s="72" t="s">
        <v>365</v>
      </c>
      <c r="E21" s="72" t="s">
        <v>311</v>
      </c>
      <c r="F21" s="72" t="s">
        <v>85</v>
      </c>
      <c r="G21" s="72" t="s">
        <v>312</v>
      </c>
      <c r="H21" s="73">
        <v>-9.4</v>
      </c>
      <c r="I21" s="73">
        <v>6065695.5899999999</v>
      </c>
      <c r="O21" s="76" t="s">
        <v>508</v>
      </c>
      <c r="P21" s="38">
        <v>109253</v>
      </c>
      <c r="Q21" s="38">
        <f>IF(P21&gt;0,(SUMIF('Mar 26'!A:A,O21,'Mar 26'!L:L)-P21),(SUMIF('Mar 26'!A:A,O21,'Mar 26'!K:K)-P21))</f>
        <v>0</v>
      </c>
    </row>
    <row r="22" spans="1:17" x14ac:dyDescent="0.25">
      <c r="A22" s="72" t="s">
        <v>416</v>
      </c>
      <c r="B22" s="72" t="s">
        <v>310</v>
      </c>
      <c r="C22" s="72" t="s">
        <v>425</v>
      </c>
      <c r="D22" s="72" t="s">
        <v>366</v>
      </c>
      <c r="E22" s="72" t="s">
        <v>311</v>
      </c>
      <c r="F22" s="72" t="s">
        <v>85</v>
      </c>
      <c r="G22" s="72" t="s">
        <v>312</v>
      </c>
      <c r="H22" s="73">
        <v>7878</v>
      </c>
      <c r="I22" s="73">
        <v>6073573.5899999999</v>
      </c>
      <c r="O22" s="76" t="s">
        <v>205</v>
      </c>
      <c r="P22" s="38">
        <v>-7433</v>
      </c>
      <c r="Q22" s="38">
        <f>IF(P22&gt;0,(SUMIF('Mar 26'!A:A,O22,'Mar 26'!L:L)-P22),(SUMIF('Mar 26'!A:A,O22,'Mar 26'!K:K)-P22))</f>
        <v>14866</v>
      </c>
    </row>
    <row r="23" spans="1:17" x14ac:dyDescent="0.25">
      <c r="A23" s="72" t="s">
        <v>416</v>
      </c>
      <c r="B23" s="72" t="s">
        <v>310</v>
      </c>
      <c r="C23" s="72" t="s">
        <v>425</v>
      </c>
      <c r="D23" s="72" t="s">
        <v>366</v>
      </c>
      <c r="E23" s="72" t="s">
        <v>311</v>
      </c>
      <c r="F23" s="72" t="s">
        <v>85</v>
      </c>
      <c r="G23" s="72" t="s">
        <v>312</v>
      </c>
      <c r="H23" s="73">
        <v>-78.78</v>
      </c>
      <c r="I23" s="73">
        <v>6073494.8099999996</v>
      </c>
      <c r="O23" s="76" t="s">
        <v>358</v>
      </c>
      <c r="P23" s="38">
        <v>94654</v>
      </c>
      <c r="Q23" s="38">
        <f>IF(P23&gt;0,(SUMIF('Mar 26'!A:A,O23,'Mar 26'!L:L)-P23),(SUMIF('Mar 26'!A:A,O23,'Mar 26'!K:K)-P23))</f>
        <v>0</v>
      </c>
    </row>
    <row r="24" spans="1:17" x14ac:dyDescent="0.25">
      <c r="A24" s="72" t="s">
        <v>416</v>
      </c>
      <c r="B24" s="72" t="s">
        <v>310</v>
      </c>
      <c r="C24" s="72" t="s">
        <v>427</v>
      </c>
      <c r="D24" s="72" t="s">
        <v>367</v>
      </c>
      <c r="E24" s="72" t="s">
        <v>311</v>
      </c>
      <c r="F24" s="72" t="s">
        <v>85</v>
      </c>
      <c r="G24" s="72" t="s">
        <v>312</v>
      </c>
      <c r="H24" s="73">
        <v>9792</v>
      </c>
      <c r="I24" s="73">
        <v>6083286.8099999996</v>
      </c>
      <c r="O24" s="76" t="s">
        <v>378</v>
      </c>
      <c r="P24" s="38">
        <v>17769</v>
      </c>
      <c r="Q24" s="38">
        <f>IF(P24&gt;0,(SUMIF('Mar 26'!A:A,O24,'Mar 26'!L:L)-P24),(SUMIF('Mar 26'!A:A,O24,'Mar 26'!K:K)-P24))</f>
        <v>0</v>
      </c>
    </row>
    <row r="25" spans="1:17" x14ac:dyDescent="0.25">
      <c r="A25" s="72" t="s">
        <v>429</v>
      </c>
      <c r="B25" s="72" t="s">
        <v>310</v>
      </c>
      <c r="C25" s="72" t="s">
        <v>430</v>
      </c>
      <c r="D25" s="72" t="s">
        <v>369</v>
      </c>
      <c r="E25" s="72" t="s">
        <v>311</v>
      </c>
      <c r="F25" s="72" t="s">
        <v>85</v>
      </c>
      <c r="G25" s="72" t="s">
        <v>312</v>
      </c>
      <c r="H25" s="73">
        <v>4247</v>
      </c>
      <c r="I25" s="73">
        <v>6087533.8099999996</v>
      </c>
      <c r="O25" s="76" t="s">
        <v>79</v>
      </c>
      <c r="P25" s="38">
        <v>-75227</v>
      </c>
      <c r="Q25" s="38">
        <f>IF(P25&gt;0,(SUMIF('Mar 26'!A:A,O25,'Mar 26'!L:L)-P25),(SUMIF('Mar 26'!A:A,O25,'Mar 26'!K:K)-P25))</f>
        <v>150454</v>
      </c>
    </row>
    <row r="26" spans="1:17" x14ac:dyDescent="0.25">
      <c r="A26" s="72" t="s">
        <v>429</v>
      </c>
      <c r="B26" s="72" t="s">
        <v>310</v>
      </c>
      <c r="C26" s="72" t="s">
        <v>432</v>
      </c>
      <c r="D26" s="72" t="s">
        <v>371</v>
      </c>
      <c r="E26" s="72" t="s">
        <v>311</v>
      </c>
      <c r="F26" s="72" t="s">
        <v>85</v>
      </c>
      <c r="G26" s="72" t="s">
        <v>312</v>
      </c>
      <c r="H26" s="73">
        <v>51110.14</v>
      </c>
      <c r="I26" s="73">
        <v>6138643.9499999993</v>
      </c>
      <c r="O26" s="76" t="s">
        <v>503</v>
      </c>
      <c r="P26" s="38">
        <v>17304</v>
      </c>
      <c r="Q26" s="38">
        <f>IF(P26&gt;0,(SUMIF('Mar 26'!A:A,O26,'Mar 26'!L:L)-P26),(SUMIF('Mar 26'!A:A,O26,'Mar 26'!K:K)-P26))</f>
        <v>0</v>
      </c>
    </row>
    <row r="27" spans="1:17" x14ac:dyDescent="0.25">
      <c r="A27" s="72" t="s">
        <v>429</v>
      </c>
      <c r="B27" s="72" t="s">
        <v>310</v>
      </c>
      <c r="C27" s="72" t="s">
        <v>435</v>
      </c>
      <c r="D27" s="72" t="s">
        <v>207</v>
      </c>
      <c r="E27" s="72" t="s">
        <v>311</v>
      </c>
      <c r="F27" s="72" t="s">
        <v>85</v>
      </c>
      <c r="G27" s="72" t="s">
        <v>312</v>
      </c>
      <c r="H27" s="73">
        <v>-9886</v>
      </c>
      <c r="I27" s="73">
        <v>6128757.9499999993</v>
      </c>
      <c r="O27" s="76" t="s">
        <v>355</v>
      </c>
      <c r="P27" s="38">
        <v>29175</v>
      </c>
      <c r="Q27" s="38">
        <f>IF(P27&gt;0,(SUMIF('Mar 26'!A:A,O27,'Mar 26'!L:L)-P27),(SUMIF('Mar 26'!A:A,O27,'Mar 26'!K:K)-P27))</f>
        <v>0</v>
      </c>
    </row>
    <row r="28" spans="1:17" x14ac:dyDescent="0.25">
      <c r="A28" s="72" t="s">
        <v>429</v>
      </c>
      <c r="B28" s="72" t="s">
        <v>310</v>
      </c>
      <c r="C28" s="72" t="s">
        <v>437</v>
      </c>
      <c r="D28" s="72" t="s">
        <v>372</v>
      </c>
      <c r="E28" s="72" t="s">
        <v>311</v>
      </c>
      <c r="F28" s="72" t="s">
        <v>85</v>
      </c>
      <c r="G28" s="72" t="s">
        <v>312</v>
      </c>
      <c r="H28" s="73">
        <v>8935.32</v>
      </c>
      <c r="I28" s="73">
        <v>6137693.2699999996</v>
      </c>
      <c r="O28" s="76" t="s">
        <v>375</v>
      </c>
      <c r="P28" s="38">
        <v>160000</v>
      </c>
      <c r="Q28" s="38">
        <f>IF(P28&gt;0,(SUMIF('Mar 26'!A:A,O28,'Mar 26'!L:L)-P28),(SUMIF('Mar 26'!A:A,O28,'Mar 26'!K:K)-P28))</f>
        <v>0</v>
      </c>
    </row>
    <row r="29" spans="1:17" x14ac:dyDescent="0.25">
      <c r="A29" s="72" t="s">
        <v>439</v>
      </c>
      <c r="B29" s="72" t="s">
        <v>310</v>
      </c>
      <c r="C29" s="72" t="s">
        <v>440</v>
      </c>
      <c r="D29" s="72" t="s">
        <v>373</v>
      </c>
      <c r="E29" s="72" t="s">
        <v>311</v>
      </c>
      <c r="F29" s="72" t="s">
        <v>85</v>
      </c>
      <c r="G29" s="72" t="s">
        <v>312</v>
      </c>
      <c r="H29" s="73">
        <v>4742</v>
      </c>
      <c r="I29" s="73">
        <v>6142435.2699999996</v>
      </c>
      <c r="O29" s="76" t="s">
        <v>372</v>
      </c>
      <c r="P29" s="38">
        <v>8935.32</v>
      </c>
      <c r="Q29" s="38">
        <f>IF(P29&gt;0,(SUMIF('Mar 26'!A:A,O29,'Mar 26'!L:L)-P29),(SUMIF('Mar 26'!A:A,O29,'Mar 26'!K:K)-P29))</f>
        <v>0</v>
      </c>
    </row>
    <row r="30" spans="1:17" x14ac:dyDescent="0.25">
      <c r="A30" s="72" t="s">
        <v>439</v>
      </c>
      <c r="B30" s="72" t="s">
        <v>310</v>
      </c>
      <c r="C30" s="72" t="s">
        <v>443</v>
      </c>
      <c r="D30" s="72" t="s">
        <v>41</v>
      </c>
      <c r="E30" s="72" t="s">
        <v>444</v>
      </c>
      <c r="F30" s="72" t="s">
        <v>85</v>
      </c>
      <c r="G30" s="72" t="s">
        <v>312</v>
      </c>
      <c r="H30" s="73">
        <v>43711</v>
      </c>
      <c r="I30" s="73">
        <v>6186146.2699999996</v>
      </c>
      <c r="O30" s="76" t="s">
        <v>516</v>
      </c>
      <c r="P30" s="38">
        <v>16192</v>
      </c>
      <c r="Q30" s="38">
        <f>IF(P30&gt;0,(SUMIF('Mar 26'!A:A,O30,'Mar 26'!L:L)-P30),(SUMIF('Mar 26'!A:A,O30,'Mar 26'!K:K)-P30))</f>
        <v>0</v>
      </c>
    </row>
    <row r="31" spans="1:17" x14ac:dyDescent="0.25">
      <c r="A31" s="72" t="s">
        <v>439</v>
      </c>
      <c r="B31" s="72" t="s">
        <v>310</v>
      </c>
      <c r="C31" s="72" t="s">
        <v>446</v>
      </c>
      <c r="D31" s="72" t="s">
        <v>374</v>
      </c>
      <c r="E31" s="72" t="s">
        <v>311</v>
      </c>
      <c r="F31" s="72" t="s">
        <v>85</v>
      </c>
      <c r="G31" s="72" t="s">
        <v>312</v>
      </c>
      <c r="H31" s="73">
        <v>4653</v>
      </c>
      <c r="I31" s="73">
        <v>6190799.2699999996</v>
      </c>
      <c r="O31" s="76" t="s">
        <v>504</v>
      </c>
      <c r="P31" s="38">
        <v>151068</v>
      </c>
      <c r="Q31" s="38">
        <f>IF(P31&gt;0,(SUMIF('Mar 26'!A:A,O31,'Mar 26'!L:L)-P31),(SUMIF('Mar 26'!A:A,O31,'Mar 26'!K:K)-P31))</f>
        <v>0</v>
      </c>
    </row>
    <row r="32" spans="1:17" x14ac:dyDescent="0.25">
      <c r="A32" s="72" t="s">
        <v>439</v>
      </c>
      <c r="B32" s="72" t="s">
        <v>310</v>
      </c>
      <c r="C32" s="72" t="s">
        <v>448</v>
      </c>
      <c r="D32" s="72" t="s">
        <v>375</v>
      </c>
      <c r="E32" s="72" t="s">
        <v>311</v>
      </c>
      <c r="F32" s="72" t="s">
        <v>85</v>
      </c>
      <c r="G32" s="72" t="s">
        <v>312</v>
      </c>
      <c r="H32" s="73">
        <v>160000</v>
      </c>
      <c r="I32" s="73">
        <v>6350799.2699999996</v>
      </c>
      <c r="O32" s="76" t="s">
        <v>495</v>
      </c>
      <c r="P32" s="38">
        <v>23405</v>
      </c>
      <c r="Q32" s="38">
        <f>IF(P32&gt;0,(SUMIF('Mar 26'!A:A,O32,'Mar 26'!L:L)-P32),(SUMIF('Mar 26'!A:A,O32,'Mar 26'!K:K)-P32))</f>
        <v>0</v>
      </c>
    </row>
    <row r="33" spans="1:17" x14ac:dyDescent="0.25">
      <c r="A33" s="72" t="s">
        <v>450</v>
      </c>
      <c r="B33" s="72" t="s">
        <v>310</v>
      </c>
      <c r="C33" s="72" t="s">
        <v>451</v>
      </c>
      <c r="D33" s="72" t="s">
        <v>101</v>
      </c>
      <c r="E33" s="72" t="s">
        <v>311</v>
      </c>
      <c r="F33" s="72" t="s">
        <v>85</v>
      </c>
      <c r="G33" s="72" t="s">
        <v>312</v>
      </c>
      <c r="H33" s="73">
        <v>57487</v>
      </c>
      <c r="I33" s="73">
        <v>6408286.2699999996</v>
      </c>
      <c r="O33" s="76" t="s">
        <v>382</v>
      </c>
      <c r="P33" s="38">
        <v>129865.08</v>
      </c>
      <c r="Q33" s="38">
        <f>IF(P33&gt;0,(SUMIF('Mar 26'!A:A,O33,'Mar 26'!L:L)-P33),(SUMIF('Mar 26'!A:A,O33,'Mar 26'!K:K)-P33))</f>
        <v>0</v>
      </c>
    </row>
    <row r="34" spans="1:17" x14ac:dyDescent="0.25">
      <c r="A34" s="72" t="s">
        <v>450</v>
      </c>
      <c r="B34" s="72" t="s">
        <v>310</v>
      </c>
      <c r="C34" s="72" t="s">
        <v>453</v>
      </c>
      <c r="D34" s="72" t="s">
        <v>382</v>
      </c>
      <c r="E34" s="72" t="s">
        <v>311</v>
      </c>
      <c r="F34" s="72" t="s">
        <v>85</v>
      </c>
      <c r="G34" s="72" t="s">
        <v>312</v>
      </c>
      <c r="H34" s="73">
        <v>129865.08</v>
      </c>
      <c r="I34" s="73">
        <v>6538151.3499999996</v>
      </c>
      <c r="O34" s="76" t="s">
        <v>101</v>
      </c>
      <c r="P34" s="38">
        <v>57487</v>
      </c>
      <c r="Q34" s="38">
        <f>IF(P34&gt;0,(SUMIF('Mar 26'!A:A,O34,'Mar 26'!L:L)-P34),(SUMIF('Mar 26'!A:A,O34,'Mar 26'!K:K)-P34))</f>
        <v>0</v>
      </c>
    </row>
    <row r="35" spans="1:17" x14ac:dyDescent="0.25">
      <c r="A35" s="72" t="s">
        <v>450</v>
      </c>
      <c r="B35" s="72" t="s">
        <v>310</v>
      </c>
      <c r="C35" s="72" t="s">
        <v>454</v>
      </c>
      <c r="D35" s="72" t="s">
        <v>455</v>
      </c>
      <c r="E35" s="72" t="s">
        <v>311</v>
      </c>
      <c r="F35" s="72" t="s">
        <v>85</v>
      </c>
      <c r="G35" s="72" t="s">
        <v>312</v>
      </c>
      <c r="H35" s="73">
        <v>10418</v>
      </c>
      <c r="I35" s="73">
        <v>6548569.3499999996</v>
      </c>
      <c r="O35" s="76" t="s">
        <v>206</v>
      </c>
      <c r="P35" s="38">
        <v>-8901</v>
      </c>
      <c r="Q35" s="38">
        <f>IF(P35&gt;0,(SUMIF('Mar 26'!A:A,O35,'Mar 26'!L:L)-P35),(SUMIF('Mar 26'!A:A,O35,'Mar 26'!K:K)-P35))</f>
        <v>17802</v>
      </c>
    </row>
    <row r="36" spans="1:17" x14ac:dyDescent="0.25">
      <c r="A36" s="72" t="s">
        <v>450</v>
      </c>
      <c r="B36" s="72" t="s">
        <v>310</v>
      </c>
      <c r="C36" s="72" t="s">
        <v>457</v>
      </c>
      <c r="D36" s="72" t="s">
        <v>61</v>
      </c>
      <c r="E36" s="72" t="s">
        <v>311</v>
      </c>
      <c r="F36" s="72" t="s">
        <v>85</v>
      </c>
      <c r="G36" s="72" t="s">
        <v>312</v>
      </c>
      <c r="H36" s="73">
        <v>-91129</v>
      </c>
      <c r="I36" s="73">
        <v>6457440.3499999996</v>
      </c>
      <c r="O36" s="76" t="s">
        <v>363</v>
      </c>
      <c r="P36" s="38">
        <v>25461</v>
      </c>
      <c r="Q36" s="38">
        <f>IF(P36&gt;0,(SUMIF('Mar 26'!A:A,O36,'Mar 26'!L:L)-P36),(SUMIF('Mar 26'!A:A,O36,'Mar 26'!K:K)-P36))</f>
        <v>0</v>
      </c>
    </row>
    <row r="37" spans="1:17" x14ac:dyDescent="0.25">
      <c r="A37" s="72" t="s">
        <v>450</v>
      </c>
      <c r="B37" s="72" t="s">
        <v>310</v>
      </c>
      <c r="C37" s="72" t="s">
        <v>457</v>
      </c>
      <c r="D37" s="72" t="s">
        <v>61</v>
      </c>
      <c r="E37" s="72" t="s">
        <v>311</v>
      </c>
      <c r="F37" s="72" t="s">
        <v>85</v>
      </c>
      <c r="G37" s="72" t="s">
        <v>312</v>
      </c>
      <c r="H37" s="73">
        <v>-251494.5</v>
      </c>
      <c r="I37" s="73">
        <v>6205945.8499999996</v>
      </c>
      <c r="O37" s="76" t="s">
        <v>517</v>
      </c>
      <c r="P37" s="38">
        <v>1142.27</v>
      </c>
      <c r="Q37" s="38">
        <f>IF(P37&gt;0,(SUMIF('Mar 26'!A:A,O37,'Mar 26'!L:L)-P37),(SUMIF('Mar 26'!A:A,O37,'Mar 26'!K:K)-P37))</f>
        <v>0</v>
      </c>
    </row>
    <row r="38" spans="1:17" x14ac:dyDescent="0.25">
      <c r="A38" s="72" t="s">
        <v>450</v>
      </c>
      <c r="B38" s="72" t="s">
        <v>310</v>
      </c>
      <c r="C38" s="72" t="s">
        <v>459</v>
      </c>
      <c r="D38" s="72" t="s">
        <v>377</v>
      </c>
      <c r="E38" s="72" t="s">
        <v>311</v>
      </c>
      <c r="F38" s="72" t="s">
        <v>85</v>
      </c>
      <c r="G38" s="72" t="s">
        <v>312</v>
      </c>
      <c r="H38" s="73">
        <v>44798</v>
      </c>
      <c r="I38" s="73">
        <v>6250743.8499999996</v>
      </c>
      <c r="O38" s="76" t="s">
        <v>340</v>
      </c>
      <c r="P38" s="38">
        <v>-3000</v>
      </c>
      <c r="Q38" s="38">
        <f>IF(P38&gt;0,(SUMIF('Mar 26'!A:A,O38,'Mar 26'!L:L)-P38),(SUMIF('Mar 26'!A:A,O38,'Mar 26'!K:K)-P38))</f>
        <v>6000</v>
      </c>
    </row>
    <row r="39" spans="1:17" x14ac:dyDescent="0.25">
      <c r="A39" s="72" t="s">
        <v>450</v>
      </c>
      <c r="B39" s="72" t="s">
        <v>310</v>
      </c>
      <c r="C39" s="72" t="s">
        <v>461</v>
      </c>
      <c r="D39" s="72" t="s">
        <v>378</v>
      </c>
      <c r="E39" s="72" t="s">
        <v>311</v>
      </c>
      <c r="F39" s="72" t="s">
        <v>85</v>
      </c>
      <c r="G39" s="72" t="s">
        <v>312</v>
      </c>
      <c r="H39" s="73">
        <v>17769</v>
      </c>
      <c r="I39" s="73">
        <v>6268512.8499999996</v>
      </c>
      <c r="O39" s="76" t="s">
        <v>70</v>
      </c>
      <c r="P39" s="38">
        <v>9567</v>
      </c>
      <c r="Q39" s="38">
        <f>IF(P39&gt;0,(SUMIF('Mar 26'!A:A,O39,'Mar 26'!L:L)-P39),(SUMIF('Mar 26'!A:A,O39,'Mar 26'!K:K)-P39))</f>
        <v>0</v>
      </c>
    </row>
    <row r="40" spans="1:17" x14ac:dyDescent="0.25">
      <c r="A40" s="72" t="s">
        <v>450</v>
      </c>
      <c r="B40" s="72" t="s">
        <v>310</v>
      </c>
      <c r="C40" s="72" t="s">
        <v>463</v>
      </c>
      <c r="D40" s="72" t="s">
        <v>379</v>
      </c>
      <c r="E40" s="72" t="s">
        <v>311</v>
      </c>
      <c r="F40" s="72" t="s">
        <v>85</v>
      </c>
      <c r="G40" s="72" t="s">
        <v>312</v>
      </c>
      <c r="H40" s="73">
        <v>29243</v>
      </c>
      <c r="I40" s="73">
        <v>6297755.8499999996</v>
      </c>
      <c r="O40" s="76" t="s">
        <v>234</v>
      </c>
      <c r="P40" s="38">
        <v>-11785</v>
      </c>
      <c r="Q40" s="38">
        <f>IF(P40&gt;0,(SUMIF('Mar 26'!A:A,O40,'Mar 26'!L:L)-P40),(SUMIF('Mar 26'!A:A,O40,'Mar 26'!K:K)-P40))</f>
        <v>23570</v>
      </c>
    </row>
    <row r="41" spans="1:17" x14ac:dyDescent="0.25">
      <c r="A41" s="72" t="s">
        <v>465</v>
      </c>
      <c r="B41" s="72" t="s">
        <v>310</v>
      </c>
      <c r="C41" s="72" t="s">
        <v>466</v>
      </c>
      <c r="D41" s="72" t="s">
        <v>79</v>
      </c>
      <c r="E41" s="72" t="s">
        <v>311</v>
      </c>
      <c r="F41" s="72" t="s">
        <v>85</v>
      </c>
      <c r="G41" s="72" t="s">
        <v>312</v>
      </c>
      <c r="H41" s="73">
        <v>-40842</v>
      </c>
      <c r="I41" s="73">
        <v>6256913.8499999996</v>
      </c>
      <c r="O41" s="76" t="s">
        <v>86</v>
      </c>
      <c r="P41" s="38">
        <v>22778</v>
      </c>
      <c r="Q41" s="38">
        <f>IF(P41&gt;0,(SUMIF('Mar 26'!A:A,O41,'Mar 26'!L:L)-P41),(SUMIF('Mar 26'!A:A,O41,'Mar 26'!K:K)-P41))</f>
        <v>0</v>
      </c>
    </row>
    <row r="42" spans="1:17" x14ac:dyDescent="0.25">
      <c r="A42" s="72" t="s">
        <v>465</v>
      </c>
      <c r="B42" s="72" t="s">
        <v>310</v>
      </c>
      <c r="C42" s="72" t="s">
        <v>466</v>
      </c>
      <c r="D42" s="72" t="s">
        <v>79</v>
      </c>
      <c r="E42" s="72" t="s">
        <v>311</v>
      </c>
      <c r="F42" s="72" t="s">
        <v>85</v>
      </c>
      <c r="G42" s="72" t="s">
        <v>312</v>
      </c>
      <c r="H42" s="73">
        <v>-34385</v>
      </c>
      <c r="I42" s="73">
        <v>6222528.8499999996</v>
      </c>
      <c r="O42" s="76" t="s">
        <v>510</v>
      </c>
      <c r="P42" s="38">
        <v>56063</v>
      </c>
      <c r="Q42" s="38">
        <f>IF(P42&gt;0,(SUMIF('Mar 26'!A:A,O42,'Mar 26'!L:L)-P42),(SUMIF('Mar 26'!A:A,O42,'Mar 26'!K:K)-P42))</f>
        <v>0</v>
      </c>
    </row>
    <row r="43" spans="1:17" x14ac:dyDescent="0.25">
      <c r="A43" s="72" t="s">
        <v>465</v>
      </c>
      <c r="B43" s="72" t="s">
        <v>310</v>
      </c>
      <c r="C43" s="72" t="s">
        <v>468</v>
      </c>
      <c r="D43" s="72" t="s">
        <v>469</v>
      </c>
      <c r="E43" s="72" t="s">
        <v>311</v>
      </c>
      <c r="F43" s="72" t="s">
        <v>85</v>
      </c>
      <c r="G43" s="72" t="s">
        <v>312</v>
      </c>
      <c r="H43" s="73">
        <v>1207</v>
      </c>
      <c r="I43" s="73">
        <v>6223735.8499999996</v>
      </c>
      <c r="O43" s="76" t="s">
        <v>360</v>
      </c>
      <c r="P43" s="38">
        <v>20322</v>
      </c>
      <c r="Q43" s="38">
        <f>IF(P43&gt;0,(SUMIF('Mar 26'!A:A,O43,'Mar 26'!L:L)-P43),(SUMIF('Mar 26'!A:A,O43,'Mar 26'!K:K)-P43))</f>
        <v>0</v>
      </c>
    </row>
    <row r="44" spans="1:17" x14ac:dyDescent="0.25">
      <c r="A44" s="72" t="s">
        <v>465</v>
      </c>
      <c r="B44" s="72" t="s">
        <v>310</v>
      </c>
      <c r="C44" s="72" t="s">
        <v>470</v>
      </c>
      <c r="D44" s="72" t="s">
        <v>471</v>
      </c>
      <c r="E44" s="72" t="s">
        <v>311</v>
      </c>
      <c r="F44" s="72" t="s">
        <v>85</v>
      </c>
      <c r="G44" s="72" t="s">
        <v>312</v>
      </c>
      <c r="H44" s="73">
        <v>15425</v>
      </c>
      <c r="I44" s="73">
        <v>6239160.8499999996</v>
      </c>
      <c r="O44" s="76" t="s">
        <v>514</v>
      </c>
      <c r="P44" s="38">
        <v>6516</v>
      </c>
      <c r="Q44" s="38">
        <f>IF(P44&gt;0,(SUMIF('Mar 26'!A:A,O44,'Mar 26'!L:L)-P44),(SUMIF('Mar 26'!A:A,O44,'Mar 26'!K:K)-P44))</f>
        <v>0</v>
      </c>
    </row>
    <row r="45" spans="1:17" x14ac:dyDescent="0.25">
      <c r="A45" s="72" t="s">
        <v>465</v>
      </c>
      <c r="B45" s="72" t="s">
        <v>310</v>
      </c>
      <c r="C45" s="72" t="s">
        <v>473</v>
      </c>
      <c r="D45" s="72" t="s">
        <v>474</v>
      </c>
      <c r="E45" s="72" t="s">
        <v>311</v>
      </c>
      <c r="F45" s="72" t="s">
        <v>85</v>
      </c>
      <c r="G45" s="72" t="s">
        <v>312</v>
      </c>
      <c r="H45" s="73">
        <v>6258.05</v>
      </c>
      <c r="I45" s="73">
        <v>6245418.8999999994</v>
      </c>
      <c r="O45" s="76" t="s">
        <v>373</v>
      </c>
      <c r="P45" s="38">
        <v>4742</v>
      </c>
      <c r="Q45" s="38">
        <f>IF(P45&gt;0,(SUMIF('Mar 26'!A:A,O45,'Mar 26'!L:L)-P45),(SUMIF('Mar 26'!A:A,O45,'Mar 26'!K:K)-P45))</f>
        <v>0</v>
      </c>
    </row>
    <row r="46" spans="1:17" x14ac:dyDescent="0.25">
      <c r="A46" s="72" t="s">
        <v>465</v>
      </c>
      <c r="B46" s="72" t="s">
        <v>310</v>
      </c>
      <c r="C46" s="72" t="s">
        <v>475</v>
      </c>
      <c r="D46" s="72" t="s">
        <v>234</v>
      </c>
      <c r="E46" s="72" t="s">
        <v>311</v>
      </c>
      <c r="F46" s="72" t="s">
        <v>85</v>
      </c>
      <c r="G46" s="72" t="s">
        <v>312</v>
      </c>
      <c r="H46" s="73">
        <v>-11785</v>
      </c>
      <c r="I46" s="73">
        <v>6233633.8999999994</v>
      </c>
      <c r="O46" s="76" t="s">
        <v>183</v>
      </c>
      <c r="P46" s="38">
        <v>-9467</v>
      </c>
      <c r="Q46" s="38">
        <f>IF(P46&gt;0,(SUMIF('Mar 26'!A:A,O46,'Mar 26'!L:L)-P46),(SUMIF('Mar 26'!A:A,O46,'Mar 26'!K:K)-P46))</f>
        <v>18934</v>
      </c>
    </row>
    <row r="47" spans="1:17" x14ac:dyDescent="0.25">
      <c r="A47" s="72" t="s">
        <v>477</v>
      </c>
      <c r="B47" s="72" t="s">
        <v>310</v>
      </c>
      <c r="C47" s="72" t="s">
        <v>478</v>
      </c>
      <c r="D47" s="72" t="s">
        <v>214</v>
      </c>
      <c r="E47" s="72" t="s">
        <v>311</v>
      </c>
      <c r="F47" s="72" t="s">
        <v>85</v>
      </c>
      <c r="G47" s="72" t="s">
        <v>312</v>
      </c>
      <c r="H47" s="73">
        <v>-8674</v>
      </c>
      <c r="I47" s="73">
        <v>6224959.8999999994</v>
      </c>
      <c r="O47" s="76" t="s">
        <v>499</v>
      </c>
      <c r="P47" s="38">
        <v>5000</v>
      </c>
      <c r="Q47" s="38">
        <f>IF(P47&gt;0,(SUMIF('Mar 26'!A:A,O47,'Mar 26'!L:L)-P47),(SUMIF('Mar 26'!A:A,O47,'Mar 26'!K:K)-P47))</f>
        <v>0</v>
      </c>
    </row>
    <row r="48" spans="1:17" x14ac:dyDescent="0.25">
      <c r="A48" s="72" t="s">
        <v>477</v>
      </c>
      <c r="B48" s="72" t="s">
        <v>310</v>
      </c>
      <c r="C48" s="72" t="s">
        <v>479</v>
      </c>
      <c r="D48" s="72" t="s">
        <v>88</v>
      </c>
      <c r="E48" s="72" t="s">
        <v>311</v>
      </c>
      <c r="F48" s="72" t="s">
        <v>85</v>
      </c>
      <c r="G48" s="72" t="s">
        <v>312</v>
      </c>
      <c r="H48" s="73">
        <v>-11673</v>
      </c>
      <c r="I48" s="73">
        <v>6213286.8999999994</v>
      </c>
      <c r="O48" s="76" t="s">
        <v>381</v>
      </c>
      <c r="P48" s="38">
        <v>3125</v>
      </c>
      <c r="Q48" s="38">
        <f>IF(P48&gt;0,(SUMIF('Mar 26'!A:A,O48,'Mar 26'!L:L)-P48),(SUMIF('Mar 26'!A:A,O48,'Mar 26'!K:K)-P48))</f>
        <v>0</v>
      </c>
    </row>
    <row r="49" spans="1:17" x14ac:dyDescent="0.25">
      <c r="A49" s="72" t="s">
        <v>477</v>
      </c>
      <c r="B49" s="72" t="s">
        <v>310</v>
      </c>
      <c r="C49" s="72" t="s">
        <v>482</v>
      </c>
      <c r="D49" s="72" t="s">
        <v>225</v>
      </c>
      <c r="E49" s="72" t="s">
        <v>311</v>
      </c>
      <c r="F49" s="72" t="s">
        <v>85</v>
      </c>
      <c r="G49" s="72" t="s">
        <v>312</v>
      </c>
      <c r="H49" s="73">
        <v>-8423</v>
      </c>
      <c r="I49" s="73">
        <v>6204863.8999999994</v>
      </c>
      <c r="O49" s="76" t="s">
        <v>142</v>
      </c>
      <c r="P49" s="38">
        <v>-35018</v>
      </c>
      <c r="Q49" s="38">
        <f>IF(P49&gt;0,(SUMIF('Mar 26'!A:A,O49,'Mar 26'!L:L)-P49),(SUMIF('Mar 26'!A:A,O49,'Mar 26'!K:K)-P49))</f>
        <v>70036</v>
      </c>
    </row>
    <row r="50" spans="1:17" x14ac:dyDescent="0.25">
      <c r="A50" s="72" t="s">
        <v>477</v>
      </c>
      <c r="B50" s="72" t="s">
        <v>310</v>
      </c>
      <c r="C50" s="72" t="s">
        <v>483</v>
      </c>
      <c r="D50" s="72" t="s">
        <v>183</v>
      </c>
      <c r="E50" s="72" t="s">
        <v>311</v>
      </c>
      <c r="F50" s="72" t="s">
        <v>85</v>
      </c>
      <c r="G50" s="72" t="s">
        <v>312</v>
      </c>
      <c r="H50" s="73">
        <v>-9467</v>
      </c>
      <c r="I50" s="73">
        <v>6195396.8999999994</v>
      </c>
      <c r="O50" s="76" t="s">
        <v>262</v>
      </c>
      <c r="P50" s="38">
        <v>-6845</v>
      </c>
      <c r="Q50" s="38">
        <f>IF(P50&gt;0,(SUMIF('Mar 26'!A:A,O50,'Mar 26'!L:L)-P50),(SUMIF('Mar 26'!A:A,O50,'Mar 26'!K:K)-P50))</f>
        <v>13690</v>
      </c>
    </row>
    <row r="51" spans="1:17" x14ac:dyDescent="0.25">
      <c r="A51" s="72" t="s">
        <v>477</v>
      </c>
      <c r="B51" s="72" t="s">
        <v>310</v>
      </c>
      <c r="C51" s="72" t="s">
        <v>485</v>
      </c>
      <c r="D51" s="72" t="s">
        <v>139</v>
      </c>
      <c r="E51" s="72" t="s">
        <v>311</v>
      </c>
      <c r="F51" s="72" t="s">
        <v>85</v>
      </c>
      <c r="G51" s="72" t="s">
        <v>312</v>
      </c>
      <c r="H51" s="73">
        <v>-10217</v>
      </c>
      <c r="I51" s="73">
        <v>6185179.8999999994</v>
      </c>
      <c r="O51" s="76" t="s">
        <v>199</v>
      </c>
      <c r="P51" s="38">
        <v>-7852</v>
      </c>
      <c r="Q51" s="38">
        <f>IF(P51&gt;0,(SUMIF('Mar 26'!A:A,O51,'Mar 26'!L:L)-P51),(SUMIF('Mar 26'!A:A,O51,'Mar 26'!K:K)-P51))</f>
        <v>15704</v>
      </c>
    </row>
    <row r="52" spans="1:17" x14ac:dyDescent="0.25">
      <c r="A52" s="72" t="s">
        <v>477</v>
      </c>
      <c r="B52" s="72" t="s">
        <v>310</v>
      </c>
      <c r="C52" s="72" t="s">
        <v>488</v>
      </c>
      <c r="D52" s="72" t="s">
        <v>380</v>
      </c>
      <c r="E52" s="72" t="s">
        <v>311</v>
      </c>
      <c r="F52" s="72" t="s">
        <v>85</v>
      </c>
      <c r="G52" s="72" t="s">
        <v>312</v>
      </c>
      <c r="H52" s="73">
        <v>29728</v>
      </c>
      <c r="I52" s="73">
        <v>6214907.8999999994</v>
      </c>
      <c r="O52" s="76" t="s">
        <v>146</v>
      </c>
      <c r="P52" s="38">
        <v>-13980</v>
      </c>
      <c r="Q52" s="38">
        <f>IF(P52&gt;0,(SUMIF('Mar 26'!A:A,O52,'Mar 26'!L:L)-P52),(SUMIF('Mar 26'!A:A,O52,'Mar 26'!K:K)-P52))</f>
        <v>27959.5</v>
      </c>
    </row>
    <row r="53" spans="1:17" x14ac:dyDescent="0.25">
      <c r="A53" s="72" t="s">
        <v>477</v>
      </c>
      <c r="B53" s="72" t="s">
        <v>310</v>
      </c>
      <c r="C53" s="72" t="s">
        <v>490</v>
      </c>
      <c r="D53" s="72" t="s">
        <v>381</v>
      </c>
      <c r="E53" s="72" t="s">
        <v>311</v>
      </c>
      <c r="F53" s="72" t="s">
        <v>85</v>
      </c>
      <c r="G53" s="72" t="s">
        <v>312</v>
      </c>
      <c r="H53" s="73">
        <v>3125</v>
      </c>
      <c r="I53" s="73">
        <v>6218032.8999999994</v>
      </c>
      <c r="O53" s="76" t="s">
        <v>41</v>
      </c>
      <c r="P53" s="38">
        <v>43711</v>
      </c>
      <c r="Q53" s="38">
        <f>IF(P53&gt;0,(SUMIF('Mar 26'!A:A,O53,'Mar 26'!L:L)-P53),(SUMIF('Mar 26'!A:A,O53,'Mar 26'!K:K)-P53))</f>
        <v>0</v>
      </c>
    </row>
    <row r="54" spans="1:17" x14ac:dyDescent="0.25">
      <c r="A54" s="72" t="s">
        <v>519</v>
      </c>
      <c r="B54" s="72" t="s">
        <v>310</v>
      </c>
      <c r="C54" s="72" t="s">
        <v>520</v>
      </c>
      <c r="D54" s="72" t="s">
        <v>165</v>
      </c>
      <c r="E54" s="72" t="s">
        <v>311</v>
      </c>
      <c r="F54" s="72" t="s">
        <v>85</v>
      </c>
      <c r="G54" s="72" t="s">
        <v>312</v>
      </c>
      <c r="H54" s="73">
        <v>-20000</v>
      </c>
      <c r="I54" s="73">
        <v>6198032.8999999994</v>
      </c>
      <c r="O54" s="76" t="s">
        <v>506</v>
      </c>
      <c r="P54" s="38">
        <v>17904</v>
      </c>
      <c r="Q54" s="38">
        <f>IF(P54&gt;0,(SUMIF('Mar 26'!A:A,O54,'Mar 26'!L:L)-P54),(SUMIF('Mar 26'!A:A,O54,'Mar 26'!K:K)-P54))</f>
        <v>0</v>
      </c>
    </row>
    <row r="55" spans="1:17" x14ac:dyDescent="0.25">
      <c r="A55" s="72" t="s">
        <v>519</v>
      </c>
      <c r="B55" s="72" t="s">
        <v>310</v>
      </c>
      <c r="C55" s="72" t="s">
        <v>521</v>
      </c>
      <c r="D55" s="72" t="s">
        <v>495</v>
      </c>
      <c r="E55" s="72" t="s">
        <v>311</v>
      </c>
      <c r="F55" s="72" t="s">
        <v>85</v>
      </c>
      <c r="G55" s="72" t="s">
        <v>312</v>
      </c>
      <c r="H55" s="73">
        <v>23405</v>
      </c>
      <c r="I55" s="73">
        <v>6221437.8999999994</v>
      </c>
      <c r="O55" s="76" t="s">
        <v>226</v>
      </c>
      <c r="P55" s="38">
        <v>-29037</v>
      </c>
      <c r="Q55" s="38">
        <f>IF(P55&gt;0,(SUMIF('Mar 26'!A:A,O55,'Mar 26'!L:L)-P55),(SUMIF('Mar 26'!A:A,O55,'Mar 26'!K:K)-P55))</f>
        <v>58074</v>
      </c>
    </row>
    <row r="56" spans="1:17" x14ac:dyDescent="0.25">
      <c r="A56" s="72" t="s">
        <v>519</v>
      </c>
      <c r="B56" s="72" t="s">
        <v>310</v>
      </c>
      <c r="C56" s="72" t="s">
        <v>522</v>
      </c>
      <c r="D56" s="72" t="s">
        <v>496</v>
      </c>
      <c r="E56" s="72" t="s">
        <v>311</v>
      </c>
      <c r="F56" s="72" t="s">
        <v>85</v>
      </c>
      <c r="G56" s="72" t="s">
        <v>312</v>
      </c>
      <c r="H56" s="73">
        <v>6961</v>
      </c>
      <c r="I56" s="73">
        <v>6228398.8999999994</v>
      </c>
      <c r="O56" s="76" t="s">
        <v>164</v>
      </c>
      <c r="P56" s="38">
        <v>-13500</v>
      </c>
      <c r="Q56" s="38">
        <f>IF(P56&gt;0,(SUMIF('Mar 26'!A:A,O56,'Mar 26'!L:L)-P56),(SUMIF('Mar 26'!A:A,O56,'Mar 26'!K:K)-P56))</f>
        <v>27000</v>
      </c>
    </row>
    <row r="57" spans="1:17" x14ac:dyDescent="0.25">
      <c r="A57" s="72" t="s">
        <v>519</v>
      </c>
      <c r="B57" s="72" t="s">
        <v>310</v>
      </c>
      <c r="C57" s="72" t="s">
        <v>523</v>
      </c>
      <c r="D57" s="72" t="s">
        <v>497</v>
      </c>
      <c r="E57" s="72" t="s">
        <v>311</v>
      </c>
      <c r="F57" s="72" t="s">
        <v>85</v>
      </c>
      <c r="G57" s="72" t="s">
        <v>312</v>
      </c>
      <c r="H57" s="73">
        <v>18709</v>
      </c>
      <c r="I57" s="73">
        <v>6247107.8999999994</v>
      </c>
      <c r="O57" s="76" t="s">
        <v>361</v>
      </c>
      <c r="P57" s="38">
        <v>11754</v>
      </c>
      <c r="Q57" s="38">
        <f>IF(P57&gt;0,(SUMIF('Mar 26'!A:A,O57,'Mar 26'!L:L)-P57),(SUMIF('Mar 26'!A:A,O57,'Mar 26'!K:K)-P57))</f>
        <v>0</v>
      </c>
    </row>
    <row r="58" spans="1:17" x14ac:dyDescent="0.25">
      <c r="A58" s="72" t="s">
        <v>524</v>
      </c>
      <c r="B58" s="72" t="s">
        <v>310</v>
      </c>
      <c r="C58" s="72" t="s">
        <v>525</v>
      </c>
      <c r="D58" s="72" t="s">
        <v>498</v>
      </c>
      <c r="E58" s="72" t="s">
        <v>311</v>
      </c>
      <c r="F58" s="72" t="s">
        <v>85</v>
      </c>
      <c r="G58" s="72" t="s">
        <v>312</v>
      </c>
      <c r="H58" s="73">
        <v>14007</v>
      </c>
      <c r="I58" s="73">
        <v>6261114.8999999994</v>
      </c>
      <c r="O58" s="76" t="s">
        <v>165</v>
      </c>
      <c r="P58" s="38">
        <v>-20000</v>
      </c>
      <c r="Q58" s="38">
        <f>IF(P58&gt;0,(SUMIF('Mar 26'!A:A,O58,'Mar 26'!L:L)-P58),(SUMIF('Mar 26'!A:A,O58,'Mar 26'!K:K)-P58))</f>
        <v>40000</v>
      </c>
    </row>
    <row r="59" spans="1:17" x14ac:dyDescent="0.25">
      <c r="A59" s="72" t="s">
        <v>524</v>
      </c>
      <c r="B59" s="72" t="s">
        <v>310</v>
      </c>
      <c r="C59" s="72" t="s">
        <v>526</v>
      </c>
      <c r="D59" s="72" t="s">
        <v>499</v>
      </c>
      <c r="E59" s="72" t="s">
        <v>311</v>
      </c>
      <c r="F59" s="72" t="s">
        <v>85</v>
      </c>
      <c r="G59" s="72" t="s">
        <v>312</v>
      </c>
      <c r="H59" s="73">
        <v>5000</v>
      </c>
      <c r="I59" s="73">
        <v>6266114.8999999994</v>
      </c>
      <c r="O59" s="76" t="s">
        <v>496</v>
      </c>
      <c r="P59" s="38">
        <v>6961</v>
      </c>
      <c r="Q59" s="38">
        <f>IF(P59&gt;0,(SUMIF('Mar 26'!A:A,O59,'Mar 26'!L:L)-P59),(SUMIF('Mar 26'!A:A,O59,'Mar 26'!K:K)-P59))</f>
        <v>0</v>
      </c>
    </row>
    <row r="60" spans="1:17" x14ac:dyDescent="0.25">
      <c r="A60" s="72" t="s">
        <v>524</v>
      </c>
      <c r="B60" s="72" t="s">
        <v>310</v>
      </c>
      <c r="C60" s="72" t="s">
        <v>527</v>
      </c>
      <c r="D60" s="72" t="s">
        <v>500</v>
      </c>
      <c r="E60" s="72" t="s">
        <v>311</v>
      </c>
      <c r="F60" s="72" t="s">
        <v>85</v>
      </c>
      <c r="G60" s="72" t="s">
        <v>312</v>
      </c>
      <c r="H60" s="73">
        <v>21569</v>
      </c>
      <c r="I60" s="73">
        <v>6287683.8999999994</v>
      </c>
      <c r="O60" s="76" t="s">
        <v>501</v>
      </c>
      <c r="P60" s="38">
        <v>10888</v>
      </c>
      <c r="Q60" s="38">
        <f>IF(P60&gt;0,(SUMIF('Mar 26'!A:A,O60,'Mar 26'!L:L)-P60),(SUMIF('Mar 26'!A:A,O60,'Mar 26'!K:K)-P60))</f>
        <v>0</v>
      </c>
    </row>
    <row r="61" spans="1:17" x14ac:dyDescent="0.25">
      <c r="A61" s="72" t="s">
        <v>524</v>
      </c>
      <c r="B61" s="72" t="s">
        <v>310</v>
      </c>
      <c r="C61" s="72" t="s">
        <v>528</v>
      </c>
      <c r="D61" s="72" t="s">
        <v>501</v>
      </c>
      <c r="E61" s="72" t="s">
        <v>311</v>
      </c>
      <c r="F61" s="72" t="s">
        <v>85</v>
      </c>
      <c r="G61" s="72" t="s">
        <v>312</v>
      </c>
      <c r="H61" s="73">
        <v>10888</v>
      </c>
      <c r="I61" s="73">
        <v>6298571.8999999994</v>
      </c>
      <c r="O61" s="76" t="s">
        <v>500</v>
      </c>
      <c r="P61" s="38">
        <v>21569</v>
      </c>
      <c r="Q61" s="38">
        <f>IF(P61&gt;0,(SUMIF('Mar 26'!A:A,O61,'Mar 26'!L:L)-P61),(SUMIF('Mar 26'!A:A,O61,'Mar 26'!K:K)-P61))</f>
        <v>0</v>
      </c>
    </row>
    <row r="62" spans="1:17" x14ac:dyDescent="0.25">
      <c r="A62" s="72" t="s">
        <v>524</v>
      </c>
      <c r="B62" s="72" t="s">
        <v>310</v>
      </c>
      <c r="C62" s="72" t="s">
        <v>529</v>
      </c>
      <c r="D62" s="72" t="s">
        <v>502</v>
      </c>
      <c r="E62" s="72" t="s">
        <v>311</v>
      </c>
      <c r="F62" s="72" t="s">
        <v>85</v>
      </c>
      <c r="G62" s="72" t="s">
        <v>312</v>
      </c>
      <c r="H62" s="73">
        <v>39804</v>
      </c>
      <c r="I62" s="73">
        <v>6338375.8999999994</v>
      </c>
      <c r="O62" s="76" t="s">
        <v>68</v>
      </c>
      <c r="P62" s="38">
        <v>-35519.5</v>
      </c>
      <c r="Q62" s="38">
        <f>IF(P62&gt;0,(SUMIF('Mar 26'!A:A,O62,'Mar 26'!L:L)-P62),(SUMIF('Mar 26'!A:A,O62,'Mar 26'!K:K)-P62))</f>
        <v>71039</v>
      </c>
    </row>
    <row r="63" spans="1:17" x14ac:dyDescent="0.25">
      <c r="A63" s="72" t="s">
        <v>524</v>
      </c>
      <c r="B63" s="72" t="s">
        <v>310</v>
      </c>
      <c r="C63" s="72" t="s">
        <v>530</v>
      </c>
      <c r="D63" s="72" t="s">
        <v>233</v>
      </c>
      <c r="E63" s="72" t="s">
        <v>311</v>
      </c>
      <c r="F63" s="72" t="s">
        <v>85</v>
      </c>
      <c r="G63" s="72" t="s">
        <v>312</v>
      </c>
      <c r="H63" s="73">
        <v>212099.25</v>
      </c>
      <c r="I63" s="73">
        <v>6550475.1499999994</v>
      </c>
      <c r="O63" s="76" t="s">
        <v>377</v>
      </c>
      <c r="P63" s="38">
        <v>44798</v>
      </c>
      <c r="Q63" s="38">
        <f>IF(P63&gt;0,(SUMIF('Mar 26'!A:A,O63,'Mar 26'!L:L)-P63),(SUMIF('Mar 26'!A:A,O63,'Mar 26'!K:K)-P63))</f>
        <v>0</v>
      </c>
    </row>
    <row r="64" spans="1:17" x14ac:dyDescent="0.25">
      <c r="A64" s="72" t="s">
        <v>531</v>
      </c>
      <c r="B64" s="72" t="s">
        <v>310</v>
      </c>
      <c r="C64" s="72" t="s">
        <v>532</v>
      </c>
      <c r="D64" s="72" t="s">
        <v>146</v>
      </c>
      <c r="E64" s="72" t="s">
        <v>311</v>
      </c>
      <c r="F64" s="72" t="s">
        <v>85</v>
      </c>
      <c r="G64" s="72" t="s">
        <v>312</v>
      </c>
      <c r="H64" s="73">
        <v>-13980</v>
      </c>
      <c r="I64" s="73">
        <v>6536495.1499999994</v>
      </c>
      <c r="O64" s="76" t="s">
        <v>238</v>
      </c>
      <c r="P64" s="38">
        <v>-11041</v>
      </c>
      <c r="Q64" s="38">
        <f>IF(P64&gt;0,(SUMIF('Mar 26'!A:A,O64,'Mar 26'!L:L)-P64),(SUMIF('Mar 26'!A:A,O64,'Mar 26'!K:K)-P64))</f>
        <v>22082</v>
      </c>
    </row>
    <row r="65" spans="1:17" x14ac:dyDescent="0.25">
      <c r="A65" s="72" t="s">
        <v>531</v>
      </c>
      <c r="B65" s="72" t="s">
        <v>310</v>
      </c>
      <c r="C65" s="72" t="s">
        <v>533</v>
      </c>
      <c r="D65" s="72" t="s">
        <v>503</v>
      </c>
      <c r="E65" s="72" t="s">
        <v>311</v>
      </c>
      <c r="F65" s="72" t="s">
        <v>85</v>
      </c>
      <c r="G65" s="72" t="s">
        <v>312</v>
      </c>
      <c r="H65" s="73">
        <v>17304</v>
      </c>
      <c r="I65" s="73">
        <v>6553799.1499999994</v>
      </c>
      <c r="O65" s="76" t="s">
        <v>471</v>
      </c>
      <c r="P65" s="38">
        <v>15425</v>
      </c>
      <c r="Q65" s="38">
        <f>IF(P65&gt;0,(SUMIF('Mar 26'!A:A,O65,'Mar 26'!L:L)-P65),(SUMIF('Mar 26'!A:A,O65,'Mar 26'!K:K)-P65))</f>
        <v>0</v>
      </c>
    </row>
    <row r="66" spans="1:17" x14ac:dyDescent="0.25">
      <c r="A66" s="72" t="s">
        <v>531</v>
      </c>
      <c r="B66" s="72" t="s">
        <v>310</v>
      </c>
      <c r="C66" s="72" t="s">
        <v>534</v>
      </c>
      <c r="D66" s="72" t="s">
        <v>504</v>
      </c>
      <c r="E66" s="72" t="s">
        <v>311</v>
      </c>
      <c r="F66" s="72" t="s">
        <v>85</v>
      </c>
      <c r="G66" s="72" t="s">
        <v>312</v>
      </c>
      <c r="H66" s="73">
        <v>151068</v>
      </c>
      <c r="I66" s="73">
        <v>6704867.1499999994</v>
      </c>
      <c r="O66" s="76" t="s">
        <v>357</v>
      </c>
      <c r="P66" s="38">
        <v>55860.75</v>
      </c>
      <c r="Q66" s="38">
        <f>IF(P66&gt;0,(SUMIF('Mar 26'!A:A,O66,'Mar 26'!L:L)-P66),(SUMIF('Mar 26'!A:A,O66,'Mar 26'!K:K)-P66))</f>
        <v>0</v>
      </c>
    </row>
    <row r="67" spans="1:17" x14ac:dyDescent="0.25">
      <c r="A67" s="72" t="s">
        <v>531</v>
      </c>
      <c r="B67" s="72" t="s">
        <v>310</v>
      </c>
      <c r="C67" s="72" t="s">
        <v>535</v>
      </c>
      <c r="D67" s="72" t="s">
        <v>506</v>
      </c>
      <c r="E67" s="72" t="s">
        <v>311</v>
      </c>
      <c r="F67" s="72" t="s">
        <v>85</v>
      </c>
      <c r="G67" s="72" t="s">
        <v>312</v>
      </c>
      <c r="H67" s="73">
        <v>17904</v>
      </c>
      <c r="I67" s="73">
        <v>6722771.1499999994</v>
      </c>
      <c r="O67" s="76" t="s">
        <v>365</v>
      </c>
      <c r="P67" s="38">
        <v>930.6</v>
      </c>
      <c r="Q67" s="38">
        <f>IF(P67&gt;0,(SUMIF('Mar 26'!A:A,O67,'Mar 26'!L:L)-P67),(SUMIF('Mar 26'!A:A,O67,'Mar 26'!K:K)-P67))</f>
        <v>0</v>
      </c>
    </row>
    <row r="68" spans="1:17" x14ac:dyDescent="0.25">
      <c r="A68" s="72" t="s">
        <v>531</v>
      </c>
      <c r="B68" s="72" t="s">
        <v>310</v>
      </c>
      <c r="C68" s="72" t="s">
        <v>536</v>
      </c>
      <c r="D68" s="72" t="s">
        <v>508</v>
      </c>
      <c r="E68" s="72" t="s">
        <v>311</v>
      </c>
      <c r="F68" s="72" t="s">
        <v>85</v>
      </c>
      <c r="G68" s="72" t="s">
        <v>312</v>
      </c>
      <c r="H68" s="73">
        <v>109253</v>
      </c>
      <c r="I68" s="73">
        <v>6832024.1499999994</v>
      </c>
      <c r="O68" s="76" t="s">
        <v>469</v>
      </c>
      <c r="P68" s="38">
        <v>1207</v>
      </c>
      <c r="Q68" s="38">
        <f>IF(P68&gt;0,(SUMIF('Mar 26'!A:A,O68,'Mar 26'!L:L)-P68),(SUMIF('Mar 26'!A:A,O68,'Mar 26'!K:K)-P68))</f>
        <v>0</v>
      </c>
    </row>
    <row r="69" spans="1:17" x14ac:dyDescent="0.25">
      <c r="A69" s="72" t="s">
        <v>531</v>
      </c>
      <c r="B69" s="72" t="s">
        <v>310</v>
      </c>
      <c r="C69" s="72" t="s">
        <v>537</v>
      </c>
      <c r="D69" s="72" t="s">
        <v>510</v>
      </c>
      <c r="E69" s="72" t="s">
        <v>311</v>
      </c>
      <c r="F69" s="72" t="s">
        <v>85</v>
      </c>
      <c r="G69" s="72" t="s">
        <v>312</v>
      </c>
      <c r="H69" s="73">
        <v>56063</v>
      </c>
      <c r="I69" s="73">
        <v>6888087.1499999994</v>
      </c>
      <c r="O69" s="76" t="s">
        <v>498</v>
      </c>
      <c r="P69" s="38">
        <v>14007</v>
      </c>
      <c r="Q69" s="38">
        <f>IF(P69&gt;0,(SUMIF('Mar 26'!A:A,O69,'Mar 26'!L:L)-P69),(SUMIF('Mar 26'!A:A,O69,'Mar 26'!K:K)-P69))</f>
        <v>0</v>
      </c>
    </row>
    <row r="70" spans="1:17" x14ac:dyDescent="0.25">
      <c r="A70" s="72" t="s">
        <v>538</v>
      </c>
      <c r="B70" s="72" t="s">
        <v>310</v>
      </c>
      <c r="C70" s="72" t="s">
        <v>539</v>
      </c>
      <c r="D70" s="72" t="s">
        <v>68</v>
      </c>
      <c r="E70" s="72" t="s">
        <v>311</v>
      </c>
      <c r="F70" s="72" t="s">
        <v>85</v>
      </c>
      <c r="G70" s="72" t="s">
        <v>312</v>
      </c>
      <c r="H70" s="73">
        <v>-35519.5</v>
      </c>
      <c r="I70" s="73">
        <v>6852567.6499999994</v>
      </c>
      <c r="O70" s="76" t="s">
        <v>335</v>
      </c>
      <c r="P70" s="38">
        <v>-1130.58</v>
      </c>
      <c r="Q70" s="38">
        <f>IF(P70&gt;0,(SUMIF('Mar 26'!A:A,O70,'Mar 26'!L:L)-P70),(SUMIF('Mar 26'!A:A,O70,'Mar 26'!K:K)-P70))</f>
        <v>2261.16</v>
      </c>
    </row>
    <row r="71" spans="1:17" x14ac:dyDescent="0.25">
      <c r="A71" s="72" t="s">
        <v>538</v>
      </c>
      <c r="B71" s="72" t="s">
        <v>310</v>
      </c>
      <c r="C71" s="72" t="s">
        <v>540</v>
      </c>
      <c r="D71" s="72" t="s">
        <v>335</v>
      </c>
      <c r="E71" s="72" t="s">
        <v>311</v>
      </c>
      <c r="F71" s="72" t="s">
        <v>85</v>
      </c>
      <c r="G71" s="72" t="s">
        <v>312</v>
      </c>
      <c r="H71" s="73">
        <v>-1130.58</v>
      </c>
      <c r="I71" s="73">
        <v>6851437.0699999994</v>
      </c>
      <c r="O71" s="76" t="s">
        <v>225</v>
      </c>
      <c r="P71" s="38">
        <v>-8423</v>
      </c>
      <c r="Q71" s="38">
        <f>IF(P71&gt;0,(SUMIF('Mar 26'!A:A,O71,'Mar 26'!L:L)-P71),(SUMIF('Mar 26'!A:A,O71,'Mar 26'!K:K)-P71))</f>
        <v>16846</v>
      </c>
    </row>
    <row r="72" spans="1:17" x14ac:dyDescent="0.25">
      <c r="A72" s="72" t="s">
        <v>538</v>
      </c>
      <c r="B72" s="72" t="s">
        <v>310</v>
      </c>
      <c r="C72" s="72" t="s">
        <v>541</v>
      </c>
      <c r="D72" s="72" t="s">
        <v>512</v>
      </c>
      <c r="E72" s="72" t="s">
        <v>311</v>
      </c>
      <c r="F72" s="72" t="s">
        <v>85</v>
      </c>
      <c r="G72" s="72" t="s">
        <v>312</v>
      </c>
      <c r="H72" s="73">
        <v>17176</v>
      </c>
      <c r="I72" s="73">
        <v>6868613.0699999994</v>
      </c>
      <c r="O72" s="76" t="s">
        <v>162</v>
      </c>
      <c r="P72" s="38">
        <v>-56739.87</v>
      </c>
      <c r="Q72" s="38">
        <f>IF(P72&gt;0,(SUMIF('Mar 26'!A:A,O72,'Mar 26'!L:L)-P72),(SUMIF('Mar 26'!A:A,O72,'Mar 26'!K:K)-P72))</f>
        <v>113479.74</v>
      </c>
    </row>
    <row r="73" spans="1:17" x14ac:dyDescent="0.25">
      <c r="A73" s="72" t="s">
        <v>538</v>
      </c>
      <c r="B73" s="72" t="s">
        <v>310</v>
      </c>
      <c r="C73" s="72" t="s">
        <v>542</v>
      </c>
      <c r="D73" s="72" t="s">
        <v>513</v>
      </c>
      <c r="E73" s="72" t="s">
        <v>311</v>
      </c>
      <c r="F73" s="72" t="s">
        <v>85</v>
      </c>
      <c r="G73" s="72" t="s">
        <v>312</v>
      </c>
      <c r="H73" s="73">
        <v>255026</v>
      </c>
      <c r="I73" s="73">
        <v>7123639.0699999994</v>
      </c>
      <c r="O73" s="76" t="s">
        <v>263</v>
      </c>
      <c r="P73" s="38">
        <v>-1058.31</v>
      </c>
      <c r="Q73" s="38">
        <f>IF(P73&gt;0,(SUMIF('Mar 26'!A:A,O73,'Mar 26'!L:L)-P73),(SUMIF('Mar 26'!A:A,O73,'Mar 26'!K:K)-P73))</f>
        <v>2116.62</v>
      </c>
    </row>
    <row r="74" spans="1:17" x14ac:dyDescent="0.25">
      <c r="A74" s="72" t="s">
        <v>543</v>
      </c>
      <c r="B74" s="72" t="s">
        <v>310</v>
      </c>
      <c r="C74" s="72" t="s">
        <v>544</v>
      </c>
      <c r="D74" s="72" t="s">
        <v>238</v>
      </c>
      <c r="E74" s="72" t="s">
        <v>311</v>
      </c>
      <c r="F74" s="72" t="s">
        <v>85</v>
      </c>
      <c r="G74" s="72" t="s">
        <v>312</v>
      </c>
      <c r="H74" s="73">
        <v>-11041</v>
      </c>
      <c r="I74" s="73">
        <v>7112598.0699999994</v>
      </c>
      <c r="O74" s="76" t="s">
        <v>366</v>
      </c>
      <c r="P74" s="38">
        <v>7799.22</v>
      </c>
      <c r="Q74" s="38">
        <f>IF(P74&gt;0,(SUMIF('Mar 26'!A:A,O74,'Mar 26'!L:L)-P74),(SUMIF('Mar 26'!A:A,O74,'Mar 26'!K:K)-P74))</f>
        <v>0</v>
      </c>
    </row>
    <row r="75" spans="1:17" x14ac:dyDescent="0.25">
      <c r="A75" s="72" t="s">
        <v>545</v>
      </c>
      <c r="B75" s="72" t="s">
        <v>310</v>
      </c>
      <c r="C75" s="72" t="s">
        <v>546</v>
      </c>
      <c r="D75" s="72" t="s">
        <v>514</v>
      </c>
      <c r="E75" s="72" t="s">
        <v>311</v>
      </c>
      <c r="F75" s="72" t="s">
        <v>85</v>
      </c>
      <c r="G75" s="72" t="s">
        <v>312</v>
      </c>
      <c r="H75" s="73">
        <v>6516</v>
      </c>
      <c r="I75" s="73">
        <v>7119114.0699999994</v>
      </c>
      <c r="O75" s="76" t="s">
        <v>474</v>
      </c>
      <c r="P75" s="38">
        <v>6258.05</v>
      </c>
      <c r="Q75" s="38">
        <f>IF(P75&gt;0,(SUMIF('Mar 26'!A:A,O75,'Mar 26'!L:L)-P75),(SUMIF('Mar 26'!A:A,O75,'Mar 26'!K:K)-P75))</f>
        <v>0</v>
      </c>
    </row>
    <row r="76" spans="1:17" x14ac:dyDescent="0.25">
      <c r="A76" s="72" t="s">
        <v>545</v>
      </c>
      <c r="B76" s="72" t="s">
        <v>310</v>
      </c>
      <c r="C76" s="72" t="s">
        <v>547</v>
      </c>
      <c r="D76" s="72" t="s">
        <v>515</v>
      </c>
      <c r="E76" s="72" t="s">
        <v>311</v>
      </c>
      <c r="F76" s="72" t="s">
        <v>85</v>
      </c>
      <c r="G76" s="72" t="s">
        <v>312</v>
      </c>
      <c r="H76" s="73">
        <v>9796.19</v>
      </c>
      <c r="I76" s="73">
        <v>7128910.2599999998</v>
      </c>
      <c r="O76" s="76" t="s">
        <v>455</v>
      </c>
      <c r="P76" s="38">
        <v>10418</v>
      </c>
      <c r="Q76" s="38">
        <f>IF(P76&gt;0,(SUMIF('Mar 26'!A:A,O76,'Mar 26'!L:L)-P76),(SUMIF('Mar 26'!A:A,O76,'Mar 26'!K:K)-P76))</f>
        <v>-10418</v>
      </c>
    </row>
    <row r="77" spans="1:17" x14ac:dyDescent="0.25">
      <c r="A77" s="72" t="s">
        <v>545</v>
      </c>
      <c r="B77" s="72" t="s">
        <v>310</v>
      </c>
      <c r="C77" s="72" t="s">
        <v>548</v>
      </c>
      <c r="D77" s="72" t="s">
        <v>516</v>
      </c>
      <c r="E77" s="72" t="s">
        <v>311</v>
      </c>
      <c r="F77" s="72" t="s">
        <v>85</v>
      </c>
      <c r="G77" s="72" t="s">
        <v>312</v>
      </c>
      <c r="H77" s="73">
        <v>16192</v>
      </c>
      <c r="I77" s="73">
        <v>7145102.2599999998</v>
      </c>
      <c r="O77" s="76" t="s">
        <v>271</v>
      </c>
      <c r="P77" s="38">
        <v>-24500</v>
      </c>
      <c r="Q77" s="38">
        <f>IF(P77&gt;0,(SUMIF('Mar 26'!A:A,O77,'Mar 26'!L:L)-P77),(SUMIF('Mar 26'!A:A,O77,'Mar 26'!K:K)-P77))</f>
        <v>49000</v>
      </c>
    </row>
    <row r="78" spans="1:17" x14ac:dyDescent="0.25">
      <c r="A78" s="72" t="s">
        <v>549</v>
      </c>
      <c r="B78" s="72" t="s">
        <v>310</v>
      </c>
      <c r="C78" s="72" t="s">
        <v>550</v>
      </c>
      <c r="D78" s="72" t="s">
        <v>226</v>
      </c>
      <c r="E78" s="72" t="s">
        <v>311</v>
      </c>
      <c r="F78" s="72" t="s">
        <v>85</v>
      </c>
      <c r="G78" s="72" t="s">
        <v>312</v>
      </c>
      <c r="H78" s="73">
        <v>-29037</v>
      </c>
      <c r="I78" s="73">
        <v>7116065.2599999998</v>
      </c>
      <c r="O78" s="76" t="s">
        <v>513</v>
      </c>
      <c r="P78" s="38">
        <v>255026</v>
      </c>
      <c r="Q78" s="38">
        <f>IF(P78&gt;0,(SUMIF('Mar 26'!A:A,O78,'Mar 26'!L:L)-P78),(SUMIF('Mar 26'!A:A,O78,'Mar 26'!K:K)-P78))</f>
        <v>0</v>
      </c>
    </row>
    <row r="79" spans="1:17" x14ac:dyDescent="0.25">
      <c r="A79" s="72" t="s">
        <v>549</v>
      </c>
      <c r="B79" s="72" t="s">
        <v>310</v>
      </c>
      <c r="C79" s="72" t="s">
        <v>551</v>
      </c>
      <c r="D79" s="72" t="s">
        <v>49</v>
      </c>
      <c r="E79" s="72" t="s">
        <v>311</v>
      </c>
      <c r="F79" s="72" t="s">
        <v>85</v>
      </c>
      <c r="G79" s="72" t="s">
        <v>312</v>
      </c>
      <c r="H79" s="73">
        <v>-5000</v>
      </c>
      <c r="I79" s="73">
        <v>7111065.2599999998</v>
      </c>
      <c r="O79" s="76" t="s">
        <v>233</v>
      </c>
      <c r="P79" s="38">
        <v>212099.25</v>
      </c>
      <c r="Q79" s="38">
        <f>IF(P79&gt;0,(SUMIF('Mar 26'!A:A,O79,'Mar 26'!L:L)-P79),(SUMIF('Mar 26'!A:A,O79,'Mar 26'!K:K)-P79))</f>
        <v>0</v>
      </c>
    </row>
    <row r="80" spans="1:17" x14ac:dyDescent="0.25">
      <c r="A80" s="72" t="s">
        <v>549</v>
      </c>
      <c r="B80" s="72" t="s">
        <v>310</v>
      </c>
      <c r="C80" s="72" t="s">
        <v>551</v>
      </c>
      <c r="D80" s="72" t="s">
        <v>49</v>
      </c>
      <c r="E80" s="72" t="s">
        <v>311</v>
      </c>
      <c r="F80" s="72" t="s">
        <v>85</v>
      </c>
      <c r="G80" s="72" t="s">
        <v>312</v>
      </c>
      <c r="H80" s="73">
        <v>-25878</v>
      </c>
      <c r="I80" s="73">
        <v>7085187.2599999998</v>
      </c>
      <c r="O80" s="76" t="s">
        <v>379</v>
      </c>
      <c r="P80" s="38">
        <v>29243</v>
      </c>
      <c r="Q80" s="38">
        <f>IF(P80&gt;0,(SUMIF('Mar 26'!A:A,O80,'Mar 26'!L:L)-P80),(SUMIF('Mar 26'!A:A,O80,'Mar 26'!K:K)-P80))</f>
        <v>0</v>
      </c>
    </row>
    <row r="81" spans="1:17" x14ac:dyDescent="0.25">
      <c r="A81" s="72" t="s">
        <v>549</v>
      </c>
      <c r="B81" s="72" t="s">
        <v>310</v>
      </c>
      <c r="C81" s="72" t="s">
        <v>552</v>
      </c>
      <c r="D81" s="72" t="s">
        <v>135</v>
      </c>
      <c r="E81" s="72" t="s">
        <v>311</v>
      </c>
      <c r="F81" s="72" t="s">
        <v>85</v>
      </c>
      <c r="G81" s="72" t="s">
        <v>312</v>
      </c>
      <c r="H81" s="73">
        <v>0</v>
      </c>
      <c r="I81" s="73">
        <v>7085187.2599999998</v>
      </c>
      <c r="O81" s="76" t="s">
        <v>49</v>
      </c>
      <c r="P81" s="38">
        <v>-30878</v>
      </c>
      <c r="Q81" s="38">
        <f>IF(P81&gt;0,(SUMIF('Mar 26'!A:A,O81,'Mar 26'!L:L)-P81),(SUMIF('Mar 26'!A:A,O81,'Mar 26'!K:K)-P81))</f>
        <v>61756</v>
      </c>
    </row>
    <row r="82" spans="1:17" x14ac:dyDescent="0.25">
      <c r="A82" s="72" t="s">
        <v>549</v>
      </c>
      <c r="B82" s="72" t="s">
        <v>310</v>
      </c>
      <c r="C82" s="72" t="s">
        <v>552</v>
      </c>
      <c r="D82" s="72" t="s">
        <v>135</v>
      </c>
      <c r="E82" s="72" t="s">
        <v>311</v>
      </c>
      <c r="F82" s="72" t="s">
        <v>85</v>
      </c>
      <c r="G82" s="72" t="s">
        <v>312</v>
      </c>
      <c r="H82" s="73">
        <v>-24528.82</v>
      </c>
      <c r="I82" s="73">
        <v>7060658.4399999995</v>
      </c>
      <c r="O82" s="76" t="s">
        <v>260</v>
      </c>
      <c r="P82" s="38">
        <v>-4060</v>
      </c>
      <c r="Q82" s="38">
        <f>IF(P82&gt;0,(SUMIF('Mar 26'!A:A,O82,'Mar 26'!L:L)-P82),(SUMIF('Mar 26'!A:A,O82,'Mar 26'!K:K)-P82))</f>
        <v>8120</v>
      </c>
    </row>
    <row r="83" spans="1:17" x14ac:dyDescent="0.25">
      <c r="A83" s="72" t="s">
        <v>549</v>
      </c>
      <c r="B83" s="72" t="s">
        <v>310</v>
      </c>
      <c r="C83" s="72" t="s">
        <v>553</v>
      </c>
      <c r="D83" s="72" t="s">
        <v>206</v>
      </c>
      <c r="E83" s="72" t="s">
        <v>311</v>
      </c>
      <c r="F83" s="72" t="s">
        <v>85</v>
      </c>
      <c r="G83" s="72" t="s">
        <v>312</v>
      </c>
      <c r="H83" s="73">
        <v>-8901</v>
      </c>
      <c r="I83" s="73">
        <v>7051757.4399999995</v>
      </c>
      <c r="O83" s="76" t="s">
        <v>207</v>
      </c>
      <c r="P83" s="38">
        <v>-9886</v>
      </c>
      <c r="Q83" s="38">
        <f>IF(P83&gt;0,(SUMIF('Mar 26'!A:A,O83,'Mar 26'!L:L)-P83),(SUMIF('Mar 26'!A:A,O83,'Mar 26'!K:K)-P83))</f>
        <v>19772</v>
      </c>
    </row>
    <row r="84" spans="1:17" x14ac:dyDescent="0.25">
      <c r="A84" s="72" t="s">
        <v>549</v>
      </c>
      <c r="B84" s="72" t="s">
        <v>310</v>
      </c>
      <c r="C84" s="72" t="s">
        <v>554</v>
      </c>
      <c r="D84" s="72" t="s">
        <v>168</v>
      </c>
      <c r="E84" s="72" t="s">
        <v>311</v>
      </c>
      <c r="F84" s="72" t="s">
        <v>85</v>
      </c>
      <c r="G84" s="72" t="s">
        <v>312</v>
      </c>
      <c r="H84" s="73">
        <v>-15439</v>
      </c>
      <c r="I84" s="73">
        <v>7036318.4399999995</v>
      </c>
      <c r="O84" s="76" t="s">
        <v>374</v>
      </c>
      <c r="P84" s="38">
        <v>4653</v>
      </c>
      <c r="Q84" s="38">
        <f>IF(P84&gt;0,(SUMIF('Mar 26'!A:A,O84,'Mar 26'!L:L)-P84),(SUMIF('Mar 26'!A:A,O84,'Mar 26'!K:K)-P84))</f>
        <v>0</v>
      </c>
    </row>
    <row r="85" spans="1:17" x14ac:dyDescent="0.25">
      <c r="A85" s="72" t="s">
        <v>549</v>
      </c>
      <c r="B85" s="72" t="s">
        <v>310</v>
      </c>
      <c r="C85" s="72" t="s">
        <v>555</v>
      </c>
      <c r="D85" s="72" t="s">
        <v>262</v>
      </c>
      <c r="E85" s="72" t="s">
        <v>311</v>
      </c>
      <c r="F85" s="72" t="s">
        <v>85</v>
      </c>
      <c r="G85" s="72" t="s">
        <v>312</v>
      </c>
      <c r="H85" s="73">
        <v>-6845</v>
      </c>
      <c r="I85" s="73">
        <v>7029473.4399999995</v>
      </c>
      <c r="O85" s="76" t="s">
        <v>139</v>
      </c>
      <c r="P85" s="38">
        <v>-10217</v>
      </c>
      <c r="Q85" s="38">
        <f>IF(P85&gt;0,(SUMIF('Mar 26'!A:A,O85,'Mar 26'!L:L)-P85),(SUMIF('Mar 26'!A:A,O85,'Mar 26'!K:K)-P85))</f>
        <v>20434</v>
      </c>
    </row>
    <row r="86" spans="1:17" x14ac:dyDescent="0.25">
      <c r="A86" s="72" t="s">
        <v>549</v>
      </c>
      <c r="B86" s="72" t="s">
        <v>310</v>
      </c>
      <c r="C86" s="72" t="s">
        <v>556</v>
      </c>
      <c r="D86" s="72" t="s">
        <v>142</v>
      </c>
      <c r="E86" s="72" t="s">
        <v>311</v>
      </c>
      <c r="F86" s="72" t="s">
        <v>85</v>
      </c>
      <c r="G86" s="72" t="s">
        <v>312</v>
      </c>
      <c r="H86" s="73">
        <v>-35018</v>
      </c>
      <c r="I86" s="73">
        <v>6994455.4399999995</v>
      </c>
      <c r="O86" s="76" t="s">
        <v>566</v>
      </c>
      <c r="P86" s="38">
        <v>1133712.8</v>
      </c>
    </row>
    <row r="87" spans="1:17" x14ac:dyDescent="0.25">
      <c r="A87" s="72" t="s">
        <v>549</v>
      </c>
      <c r="B87" s="72" t="s">
        <v>310</v>
      </c>
      <c r="C87" s="72" t="s">
        <v>557</v>
      </c>
      <c r="D87" s="72" t="s">
        <v>271</v>
      </c>
      <c r="E87" s="72" t="s">
        <v>311</v>
      </c>
      <c r="F87" s="72" t="s">
        <v>85</v>
      </c>
      <c r="G87" s="72" t="s">
        <v>312</v>
      </c>
      <c r="H87" s="73">
        <v>-24500</v>
      </c>
      <c r="I87" s="73">
        <v>6969955.4399999995</v>
      </c>
    </row>
    <row r="88" spans="1:17" x14ac:dyDescent="0.25">
      <c r="A88" s="72" t="s">
        <v>549</v>
      </c>
      <c r="B88" s="72" t="s">
        <v>310</v>
      </c>
      <c r="C88" s="72" t="s">
        <v>558</v>
      </c>
      <c r="D88" s="72" t="s">
        <v>340</v>
      </c>
      <c r="E88" s="72" t="s">
        <v>311</v>
      </c>
      <c r="F88" s="72" t="s">
        <v>85</v>
      </c>
      <c r="G88" s="72" t="s">
        <v>312</v>
      </c>
      <c r="H88" s="73">
        <v>-3000</v>
      </c>
      <c r="I88" s="73">
        <v>6966955.4399999995</v>
      </c>
    </row>
    <row r="89" spans="1:17" x14ac:dyDescent="0.25">
      <c r="A89" s="72" t="s">
        <v>549</v>
      </c>
      <c r="B89" s="72" t="s">
        <v>310</v>
      </c>
      <c r="C89" s="72" t="s">
        <v>559</v>
      </c>
      <c r="D89" s="72" t="s">
        <v>517</v>
      </c>
      <c r="E89" s="72" t="s">
        <v>311</v>
      </c>
      <c r="F89" s="72" t="s">
        <v>85</v>
      </c>
      <c r="G89" s="72" t="s">
        <v>312</v>
      </c>
      <c r="H89" s="73">
        <v>1142.27</v>
      </c>
      <c r="I89" s="73">
        <v>6968097.709999999</v>
      </c>
    </row>
    <row r="90" spans="1:17" x14ac:dyDescent="0.25">
      <c r="A90" s="72" t="s">
        <v>560</v>
      </c>
      <c r="B90" s="72" t="s">
        <v>310</v>
      </c>
      <c r="C90" s="72" t="s">
        <v>561</v>
      </c>
      <c r="D90" s="72" t="s">
        <v>164</v>
      </c>
      <c r="E90" s="72" t="s">
        <v>311</v>
      </c>
      <c r="F90" s="72" t="s">
        <v>85</v>
      </c>
      <c r="G90" s="72" t="s">
        <v>312</v>
      </c>
      <c r="H90" s="73">
        <v>-13500</v>
      </c>
      <c r="I90" s="73">
        <v>6954597.709999999</v>
      </c>
    </row>
    <row r="91" spans="1:17" x14ac:dyDescent="0.25">
      <c r="A91" s="72" t="s">
        <v>560</v>
      </c>
      <c r="B91" s="72" t="s">
        <v>310</v>
      </c>
      <c r="C91" s="72" t="s">
        <v>562</v>
      </c>
      <c r="D91" s="72" t="s">
        <v>518</v>
      </c>
      <c r="E91" s="72" t="s">
        <v>311</v>
      </c>
      <c r="F91" s="72" t="s">
        <v>85</v>
      </c>
      <c r="G91" s="72" t="s">
        <v>312</v>
      </c>
      <c r="H91" s="73">
        <v>3227</v>
      </c>
      <c r="I91" s="73">
        <v>6957824.709999999</v>
      </c>
    </row>
    <row r="92" spans="1:17" x14ac:dyDescent="0.25">
      <c r="A92" s="72" t="s">
        <v>560</v>
      </c>
      <c r="B92" s="72" t="s">
        <v>310</v>
      </c>
      <c r="C92" s="72" t="s">
        <v>563</v>
      </c>
      <c r="D92" s="72" t="s">
        <v>70</v>
      </c>
      <c r="E92" s="72" t="s">
        <v>564</v>
      </c>
      <c r="F92" s="72" t="s">
        <v>85</v>
      </c>
      <c r="G92" s="72" t="s">
        <v>312</v>
      </c>
      <c r="H92" s="73">
        <v>9567</v>
      </c>
      <c r="I92" s="73">
        <v>6967391.709999999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0D03-7725-45A5-A442-4826CA0A9835}">
  <sheetPr filterMode="1"/>
  <dimension ref="A1:C84"/>
  <sheetViews>
    <sheetView workbookViewId="0">
      <selection activeCell="J86" sqref="J86"/>
    </sheetView>
  </sheetViews>
  <sheetFormatPr defaultRowHeight="15" x14ac:dyDescent="0.25"/>
  <cols>
    <col min="2" max="2" width="12.28515625" bestFit="1" customWidth="1"/>
  </cols>
  <sheetData>
    <row r="1" spans="1:3" x14ac:dyDescent="0.25">
      <c r="A1" t="s">
        <v>0</v>
      </c>
      <c r="B1" t="s">
        <v>568</v>
      </c>
    </row>
    <row r="2" spans="1:3" hidden="1" x14ac:dyDescent="0.25">
      <c r="A2" t="s">
        <v>371</v>
      </c>
      <c r="B2" s="38">
        <v>51110.14</v>
      </c>
    </row>
    <row r="3" spans="1:3" hidden="1" x14ac:dyDescent="0.25">
      <c r="A3" t="s">
        <v>362</v>
      </c>
      <c r="B3" s="38">
        <v>11662</v>
      </c>
    </row>
    <row r="4" spans="1:3" hidden="1" x14ac:dyDescent="0.25">
      <c r="A4" t="s">
        <v>515</v>
      </c>
      <c r="B4" s="38">
        <v>9796.19</v>
      </c>
    </row>
    <row r="5" spans="1:3" x14ac:dyDescent="0.25">
      <c r="A5" t="s">
        <v>61</v>
      </c>
      <c r="B5" s="38">
        <v>-342623.5</v>
      </c>
      <c r="C5" s="77">
        <f>VLOOKUP(A5,'Mar 26'!A:K,11,FALSE)+B5</f>
        <v>0</v>
      </c>
    </row>
    <row r="6" spans="1:3" hidden="1" x14ac:dyDescent="0.25">
      <c r="A6" t="s">
        <v>364</v>
      </c>
      <c r="B6" s="38">
        <v>16906.509999999998</v>
      </c>
    </row>
    <row r="7" spans="1:3" x14ac:dyDescent="0.25">
      <c r="A7" t="s">
        <v>88</v>
      </c>
      <c r="B7" s="38">
        <v>-11673</v>
      </c>
      <c r="C7" s="77">
        <f>VLOOKUP(A7,'Mar 26'!A:K,11,FALSE)+B7</f>
        <v>0</v>
      </c>
    </row>
    <row r="8" spans="1:3" hidden="1" x14ac:dyDescent="0.25">
      <c r="A8" t="s">
        <v>497</v>
      </c>
      <c r="B8" s="38">
        <v>18709</v>
      </c>
    </row>
    <row r="9" spans="1:3" hidden="1" x14ac:dyDescent="0.25">
      <c r="A9" t="s">
        <v>518</v>
      </c>
      <c r="B9" s="38">
        <v>3227</v>
      </c>
    </row>
    <row r="10" spans="1:3" hidden="1" x14ac:dyDescent="0.25">
      <c r="A10" t="s">
        <v>380</v>
      </c>
      <c r="B10" s="38">
        <v>29728</v>
      </c>
    </row>
    <row r="11" spans="1:3" hidden="1" x14ac:dyDescent="0.25">
      <c r="A11" t="s">
        <v>369</v>
      </c>
      <c r="B11" s="38">
        <v>4247</v>
      </c>
    </row>
    <row r="12" spans="1:3" x14ac:dyDescent="0.25">
      <c r="A12" t="s">
        <v>135</v>
      </c>
      <c r="B12" s="38">
        <v>-24528.82</v>
      </c>
      <c r="C12" s="77">
        <f>VLOOKUP(A12,'Mar 26'!A:K,11,FALSE)+B12</f>
        <v>0</v>
      </c>
    </row>
    <row r="13" spans="1:3" hidden="1" x14ac:dyDescent="0.25">
      <c r="A13" t="s">
        <v>356</v>
      </c>
      <c r="B13" s="38">
        <v>8432</v>
      </c>
    </row>
    <row r="14" spans="1:3" x14ac:dyDescent="0.25">
      <c r="A14" t="s">
        <v>214</v>
      </c>
      <c r="B14" s="38">
        <v>-8674</v>
      </c>
      <c r="C14" s="77">
        <f>VLOOKUP(A14,'Mar 26'!A:K,11,FALSE)+B14</f>
        <v>0</v>
      </c>
    </row>
    <row r="15" spans="1:3" hidden="1" x14ac:dyDescent="0.25">
      <c r="A15" t="s">
        <v>512</v>
      </c>
      <c r="B15" s="38">
        <v>17176</v>
      </c>
    </row>
    <row r="16" spans="1:3" x14ac:dyDescent="0.25">
      <c r="A16" t="s">
        <v>168</v>
      </c>
      <c r="B16" s="38">
        <v>-15439</v>
      </c>
      <c r="C16" s="77">
        <f>VLOOKUP(A16,'Mar 26'!A:K,11,FALSE)+B16</f>
        <v>0</v>
      </c>
    </row>
    <row r="17" spans="1:3" hidden="1" x14ac:dyDescent="0.25">
      <c r="A17" t="s">
        <v>502</v>
      </c>
      <c r="B17" s="38">
        <v>39804</v>
      </c>
    </row>
    <row r="18" spans="1:3" hidden="1" x14ac:dyDescent="0.25">
      <c r="A18" t="s">
        <v>359</v>
      </c>
      <c r="B18" s="38">
        <v>11224</v>
      </c>
    </row>
    <row r="19" spans="1:3" hidden="1" x14ac:dyDescent="0.25">
      <c r="A19" t="s">
        <v>367</v>
      </c>
      <c r="B19" s="38">
        <v>9792</v>
      </c>
    </row>
    <row r="20" spans="1:3" hidden="1" x14ac:dyDescent="0.25">
      <c r="A20" t="s">
        <v>508</v>
      </c>
      <c r="B20" s="38">
        <v>109253</v>
      </c>
    </row>
    <row r="21" spans="1:3" x14ac:dyDescent="0.25">
      <c r="A21" t="s">
        <v>205</v>
      </c>
      <c r="B21" s="38">
        <v>-7433</v>
      </c>
      <c r="C21" s="77">
        <f>VLOOKUP(A21,'Mar 26'!A:K,11,FALSE)+B21</f>
        <v>0</v>
      </c>
    </row>
    <row r="22" spans="1:3" hidden="1" x14ac:dyDescent="0.25">
      <c r="A22" t="s">
        <v>358</v>
      </c>
      <c r="B22" s="38">
        <v>94654</v>
      </c>
    </row>
    <row r="23" spans="1:3" hidden="1" x14ac:dyDescent="0.25">
      <c r="A23" t="s">
        <v>378</v>
      </c>
      <c r="B23" s="38">
        <v>17769</v>
      </c>
    </row>
    <row r="24" spans="1:3" x14ac:dyDescent="0.25">
      <c r="A24" t="s">
        <v>79</v>
      </c>
      <c r="B24" s="38">
        <v>-75227</v>
      </c>
      <c r="C24" s="77">
        <f>VLOOKUP(A24,'Mar 26'!A:K,11,FALSE)+B24</f>
        <v>0</v>
      </c>
    </row>
    <row r="25" spans="1:3" hidden="1" x14ac:dyDescent="0.25">
      <c r="A25" t="s">
        <v>503</v>
      </c>
      <c r="B25" s="38">
        <v>17304</v>
      </c>
    </row>
    <row r="26" spans="1:3" hidden="1" x14ac:dyDescent="0.25">
      <c r="A26" t="s">
        <v>355</v>
      </c>
      <c r="B26" s="38">
        <v>29175</v>
      </c>
    </row>
    <row r="27" spans="1:3" hidden="1" x14ac:dyDescent="0.25">
      <c r="A27" t="s">
        <v>375</v>
      </c>
      <c r="B27" s="38">
        <v>160000</v>
      </c>
    </row>
    <row r="28" spans="1:3" hidden="1" x14ac:dyDescent="0.25">
      <c r="A28" t="s">
        <v>372</v>
      </c>
      <c r="B28" s="38">
        <v>8935.32</v>
      </c>
    </row>
    <row r="29" spans="1:3" hidden="1" x14ac:dyDescent="0.25">
      <c r="A29" t="s">
        <v>516</v>
      </c>
      <c r="B29" s="38">
        <v>16192</v>
      </c>
    </row>
    <row r="30" spans="1:3" hidden="1" x14ac:dyDescent="0.25">
      <c r="A30" t="s">
        <v>504</v>
      </c>
      <c r="B30" s="38">
        <v>151068</v>
      </c>
    </row>
    <row r="31" spans="1:3" hidden="1" x14ac:dyDescent="0.25">
      <c r="A31" t="s">
        <v>495</v>
      </c>
      <c r="B31" s="38">
        <v>23405</v>
      </c>
    </row>
    <row r="32" spans="1:3" hidden="1" x14ac:dyDescent="0.25">
      <c r="A32" t="s">
        <v>382</v>
      </c>
      <c r="B32" s="38">
        <v>129865.08</v>
      </c>
    </row>
    <row r="33" spans="1:3" hidden="1" x14ac:dyDescent="0.25">
      <c r="A33" t="s">
        <v>101</v>
      </c>
      <c r="B33" s="38">
        <v>57487</v>
      </c>
    </row>
    <row r="34" spans="1:3" x14ac:dyDescent="0.25">
      <c r="A34" t="s">
        <v>206</v>
      </c>
      <c r="B34" s="38">
        <v>-8901</v>
      </c>
      <c r="C34" s="77">
        <f>VLOOKUP(A34,'Mar 26'!A:K,11,FALSE)+B34</f>
        <v>0</v>
      </c>
    </row>
    <row r="35" spans="1:3" hidden="1" x14ac:dyDescent="0.25">
      <c r="A35" t="s">
        <v>363</v>
      </c>
      <c r="B35" s="38">
        <v>25461</v>
      </c>
    </row>
    <row r="36" spans="1:3" hidden="1" x14ac:dyDescent="0.25">
      <c r="A36" t="s">
        <v>517</v>
      </c>
      <c r="B36" s="38">
        <v>1142.27</v>
      </c>
    </row>
    <row r="37" spans="1:3" x14ac:dyDescent="0.25">
      <c r="A37" t="s">
        <v>340</v>
      </c>
      <c r="B37" s="38">
        <v>-3000</v>
      </c>
      <c r="C37" s="77">
        <f>VLOOKUP(A37,'Mar 26'!A:K,11,FALSE)+B37</f>
        <v>0</v>
      </c>
    </row>
    <row r="38" spans="1:3" hidden="1" x14ac:dyDescent="0.25">
      <c r="A38" t="s">
        <v>70</v>
      </c>
      <c r="B38" s="38">
        <v>9567</v>
      </c>
    </row>
    <row r="39" spans="1:3" x14ac:dyDescent="0.25">
      <c r="A39" t="s">
        <v>234</v>
      </c>
      <c r="B39" s="38">
        <v>-11785</v>
      </c>
      <c r="C39" s="77">
        <f>VLOOKUP(A39,'Mar 26'!A:K,11,FALSE)+B39</f>
        <v>0</v>
      </c>
    </row>
    <row r="40" spans="1:3" hidden="1" x14ac:dyDescent="0.25">
      <c r="A40" t="s">
        <v>86</v>
      </c>
      <c r="B40" s="38">
        <v>22778</v>
      </c>
    </row>
    <row r="41" spans="1:3" hidden="1" x14ac:dyDescent="0.25">
      <c r="A41" t="s">
        <v>510</v>
      </c>
      <c r="B41" s="38">
        <v>56063</v>
      </c>
    </row>
    <row r="42" spans="1:3" hidden="1" x14ac:dyDescent="0.25">
      <c r="A42" t="s">
        <v>360</v>
      </c>
      <c r="B42" s="38">
        <v>20322</v>
      </c>
    </row>
    <row r="43" spans="1:3" hidden="1" x14ac:dyDescent="0.25">
      <c r="A43" t="s">
        <v>514</v>
      </c>
      <c r="B43" s="38">
        <v>6516</v>
      </c>
    </row>
    <row r="44" spans="1:3" hidden="1" x14ac:dyDescent="0.25">
      <c r="A44" t="s">
        <v>373</v>
      </c>
      <c r="B44" s="38">
        <v>4742</v>
      </c>
    </row>
    <row r="45" spans="1:3" x14ac:dyDescent="0.25">
      <c r="A45" t="s">
        <v>183</v>
      </c>
      <c r="B45" s="38">
        <v>-9467</v>
      </c>
      <c r="C45" s="77">
        <f>VLOOKUP(A45,'Mar 26'!A:K,11,FALSE)+B45</f>
        <v>0</v>
      </c>
    </row>
    <row r="46" spans="1:3" hidden="1" x14ac:dyDescent="0.25">
      <c r="A46" t="s">
        <v>499</v>
      </c>
      <c r="B46" s="38">
        <v>5000</v>
      </c>
    </row>
    <row r="47" spans="1:3" hidden="1" x14ac:dyDescent="0.25">
      <c r="A47" t="s">
        <v>381</v>
      </c>
      <c r="B47" s="38">
        <v>3125</v>
      </c>
    </row>
    <row r="48" spans="1:3" x14ac:dyDescent="0.25">
      <c r="A48" t="s">
        <v>142</v>
      </c>
      <c r="B48" s="38">
        <v>-35018</v>
      </c>
      <c r="C48" s="77">
        <f>VLOOKUP(A48,'Mar 26'!A:K,11,FALSE)+B48</f>
        <v>0</v>
      </c>
    </row>
    <row r="49" spans="1:3" x14ac:dyDescent="0.25">
      <c r="A49" t="s">
        <v>262</v>
      </c>
      <c r="B49" s="38">
        <v>-6845</v>
      </c>
      <c r="C49" s="77">
        <f>VLOOKUP(A49,'Mar 26'!A:K,11,FALSE)+B49</f>
        <v>0</v>
      </c>
    </row>
    <row r="50" spans="1:3" x14ac:dyDescent="0.25">
      <c r="A50" t="s">
        <v>199</v>
      </c>
      <c r="B50" s="38">
        <v>-7852</v>
      </c>
      <c r="C50" s="77">
        <f>VLOOKUP(A50,'Mar 26'!A:K,11,FALSE)+B50</f>
        <v>0</v>
      </c>
    </row>
    <row r="51" spans="1:3" x14ac:dyDescent="0.25">
      <c r="A51" t="s">
        <v>146</v>
      </c>
      <c r="B51" s="38">
        <v>-13980</v>
      </c>
      <c r="C51" s="77">
        <f>VLOOKUP(A51,'Mar 26'!A:K,11,FALSE)+B51</f>
        <v>-0.5</v>
      </c>
    </row>
    <row r="52" spans="1:3" hidden="1" x14ac:dyDescent="0.25">
      <c r="A52" t="s">
        <v>41</v>
      </c>
      <c r="B52" s="38">
        <v>43711</v>
      </c>
    </row>
    <row r="53" spans="1:3" hidden="1" x14ac:dyDescent="0.25">
      <c r="A53" t="s">
        <v>506</v>
      </c>
      <c r="B53" s="38">
        <v>17904</v>
      </c>
    </row>
    <row r="54" spans="1:3" x14ac:dyDescent="0.25">
      <c r="A54" t="s">
        <v>226</v>
      </c>
      <c r="B54" s="38">
        <v>-29037</v>
      </c>
      <c r="C54" s="77">
        <f>VLOOKUP(A54,'Mar 26'!A:K,11,FALSE)+B54</f>
        <v>0</v>
      </c>
    </row>
    <row r="55" spans="1:3" x14ac:dyDescent="0.25">
      <c r="A55" t="s">
        <v>164</v>
      </c>
      <c r="B55" s="38">
        <v>-13500</v>
      </c>
      <c r="C55" s="77">
        <f>VLOOKUP(A55,'Mar 26'!A:K,11,FALSE)+B55</f>
        <v>0</v>
      </c>
    </row>
    <row r="56" spans="1:3" hidden="1" x14ac:dyDescent="0.25">
      <c r="A56" t="s">
        <v>361</v>
      </c>
      <c r="B56" s="38">
        <v>11754</v>
      </c>
    </row>
    <row r="57" spans="1:3" x14ac:dyDescent="0.25">
      <c r="A57" t="s">
        <v>165</v>
      </c>
      <c r="B57" s="38">
        <v>-20000</v>
      </c>
      <c r="C57" s="77">
        <f>VLOOKUP(A57,'Mar 26'!A:K,11,FALSE)+B57</f>
        <v>0</v>
      </c>
    </row>
    <row r="58" spans="1:3" hidden="1" x14ac:dyDescent="0.25">
      <c r="A58" t="s">
        <v>496</v>
      </c>
      <c r="B58" s="38">
        <v>6961</v>
      </c>
    </row>
    <row r="59" spans="1:3" hidden="1" x14ac:dyDescent="0.25">
      <c r="A59" t="s">
        <v>501</v>
      </c>
      <c r="B59" s="38">
        <v>10888</v>
      </c>
    </row>
    <row r="60" spans="1:3" hidden="1" x14ac:dyDescent="0.25">
      <c r="A60" t="s">
        <v>500</v>
      </c>
      <c r="B60" s="38">
        <v>21569</v>
      </c>
    </row>
    <row r="61" spans="1:3" x14ac:dyDescent="0.25">
      <c r="A61" t="s">
        <v>68</v>
      </c>
      <c r="B61" s="38">
        <v>-35519.5</v>
      </c>
      <c r="C61" s="77">
        <f>VLOOKUP(A61,'Mar 26'!A:K,11,FALSE)+B61</f>
        <v>0</v>
      </c>
    </row>
    <row r="62" spans="1:3" hidden="1" x14ac:dyDescent="0.25">
      <c r="A62" t="s">
        <v>377</v>
      </c>
      <c r="B62" s="38">
        <v>44798</v>
      </c>
    </row>
    <row r="63" spans="1:3" x14ac:dyDescent="0.25">
      <c r="A63" t="s">
        <v>238</v>
      </c>
      <c r="B63" s="38">
        <v>-11041</v>
      </c>
      <c r="C63" s="77">
        <f>VLOOKUP(A63,'Mar 26'!A:K,11,FALSE)+B63</f>
        <v>0</v>
      </c>
    </row>
    <row r="64" spans="1:3" hidden="1" x14ac:dyDescent="0.25">
      <c r="A64" t="s">
        <v>471</v>
      </c>
      <c r="B64" s="38">
        <v>15425</v>
      </c>
    </row>
    <row r="65" spans="1:3" hidden="1" x14ac:dyDescent="0.25">
      <c r="A65" t="s">
        <v>357</v>
      </c>
      <c r="B65" s="38">
        <v>55860.75</v>
      </c>
    </row>
    <row r="66" spans="1:3" hidden="1" x14ac:dyDescent="0.25">
      <c r="A66" t="s">
        <v>365</v>
      </c>
      <c r="B66" s="38">
        <v>930.6</v>
      </c>
    </row>
    <row r="67" spans="1:3" hidden="1" x14ac:dyDescent="0.25">
      <c r="A67" t="s">
        <v>469</v>
      </c>
      <c r="B67" s="38">
        <v>1207</v>
      </c>
    </row>
    <row r="68" spans="1:3" hidden="1" x14ac:dyDescent="0.25">
      <c r="A68" t="s">
        <v>498</v>
      </c>
      <c r="B68" s="38">
        <v>14007</v>
      </c>
    </row>
    <row r="69" spans="1:3" x14ac:dyDescent="0.25">
      <c r="A69" t="s">
        <v>335</v>
      </c>
      <c r="B69" s="38">
        <v>-1130.58</v>
      </c>
      <c r="C69" s="77">
        <f>VLOOKUP(A69,'Mar 26'!A:K,11,FALSE)+B69</f>
        <v>0</v>
      </c>
    </row>
    <row r="70" spans="1:3" x14ac:dyDescent="0.25">
      <c r="A70" t="s">
        <v>225</v>
      </c>
      <c r="B70" s="38">
        <v>-8423</v>
      </c>
      <c r="C70" s="77">
        <f>VLOOKUP(A70,'Mar 26'!A:K,11,FALSE)+B70</f>
        <v>0</v>
      </c>
    </row>
    <row r="71" spans="1:3" x14ac:dyDescent="0.25">
      <c r="A71" t="s">
        <v>162</v>
      </c>
      <c r="B71" s="38">
        <v>-56739.87</v>
      </c>
      <c r="C71" s="77">
        <f>VLOOKUP(A71,'Mar 26'!A:K,11,FALSE)+B71</f>
        <v>0</v>
      </c>
    </row>
    <row r="72" spans="1:3" x14ac:dyDescent="0.25">
      <c r="A72" t="s">
        <v>263</v>
      </c>
      <c r="B72" s="38">
        <v>-1058.31</v>
      </c>
      <c r="C72" s="77">
        <f>VLOOKUP(A72,'Mar 26'!A:K,11,FALSE)+B72</f>
        <v>0</v>
      </c>
    </row>
    <row r="73" spans="1:3" hidden="1" x14ac:dyDescent="0.25">
      <c r="A73" t="s">
        <v>366</v>
      </c>
      <c r="B73" s="38">
        <v>7799.22</v>
      </c>
    </row>
    <row r="74" spans="1:3" hidden="1" x14ac:dyDescent="0.25">
      <c r="A74" t="s">
        <v>474</v>
      </c>
      <c r="B74" s="38">
        <v>6258.05</v>
      </c>
    </row>
    <row r="75" spans="1:3" hidden="1" x14ac:dyDescent="0.25">
      <c r="A75" t="s">
        <v>455</v>
      </c>
      <c r="B75" s="38">
        <v>10418</v>
      </c>
    </row>
    <row r="76" spans="1:3" x14ac:dyDescent="0.25">
      <c r="A76" t="s">
        <v>271</v>
      </c>
      <c r="B76" s="38">
        <v>-24500</v>
      </c>
      <c r="C76" s="77">
        <f>VLOOKUP(A76,'Mar 26'!A:K,11,FALSE)+B76</f>
        <v>0</v>
      </c>
    </row>
    <row r="77" spans="1:3" hidden="1" x14ac:dyDescent="0.25">
      <c r="A77" t="s">
        <v>513</v>
      </c>
      <c r="B77" s="38">
        <v>255026</v>
      </c>
    </row>
    <row r="78" spans="1:3" hidden="1" x14ac:dyDescent="0.25">
      <c r="A78" t="s">
        <v>233</v>
      </c>
      <c r="B78" s="38">
        <v>212099.25</v>
      </c>
    </row>
    <row r="79" spans="1:3" hidden="1" x14ac:dyDescent="0.25">
      <c r="A79" t="s">
        <v>379</v>
      </c>
      <c r="B79" s="38">
        <v>29243</v>
      </c>
    </row>
    <row r="80" spans="1:3" x14ac:dyDescent="0.25">
      <c r="A80" t="s">
        <v>49</v>
      </c>
      <c r="B80" s="38">
        <v>-30878</v>
      </c>
      <c r="C80" s="77">
        <f>VLOOKUP(A80,'Mar 26'!A:K,11,FALSE)+B80</f>
        <v>0</v>
      </c>
    </row>
    <row r="81" spans="1:3" x14ac:dyDescent="0.25">
      <c r="A81" t="s">
        <v>260</v>
      </c>
      <c r="B81" s="38">
        <v>-4060</v>
      </c>
      <c r="C81" s="77">
        <f>VLOOKUP(A81,'Mar 26'!A:K,11,FALSE)+B81</f>
        <v>0</v>
      </c>
    </row>
    <row r="82" spans="1:3" x14ac:dyDescent="0.25">
      <c r="A82" t="s">
        <v>207</v>
      </c>
      <c r="B82" s="38">
        <v>-9886</v>
      </c>
      <c r="C82" s="77">
        <f>VLOOKUP(A82,'Mar 26'!A:K,11,FALSE)+B82</f>
        <v>0</v>
      </c>
    </row>
    <row r="83" spans="1:3" hidden="1" x14ac:dyDescent="0.25">
      <c r="A83" t="s">
        <v>374</v>
      </c>
      <c r="B83" s="38">
        <v>4653</v>
      </c>
    </row>
    <row r="84" spans="1:3" x14ac:dyDescent="0.25">
      <c r="A84" t="s">
        <v>139</v>
      </c>
      <c r="B84" s="38">
        <v>-10217</v>
      </c>
      <c r="C84" s="77">
        <f>VLOOKUP(A84,'Mar 26'!A:K,11,FALSE)+B84</f>
        <v>0</v>
      </c>
    </row>
  </sheetData>
  <autoFilter ref="A1:B84" xr:uid="{97690D03-7725-45A5-A442-4826CA0A9835}">
    <filterColumn colId="1">
      <customFilters>
        <customFilter operator="lessThan" val="0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0bdee3-5997-4ef0-b40f-eb2896b876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7B33AB7A55074B80E75810B9A2F354" ma:contentTypeVersion="12" ma:contentTypeDescription="Create a new document." ma:contentTypeScope="" ma:versionID="59e6c8f6f0c422b25796f1a481025f05">
  <xsd:schema xmlns:xsd="http://www.w3.org/2001/XMLSchema" xmlns:xs="http://www.w3.org/2001/XMLSchema" xmlns:p="http://schemas.microsoft.com/office/2006/metadata/properties" xmlns:ns3="090bdee3-5997-4ef0-b40f-eb2896b87673" targetNamespace="http://schemas.microsoft.com/office/2006/metadata/properties" ma:root="true" ma:fieldsID="bbc9c6eb857b6edf9fe899dbef11520a" ns3:_="">
    <xsd:import namespace="090bdee3-5997-4ef0-b40f-eb2896b876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dee3-5997-4ef0-b40f-eb2896b876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59B44-E100-447A-A6FE-937F39D4E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60D622-4409-418C-8C1D-B7B70D177BDB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090bdee3-5997-4ef0-b40f-eb2896b87673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D9FCFA-E998-4F77-BD43-8C7F638BD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0bdee3-5997-4ef0-b40f-eb2896b87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26</vt:lpstr>
      <vt:lpstr>Feb 26</vt:lpstr>
      <vt:lpstr>Mar 26</vt:lpstr>
      <vt:lpstr>Apr 26</vt:lpstr>
      <vt:lpstr>May 26</vt:lpstr>
      <vt:lpstr>Jun 26</vt:lpstr>
      <vt:lpstr>Jul 26</vt:lpstr>
      <vt:lpstr>Aug 26</vt:lpstr>
      <vt:lpstr>Sep 26</vt:lpstr>
      <vt:lpstr>CD GL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Shoshan, Tiranit</dc:creator>
  <cp:lastModifiedBy>George Bails</cp:lastModifiedBy>
  <dcterms:created xsi:type="dcterms:W3CDTF">2015-06-05T18:17:20Z</dcterms:created>
  <dcterms:modified xsi:type="dcterms:W3CDTF">2026-09-28T18:16:24Z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Id">
    <vt:lpwstr>052126bf-dc96-4dbe-ae5f-e16cfec81b62</vt:lpwstr>
  </property>
  <property fmtid="{D5CDD505-2E9C-101B-9397-08002B2CF9AE}" pid="3" name="ContentTypeId">
    <vt:lpwstr>0x010100A87B33AB7A55074B80E75810B9A2F354</vt:lpwstr>
  </property>
</Properties>
</file>